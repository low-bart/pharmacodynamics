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hsuitg.sharepoint.com/sites/SM.Janowsky-Lab/Shared Documents/General/X Drive/CONTRACTS/5th contract/Fiscal 2024/34485-94 DA 5HT Jan 2024/Data/"/>
    </mc:Choice>
  </mc:AlternateContent>
  <xr:revisionPtr revIDLastSave="0" documentId="8_{777CD449-5E43-4E4D-8042-7EFECA51E1BF}" xr6:coauthVersionLast="47" xr6:coauthVersionMax="47" xr10:uidLastSave="{00000000-0000-0000-0000-000000000000}"/>
  <bookViews>
    <workbookView xWindow="-240" yWindow="0" windowWidth="28665" windowHeight="15165" firstSheet="1" activeTab="1" xr2:uid="{00000000-000D-0000-FFFF-FFFF00000000}"/>
  </bookViews>
  <sheets>
    <sheet name="Format for Prism" sheetId="6" r:id="rId1"/>
    <sheet name="Data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6" i="5" l="1"/>
  <c r="H118" i="5"/>
  <c r="H212" i="5" l="1"/>
  <c r="H176" i="5"/>
  <c r="H164" i="5"/>
  <c r="H88" i="5"/>
  <c r="H89" i="5"/>
  <c r="H34" i="5"/>
  <c r="H70" i="5"/>
  <c r="H60" i="5"/>
  <c r="H59" i="5"/>
  <c r="H33" i="5"/>
  <c r="H99" i="5"/>
  <c r="E8" i="5"/>
  <c r="D8" i="5"/>
  <c r="E214" i="5"/>
  <c r="H211" i="5"/>
  <c r="H210" i="5"/>
  <c r="H209" i="5"/>
  <c r="J209" i="5" s="1"/>
  <c r="E209" i="5"/>
  <c r="D209" i="5"/>
  <c r="E202" i="5"/>
  <c r="H199" i="5"/>
  <c r="H198" i="5"/>
  <c r="H197" i="5"/>
  <c r="E197" i="5"/>
  <c r="E200" i="5" s="1"/>
  <c r="D197" i="5"/>
  <c r="E190" i="5"/>
  <c r="H187" i="5"/>
  <c r="H186" i="5"/>
  <c r="H185" i="5"/>
  <c r="E185" i="5"/>
  <c r="D185" i="5"/>
  <c r="D173" i="5"/>
  <c r="E173" i="5"/>
  <c r="H173" i="5"/>
  <c r="I173" i="5" s="1"/>
  <c r="H174" i="5"/>
  <c r="H175" i="5"/>
  <c r="E178" i="5"/>
  <c r="H47" i="5"/>
  <c r="H32" i="5"/>
  <c r="H69" i="5"/>
  <c r="D59" i="5"/>
  <c r="E104" i="5"/>
  <c r="H100" i="5"/>
  <c r="H98" i="5"/>
  <c r="E98" i="5"/>
  <c r="D98" i="5"/>
  <c r="E93" i="5"/>
  <c r="H87" i="5"/>
  <c r="E87" i="5"/>
  <c r="D87" i="5"/>
  <c r="E82" i="5"/>
  <c r="H78" i="5"/>
  <c r="I76" i="5" s="1"/>
  <c r="H76" i="5"/>
  <c r="E76" i="5"/>
  <c r="D76" i="5"/>
  <c r="D69" i="5"/>
  <c r="E69" i="5"/>
  <c r="E59" i="5"/>
  <c r="J173" i="5" l="1"/>
  <c r="I209" i="5"/>
  <c r="E212" i="5"/>
  <c r="E188" i="5"/>
  <c r="I197" i="5"/>
  <c r="E102" i="5"/>
  <c r="I185" i="5"/>
  <c r="J98" i="5"/>
  <c r="J197" i="5"/>
  <c r="J185" i="5"/>
  <c r="E176" i="5"/>
  <c r="E91" i="5"/>
  <c r="I98" i="5"/>
  <c r="J87" i="5"/>
  <c r="I87" i="5"/>
  <c r="J76" i="5"/>
  <c r="E80" i="5"/>
  <c r="E16" i="5"/>
  <c r="H48" i="5" l="1"/>
  <c r="E47" i="5" l="1"/>
  <c r="D47" i="5"/>
  <c r="I32" i="5" l="1"/>
  <c r="D131" i="5"/>
  <c r="E123" i="5"/>
  <c r="E118" i="5"/>
  <c r="D118" i="5"/>
  <c r="H161" i="5" l="1"/>
  <c r="E161" i="5"/>
  <c r="D161" i="5"/>
  <c r="E146" i="5"/>
  <c r="E131" i="5"/>
  <c r="H123" i="5" l="1"/>
  <c r="H132" i="5" l="1"/>
  <c r="H133" i="5"/>
  <c r="H120" i="5"/>
  <c r="I69" i="5"/>
  <c r="J69" i="5" l="1"/>
  <c r="H146" i="5"/>
  <c r="H122" i="5"/>
  <c r="E134" i="5" l="1"/>
  <c r="E166" i="5" l="1"/>
  <c r="H148" i="5" l="1"/>
  <c r="H131" i="5"/>
  <c r="I131" i="5" l="1"/>
  <c r="J131" i="5"/>
  <c r="H121" i="5"/>
  <c r="I59" i="5"/>
  <c r="E32" i="5"/>
  <c r="D32" i="5"/>
  <c r="H163" i="5"/>
  <c r="H162" i="5"/>
  <c r="J161" i="5" s="1"/>
  <c r="E164" i="5"/>
  <c r="E151" i="5"/>
  <c r="H147" i="5"/>
  <c r="E149" i="5"/>
  <c r="H12" i="5"/>
  <c r="E51" i="5"/>
  <c r="E20" i="5"/>
  <c r="D20" i="5"/>
  <c r="E53" i="5"/>
  <c r="H49" i="5"/>
  <c r="I47" i="5" s="1"/>
  <c r="E136" i="5"/>
  <c r="J32" i="5"/>
  <c r="H9" i="5"/>
  <c r="H20" i="5"/>
  <c r="E38" i="5"/>
  <c r="E27" i="5"/>
  <c r="H11" i="5"/>
  <c r="H119" i="5"/>
  <c r="H8" i="5"/>
  <c r="H22" i="5"/>
  <c r="H10" i="5"/>
  <c r="H21" i="5"/>
  <c r="I161" i="5" l="1"/>
  <c r="J47" i="5"/>
  <c r="J59" i="5"/>
  <c r="I8" i="5"/>
  <c r="J8" i="5"/>
  <c r="E25" i="5"/>
  <c r="E14" i="5"/>
  <c r="E63" i="5"/>
  <c r="J146" i="5"/>
  <c r="I146" i="5"/>
  <c r="E36" i="5"/>
  <c r="J118" i="5"/>
  <c r="I118" i="5"/>
  <c r="I20" i="5"/>
  <c r="J20" i="5"/>
  <c r="E121" i="5"/>
</calcChain>
</file>

<file path=xl/sharedStrings.xml><?xml version="1.0" encoding="utf-8"?>
<sst xmlns="http://schemas.openxmlformats.org/spreadsheetml/2006/main" count="375" uniqueCount="50">
  <si>
    <t>Ags</t>
  </si>
  <si>
    <t xml:space="preserve">EC 50 </t>
  </si>
  <si>
    <t>%max Quin</t>
  </si>
  <si>
    <t>Compound</t>
  </si>
  <si>
    <t>n</t>
  </si>
  <si>
    <t>mean</t>
  </si>
  <si>
    <t>sem</t>
  </si>
  <si>
    <t>Quinpirole</t>
  </si>
  <si>
    <t>Dopamine</t>
  </si>
  <si>
    <t>Antags</t>
  </si>
  <si>
    <t>IC 50 values: antagonist dose-response curves in the presence of 2 nM Quinpirole</t>
  </si>
  <si>
    <t xml:space="preserve">IC 50 </t>
  </si>
  <si>
    <t>%reversal</t>
  </si>
  <si>
    <t>Haloperidol</t>
  </si>
  <si>
    <t>Averages of agonists for D4.4 adenylate cyclase</t>
  </si>
  <si>
    <t>Start Apr 2024</t>
  </si>
  <si>
    <t>NIDA</t>
  </si>
  <si>
    <t>Forskolin: 10 uM</t>
  </si>
  <si>
    <t>Cells plated at 200,000</t>
  </si>
  <si>
    <t>TCA extract diluted 10:190</t>
  </si>
  <si>
    <t>Passages:</t>
  </si>
  <si>
    <t>10, 11, 12</t>
  </si>
  <si>
    <t>EC50 values, regular agonist assays</t>
  </si>
  <si>
    <t>AGONIST</t>
  </si>
  <si>
    <t>bottom of curve</t>
  </si>
  <si>
    <t>Date</t>
  </si>
  <si>
    <t>EC50</t>
  </si>
  <si>
    <t>max effect</t>
  </si>
  <si>
    <t>max Quin</t>
  </si>
  <si>
    <t>Analysis Notes:</t>
  </si>
  <si>
    <t>-12 to -6</t>
  </si>
  <si>
    <t>SHB</t>
  </si>
  <si>
    <t>n=</t>
  </si>
  <si>
    <t>DONE</t>
  </si>
  <si>
    <t>-11 to -5</t>
  </si>
  <si>
    <t>&gt;10,000</t>
  </si>
  <si>
    <t>Top must be less than 125%</t>
  </si>
  <si>
    <t>Done</t>
  </si>
  <si>
    <t>Averages of antagonists for D4.4 adenylate cyclase</t>
  </si>
  <si>
    <t>Averages of agonists for adenylate cyclase</t>
  </si>
  <si>
    <t xml:space="preserve">Passages: </t>
  </si>
  <si>
    <t>11, 12, 12</t>
  </si>
  <si>
    <t>IC 50 values…antagonist d/r curves in the presence of 2 nM Quinpirole</t>
  </si>
  <si>
    <t>IC50</t>
  </si>
  <si>
    <t>top of curve</t>
  </si>
  <si>
    <t>quin %forskolin</t>
  </si>
  <si>
    <t>Shared bottom value</t>
  </si>
  <si>
    <t>-10 to -5</t>
  </si>
  <si>
    <t>7163*</t>
  </si>
  <si>
    <t>-11.5 to 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</si>
</sst>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quotePrefix="1" applyFont="1"/>
    <xf numFmtId="0" fontId="1" fillId="0" borderId="0" xfId="0" applyFont="1" applyAlignment="1">
      <alignment horizontal="center"/>
    </xf>
    <xf numFmtId="0" fontId="3" fillId="0" borderId="0" xfId="0" quotePrefix="1" applyFont="1"/>
    <xf numFmtId="0" fontId="4" fillId="0" borderId="0" xfId="0" applyFont="1"/>
    <xf numFmtId="0" fontId="0" fillId="0" borderId="4" xfId="0" applyBorder="1"/>
    <xf numFmtId="0" fontId="1" fillId="0" borderId="1" xfId="0" quotePrefix="1" applyFont="1" applyBorder="1"/>
    <xf numFmtId="49" fontId="1" fillId="0" borderId="0" xfId="0" quotePrefix="1" applyNumberFormat="1" applyFont="1"/>
    <xf numFmtId="0" fontId="7" fillId="0" borderId="0" xfId="0" applyFont="1"/>
    <xf numFmtId="1" fontId="0" fillId="0" borderId="0" xfId="0" quotePrefix="1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0" fontId="1" fillId="0" borderId="2" xfId="1" applyNumberFormat="1" applyFont="1" applyFill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1" applyNumberFormat="1" applyFont="1" applyFill="1" applyBorder="1" applyAlignment="1">
      <alignment horizontal="center"/>
    </xf>
    <xf numFmtId="10" fontId="0" fillId="0" borderId="2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1" fillId="0" borderId="2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9" fillId="0" borderId="0" xfId="0" applyFont="1"/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/>
    </xf>
    <xf numFmtId="0" fontId="10" fillId="0" borderId="0" xfId="0" applyFont="1"/>
    <xf numFmtId="164" fontId="0" fillId="0" borderId="7" xfId="0" applyNumberFormat="1" applyBorder="1"/>
    <xf numFmtId="0" fontId="2" fillId="0" borderId="7" xfId="0" applyFont="1" applyBorder="1"/>
    <xf numFmtId="164" fontId="2" fillId="0" borderId="2" xfId="0" applyNumberFormat="1" applyFont="1" applyBorder="1" applyAlignment="1">
      <alignment horizontal="center"/>
    </xf>
    <xf numFmtId="1" fontId="0" fillId="0" borderId="0" xfId="0" quotePrefix="1" applyNumberFormat="1" applyAlignment="1">
      <alignment horizontal="left"/>
    </xf>
    <xf numFmtId="0" fontId="7" fillId="0" borderId="0" xfId="0" applyFont="1" applyAlignment="1">
      <alignment horizontal="center"/>
    </xf>
    <xf numFmtId="0" fontId="0" fillId="0" borderId="4" xfId="0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164" fontId="3" fillId="0" borderId="2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7" fillId="0" borderId="7" xfId="0" applyFont="1" applyBorder="1"/>
    <xf numFmtId="2" fontId="0" fillId="0" borderId="10" xfId="0" applyNumberFormat="1" applyBorder="1" applyAlignment="1">
      <alignment horizontal="center"/>
    </xf>
    <xf numFmtId="0" fontId="2" fillId="0" borderId="0" xfId="0" applyFont="1"/>
    <xf numFmtId="3" fontId="12" fillId="0" borderId="4" xfId="0" applyNumberFormat="1" applyFont="1" applyBorder="1" applyAlignment="1">
      <alignment horizontal="center"/>
    </xf>
    <xf numFmtId="0" fontId="4" fillId="0" borderId="2" xfId="0" applyFont="1" applyBorder="1"/>
    <xf numFmtId="2" fontId="0" fillId="0" borderId="11" xfId="0" applyNumberForma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4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1"/>
  <sheetViews>
    <sheetView workbookViewId="0">
      <selection activeCell="H22" sqref="H22"/>
    </sheetView>
  </sheetViews>
  <sheetFormatPr defaultRowHeight="14.25" x14ac:dyDescent="0.2"/>
  <cols>
    <col min="1" max="1" width="11.28515625" style="46" bestFit="1" customWidth="1"/>
    <col min="2" max="2" width="10.5703125" style="46" customWidth="1"/>
    <col min="3" max="16384" width="9.140625" style="46"/>
  </cols>
  <sheetData>
    <row r="2" spans="1:6" x14ac:dyDescent="0.2">
      <c r="A2" s="46" t="s">
        <v>0</v>
      </c>
    </row>
    <row r="3" spans="1:6" x14ac:dyDescent="0.2">
      <c r="C3" s="77" t="s">
        <v>1</v>
      </c>
      <c r="D3" s="78"/>
      <c r="E3" s="77" t="s">
        <v>2</v>
      </c>
      <c r="F3" s="78"/>
    </row>
    <row r="4" spans="1:6" ht="15" thickBot="1" x14ac:dyDescent="0.25">
      <c r="A4" s="47" t="s">
        <v>3</v>
      </c>
      <c r="B4" s="47" t="s">
        <v>4</v>
      </c>
      <c r="C4" s="47" t="s">
        <v>5</v>
      </c>
      <c r="D4" s="47" t="s">
        <v>6</v>
      </c>
      <c r="E4" s="47" t="s">
        <v>5</v>
      </c>
      <c r="F4" s="48" t="s">
        <v>6</v>
      </c>
    </row>
    <row r="5" spans="1:6" x14ac:dyDescent="0.2">
      <c r="A5" s="49" t="s">
        <v>7</v>
      </c>
      <c r="B5" s="49"/>
      <c r="C5" s="50"/>
      <c r="D5" s="50"/>
      <c r="E5" s="54"/>
      <c r="F5" s="51"/>
    </row>
    <row r="6" spans="1:6" x14ac:dyDescent="0.2">
      <c r="A6" s="49" t="s">
        <v>8</v>
      </c>
      <c r="B6" s="49"/>
      <c r="C6" s="52"/>
      <c r="D6" s="52"/>
      <c r="E6" s="54"/>
      <c r="F6" s="51"/>
    </row>
    <row r="7" spans="1:6" x14ac:dyDescent="0.2">
      <c r="A7" s="49">
        <v>34374</v>
      </c>
      <c r="B7" s="49"/>
      <c r="C7" s="53"/>
      <c r="D7" s="53"/>
      <c r="E7" s="53"/>
      <c r="F7" s="52"/>
    </row>
    <row r="8" spans="1:6" x14ac:dyDescent="0.2">
      <c r="A8" s="68">
        <v>34386</v>
      </c>
    </row>
    <row r="9" spans="1:6" x14ac:dyDescent="0.2">
      <c r="A9" s="68">
        <v>34387</v>
      </c>
    </row>
    <row r="10" spans="1:6" x14ac:dyDescent="0.2">
      <c r="A10" s="68">
        <v>34389</v>
      </c>
    </row>
    <row r="11" spans="1:6" x14ac:dyDescent="0.2">
      <c r="A11" s="68"/>
    </row>
    <row r="13" spans="1:6" x14ac:dyDescent="0.2">
      <c r="A13" s="46" t="s">
        <v>9</v>
      </c>
    </row>
    <row r="14" spans="1:6" ht="15" x14ac:dyDescent="0.25">
      <c r="A14" s="56" t="s">
        <v>10</v>
      </c>
    </row>
    <row r="15" spans="1:6" x14ac:dyDescent="0.2">
      <c r="C15" s="77" t="s">
        <v>11</v>
      </c>
      <c r="D15" s="78"/>
      <c r="E15" s="77" t="s">
        <v>12</v>
      </c>
      <c r="F15" s="78"/>
    </row>
    <row r="16" spans="1:6" ht="15" thickBot="1" x14ac:dyDescent="0.25">
      <c r="A16" s="47" t="s">
        <v>3</v>
      </c>
      <c r="B16" s="47" t="s">
        <v>4</v>
      </c>
      <c r="C16" s="47" t="s">
        <v>5</v>
      </c>
      <c r="D16" s="47" t="s">
        <v>6</v>
      </c>
      <c r="E16" s="47" t="s">
        <v>5</v>
      </c>
      <c r="F16" s="48" t="s">
        <v>6</v>
      </c>
    </row>
    <row r="17" spans="1:6" x14ac:dyDescent="0.2">
      <c r="A17" s="49" t="s">
        <v>13</v>
      </c>
      <c r="B17" s="49"/>
      <c r="C17" s="53"/>
      <c r="D17" s="52"/>
      <c r="E17" s="54"/>
      <c r="F17" s="51"/>
    </row>
    <row r="18" spans="1:6" x14ac:dyDescent="0.2">
      <c r="A18" s="49">
        <v>34374</v>
      </c>
      <c r="B18" s="49"/>
      <c r="C18" s="55"/>
      <c r="D18" s="55"/>
      <c r="E18" s="53"/>
      <c r="F18" s="52"/>
    </row>
    <row r="19" spans="1:6" x14ac:dyDescent="0.2">
      <c r="A19" s="68">
        <v>34386</v>
      </c>
    </row>
    <row r="20" spans="1:6" x14ac:dyDescent="0.2">
      <c r="A20" s="68">
        <v>34387</v>
      </c>
    </row>
    <row r="21" spans="1:6" x14ac:dyDescent="0.2">
      <c r="A21" s="68">
        <v>34389</v>
      </c>
    </row>
  </sheetData>
  <mergeCells count="4">
    <mergeCell ref="C3:D3"/>
    <mergeCell ref="E3:F3"/>
    <mergeCell ref="C15:D15"/>
    <mergeCell ref="E15:F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17"/>
  <sheetViews>
    <sheetView tabSelected="1" zoomScale="120" zoomScaleNormal="120" workbookViewId="0">
      <pane xSplit="1" topLeftCell="B1" activePane="topRight" state="frozen"/>
      <selection activeCell="A10" sqref="A10"/>
      <selection pane="topRight" activeCell="D80" sqref="D80"/>
    </sheetView>
  </sheetViews>
  <sheetFormatPr defaultRowHeight="15" x14ac:dyDescent="0.25"/>
  <cols>
    <col min="1" max="1" width="22.85546875" customWidth="1"/>
    <col min="2" max="2" width="11.5703125" style="3" bestFit="1" customWidth="1"/>
    <col min="3" max="3" width="9.140625" style="3"/>
    <col min="4" max="6" width="7.5703125" style="3" customWidth="1"/>
    <col min="7" max="7" width="11.7109375" style="3" customWidth="1"/>
    <col min="8" max="8" width="10.7109375" style="3" customWidth="1"/>
    <col min="9" max="9" width="10.85546875" style="3" bestFit="1" customWidth="1"/>
    <col min="10" max="10" width="21.85546875" style="3" bestFit="1" customWidth="1"/>
    <col min="11" max="11" width="7.42578125" customWidth="1"/>
    <col min="12" max="12" width="24.7109375" bestFit="1" customWidth="1"/>
    <col min="13" max="13" width="9.140625" style="3"/>
  </cols>
  <sheetData>
    <row r="1" spans="1:11" ht="33.75" customHeight="1" x14ac:dyDescent="0.3">
      <c r="A1" s="65" t="s">
        <v>14</v>
      </c>
    </row>
    <row r="2" spans="1:11" x14ac:dyDescent="0.25">
      <c r="A2" t="s">
        <v>15</v>
      </c>
      <c r="C2" s="5" t="s">
        <v>16</v>
      </c>
      <c r="E2" s="3" t="s">
        <v>17</v>
      </c>
    </row>
    <row r="3" spans="1:11" x14ac:dyDescent="0.25">
      <c r="A3" t="s">
        <v>18</v>
      </c>
      <c r="G3" s="3" t="s">
        <v>19</v>
      </c>
    </row>
    <row r="4" spans="1:11" x14ac:dyDescent="0.25">
      <c r="D4" s="3" t="s">
        <v>20</v>
      </c>
      <c r="E4" s="60" t="s">
        <v>21</v>
      </c>
    </row>
    <row r="5" spans="1:11" x14ac:dyDescent="0.25">
      <c r="A5" s="1" t="s">
        <v>22</v>
      </c>
    </row>
    <row r="6" spans="1:11" x14ac:dyDescent="0.25">
      <c r="A6" s="1" t="s">
        <v>23</v>
      </c>
      <c r="F6" s="3" t="s">
        <v>24</v>
      </c>
    </row>
    <row r="7" spans="1:11" ht="30" x14ac:dyDescent="0.25">
      <c r="A7" s="8" t="s">
        <v>7</v>
      </c>
      <c r="B7" s="13" t="s">
        <v>25</v>
      </c>
      <c r="C7" s="14" t="s">
        <v>26</v>
      </c>
      <c r="D7" s="14" t="s">
        <v>5</v>
      </c>
      <c r="E7" s="13" t="s">
        <v>6</v>
      </c>
      <c r="F7" s="62" t="s">
        <v>27</v>
      </c>
      <c r="G7" s="13" t="s">
        <v>28</v>
      </c>
      <c r="H7" s="13" t="s">
        <v>2</v>
      </c>
      <c r="I7" s="13" t="s">
        <v>5</v>
      </c>
      <c r="J7" s="15" t="s">
        <v>6</v>
      </c>
      <c r="K7" s="44" t="s">
        <v>29</v>
      </c>
    </row>
    <row r="8" spans="1:11" x14ac:dyDescent="0.25">
      <c r="A8" s="9" t="s">
        <v>30</v>
      </c>
      <c r="B8" s="16">
        <v>45400</v>
      </c>
      <c r="C8" s="17">
        <v>1.89</v>
      </c>
      <c r="D8" s="18">
        <f>AVERAGE(C8:C17)</f>
        <v>1.4837399999999998</v>
      </c>
      <c r="E8" s="19">
        <f>STDEV(C8:C17)/SQRT(COUNT(C8:C17))</f>
        <v>0.27871650040856938</v>
      </c>
      <c r="F8" s="20">
        <v>36.18</v>
      </c>
      <c r="G8" s="20">
        <v>38.47</v>
      </c>
      <c r="H8" s="20">
        <f>(100-F8)/(100-G8)*100</f>
        <v>103.72176174223955</v>
      </c>
      <c r="I8" s="19">
        <f>AVERAGE(H8:H17)</f>
        <v>98.105831465942089</v>
      </c>
      <c r="J8" s="21">
        <f>STDEV(H8:H17)/SQRT(COUNT(H8:H17))</f>
        <v>2.6590934012134957</v>
      </c>
      <c r="K8" s="57" t="s">
        <v>31</v>
      </c>
    </row>
    <row r="9" spans="1:11" x14ac:dyDescent="0.25">
      <c r="A9" s="9" t="s">
        <v>30</v>
      </c>
      <c r="B9" s="16">
        <v>45400</v>
      </c>
      <c r="C9" s="24">
        <v>0.96619999999999995</v>
      </c>
      <c r="D9" s="17"/>
      <c r="E9" s="19"/>
      <c r="F9" s="25">
        <v>41.41</v>
      </c>
      <c r="G9" s="20">
        <v>38.47</v>
      </c>
      <c r="H9" s="20">
        <f t="shared" ref="H9" si="0">(100-F9)/(100-G9)*100</f>
        <v>95.221843003412971</v>
      </c>
      <c r="I9" s="19"/>
      <c r="J9" s="21"/>
      <c r="K9" s="57" t="s">
        <v>31</v>
      </c>
    </row>
    <row r="10" spans="1:11" x14ac:dyDescent="0.25">
      <c r="A10" s="9" t="s">
        <v>30</v>
      </c>
      <c r="B10" s="16">
        <v>45407</v>
      </c>
      <c r="C10" s="17">
        <v>1.8140000000000001</v>
      </c>
      <c r="D10" s="17"/>
      <c r="E10" s="19"/>
      <c r="F10" s="23">
        <v>33.83</v>
      </c>
      <c r="G10" s="20">
        <v>37.17</v>
      </c>
      <c r="H10" s="20">
        <f t="shared" ref="H10:H11" si="1">(100-F10)/(100-G10)*100</f>
        <v>105.31593187967532</v>
      </c>
      <c r="I10" s="19"/>
      <c r="J10" s="21"/>
      <c r="K10" s="57" t="s">
        <v>31</v>
      </c>
    </row>
    <row r="11" spans="1:11" x14ac:dyDescent="0.25">
      <c r="A11" s="9" t="s">
        <v>30</v>
      </c>
      <c r="B11" s="16">
        <v>45407</v>
      </c>
      <c r="C11" s="24">
        <v>2.077</v>
      </c>
      <c r="D11" s="17"/>
      <c r="E11" s="19"/>
      <c r="F11" s="25">
        <v>37.71</v>
      </c>
      <c r="G11" s="20">
        <v>32.92</v>
      </c>
      <c r="H11" s="20">
        <f t="shared" si="1"/>
        <v>92.859272510435304</v>
      </c>
      <c r="I11" s="19"/>
      <c r="J11" s="21"/>
      <c r="K11" s="57" t="s">
        <v>31</v>
      </c>
    </row>
    <row r="12" spans="1:11" x14ac:dyDescent="0.25">
      <c r="A12" s="9" t="s">
        <v>30</v>
      </c>
      <c r="B12" s="16">
        <v>45414</v>
      </c>
      <c r="C12" s="17">
        <v>0.67149999999999999</v>
      </c>
      <c r="D12" s="17"/>
      <c r="E12" s="19"/>
      <c r="F12" s="23">
        <v>42.59</v>
      </c>
      <c r="G12" s="20">
        <v>38.54</v>
      </c>
      <c r="H12" s="20">
        <f>(100-F12)/(100-G12)*100</f>
        <v>93.410348193947286</v>
      </c>
      <c r="I12" s="19"/>
      <c r="J12" s="21"/>
      <c r="K12" s="57" t="s">
        <v>31</v>
      </c>
    </row>
    <row r="13" spans="1:11" x14ac:dyDescent="0.25">
      <c r="A13" s="9"/>
      <c r="B13" s="32"/>
      <c r="C13" s="23"/>
      <c r="D13" s="17"/>
      <c r="E13" s="18"/>
      <c r="F13" s="23"/>
      <c r="G13" s="20"/>
      <c r="H13" s="20"/>
      <c r="I13" s="18"/>
      <c r="J13" s="18"/>
      <c r="K13" s="73"/>
    </row>
    <row r="14" spans="1:11" x14ac:dyDescent="0.25">
      <c r="A14" s="9"/>
      <c r="B14" s="32"/>
      <c r="C14" s="23"/>
      <c r="D14" s="17"/>
      <c r="E14" s="27">
        <f>(E8/D8)</f>
        <v>0.18784726462086984</v>
      </c>
      <c r="F14" s="17"/>
      <c r="G14" s="31"/>
      <c r="H14" s="20"/>
      <c r="I14" s="18"/>
      <c r="J14" s="18"/>
      <c r="K14" s="73"/>
    </row>
    <row r="15" spans="1:11" x14ac:dyDescent="0.25">
      <c r="A15" s="9"/>
      <c r="B15" s="32"/>
      <c r="C15" s="23"/>
      <c r="D15" s="17"/>
      <c r="E15" s="28"/>
      <c r="F15" s="17"/>
      <c r="G15" s="31"/>
      <c r="H15" s="20"/>
      <c r="I15" s="18"/>
      <c r="J15" s="18"/>
      <c r="K15" s="73"/>
    </row>
    <row r="16" spans="1:11" x14ac:dyDescent="0.25">
      <c r="A16" s="9"/>
      <c r="B16" s="32"/>
      <c r="C16" s="23"/>
      <c r="D16" s="35" t="s">
        <v>32</v>
      </c>
      <c r="E16" s="40">
        <f>COUNT(C8:C17)</f>
        <v>5</v>
      </c>
      <c r="F16" s="17"/>
      <c r="G16" s="31"/>
      <c r="H16" s="20"/>
      <c r="I16" s="18"/>
      <c r="J16" s="18"/>
    </row>
    <row r="17" spans="1:12" x14ac:dyDescent="0.25">
      <c r="A17" s="9"/>
      <c r="B17" s="32"/>
      <c r="C17" s="23"/>
      <c r="D17" s="17"/>
      <c r="E17" s="17"/>
      <c r="F17" s="17"/>
      <c r="G17" s="31"/>
      <c r="H17" s="20"/>
      <c r="I17" s="18"/>
      <c r="J17" s="18"/>
    </row>
    <row r="18" spans="1:12" x14ac:dyDescent="0.25">
      <c r="B18" s="29"/>
      <c r="D18" s="21"/>
      <c r="E18" s="21"/>
      <c r="F18" s="30"/>
      <c r="G18" s="30"/>
      <c r="H18" s="30"/>
      <c r="K18" s="2"/>
      <c r="L18" s="2"/>
    </row>
    <row r="19" spans="1:12" ht="30" x14ac:dyDescent="0.25">
      <c r="A19" s="8" t="s">
        <v>8</v>
      </c>
      <c r="B19" s="13" t="s">
        <v>25</v>
      </c>
      <c r="C19" s="14" t="s">
        <v>26</v>
      </c>
      <c r="D19" s="14" t="s">
        <v>5</v>
      </c>
      <c r="E19" s="14" t="s">
        <v>6</v>
      </c>
      <c r="F19" s="62" t="s">
        <v>27</v>
      </c>
      <c r="G19" s="13" t="s">
        <v>28</v>
      </c>
      <c r="H19" s="13" t="s">
        <v>2</v>
      </c>
      <c r="I19" s="13" t="s">
        <v>5</v>
      </c>
      <c r="J19" s="15" t="s">
        <v>6</v>
      </c>
      <c r="K19" s="44" t="s">
        <v>29</v>
      </c>
      <c r="L19" s="2"/>
    </row>
    <row r="20" spans="1:12" x14ac:dyDescent="0.25">
      <c r="A20" s="9" t="s">
        <v>30</v>
      </c>
      <c r="B20" s="16">
        <v>45400</v>
      </c>
      <c r="C20" s="24">
        <v>1.466</v>
      </c>
      <c r="D20" s="18">
        <f>AVERAGE(C20:C28)</f>
        <v>2.7126666666666668</v>
      </c>
      <c r="E20" s="18">
        <f>STDEV(C20:C28)/SQRT(COUNT(C20:C28))</f>
        <v>0.76898923558424703</v>
      </c>
      <c r="F20" s="26">
        <v>39.200000000000003</v>
      </c>
      <c r="G20" s="20">
        <v>38.47</v>
      </c>
      <c r="H20" s="20">
        <f>(100-F20)/(100-G20)*100</f>
        <v>98.813586868194363</v>
      </c>
      <c r="I20" s="19">
        <f>AVERAGE(H20:H30)</f>
        <v>97.86012243350126</v>
      </c>
      <c r="J20" s="21">
        <f>STDEV(H20:H30)/SQRT(COUNT(H20:H30))</f>
        <v>2.1826925303876168</v>
      </c>
      <c r="K20" s="57" t="s">
        <v>31</v>
      </c>
      <c r="L20" s="2"/>
    </row>
    <row r="21" spans="1:12" x14ac:dyDescent="0.25">
      <c r="A21" s="9" t="s">
        <v>30</v>
      </c>
      <c r="B21" s="16">
        <v>45400</v>
      </c>
      <c r="C21" s="24">
        <v>2.556</v>
      </c>
      <c r="D21" s="17"/>
      <c r="E21" s="18"/>
      <c r="F21" s="26">
        <v>37.81</v>
      </c>
      <c r="G21" s="20">
        <v>38.47</v>
      </c>
      <c r="H21" s="20">
        <f>(100-F21)/(100-G21)*100</f>
        <v>101.07264748902973</v>
      </c>
      <c r="I21" s="23"/>
      <c r="K21" s="58" t="s">
        <v>31</v>
      </c>
      <c r="L21" s="2"/>
    </row>
    <row r="22" spans="1:12" x14ac:dyDescent="0.25">
      <c r="A22" s="9" t="s">
        <v>30</v>
      </c>
      <c r="B22" s="16">
        <v>45400</v>
      </c>
      <c r="C22" s="24">
        <v>4.1159999999999997</v>
      </c>
      <c r="D22" s="17"/>
      <c r="E22" s="18"/>
      <c r="F22" s="26">
        <v>42.35</v>
      </c>
      <c r="G22" s="20">
        <v>38.47</v>
      </c>
      <c r="H22" s="31">
        <f t="shared" ref="H22" si="2">(100-F22)/(100-G22)*100</f>
        <v>93.694132943279698</v>
      </c>
      <c r="I22" s="23"/>
      <c r="K22" s="58" t="s">
        <v>31</v>
      </c>
      <c r="L22" s="2"/>
    </row>
    <row r="23" spans="1:12" x14ac:dyDescent="0.25">
      <c r="A23" s="9" t="s">
        <v>30</v>
      </c>
      <c r="B23" s="16"/>
      <c r="C23" s="24"/>
      <c r="D23" s="17"/>
      <c r="E23" s="18"/>
      <c r="F23" s="33"/>
      <c r="G23" s="20"/>
      <c r="H23" s="31"/>
      <c r="I23" s="17"/>
      <c r="K23" s="58"/>
      <c r="L23" s="2"/>
    </row>
    <row r="24" spans="1:12" x14ac:dyDescent="0.25">
      <c r="A24" s="9"/>
      <c r="B24" s="16"/>
      <c r="C24" s="24"/>
      <c r="D24" s="17"/>
      <c r="E24" s="18"/>
      <c r="F24" s="23"/>
      <c r="G24" s="20"/>
      <c r="H24" s="31"/>
      <c r="I24" s="17"/>
      <c r="K24" s="58"/>
      <c r="L24" s="2"/>
    </row>
    <row r="25" spans="1:12" x14ac:dyDescent="0.25">
      <c r="A25" s="9"/>
      <c r="B25" s="32"/>
      <c r="C25" s="22"/>
      <c r="D25" s="17"/>
      <c r="E25" s="27">
        <f>(E20/D20)</f>
        <v>0.28348091751692567</v>
      </c>
      <c r="F25" s="34"/>
      <c r="G25" s="33"/>
      <c r="H25" s="31"/>
      <c r="I25" s="17"/>
      <c r="K25" s="11"/>
      <c r="L25" s="2"/>
    </row>
    <row r="26" spans="1:12" x14ac:dyDescent="0.25">
      <c r="A26" s="9"/>
      <c r="B26" s="32"/>
      <c r="C26" s="24"/>
      <c r="D26" s="17"/>
      <c r="E26" s="5"/>
      <c r="F26" s="33"/>
      <c r="G26" s="33"/>
      <c r="H26" s="31"/>
      <c r="I26" s="17"/>
      <c r="K26" s="2"/>
      <c r="L26" s="2"/>
    </row>
    <row r="27" spans="1:12" x14ac:dyDescent="0.25">
      <c r="A27" s="9" t="s">
        <v>33</v>
      </c>
      <c r="B27" s="32"/>
      <c r="C27" s="24"/>
      <c r="D27" s="35" t="s">
        <v>32</v>
      </c>
      <c r="E27" s="36">
        <f>COUNT(C20:C28)</f>
        <v>3</v>
      </c>
      <c r="F27" s="33"/>
      <c r="G27" s="33"/>
      <c r="H27" s="31"/>
      <c r="I27" s="17"/>
      <c r="K27" s="2"/>
      <c r="L27" s="2"/>
    </row>
    <row r="28" spans="1:12" x14ac:dyDescent="0.25">
      <c r="A28" s="9"/>
      <c r="B28" s="32"/>
      <c r="C28" s="24"/>
      <c r="D28" s="17"/>
      <c r="E28" s="37"/>
      <c r="F28" s="33"/>
      <c r="G28" s="33"/>
      <c r="H28" s="31"/>
      <c r="I28" s="17"/>
      <c r="K28" s="2"/>
      <c r="L28" s="2"/>
    </row>
    <row r="29" spans="1:12" x14ac:dyDescent="0.25">
      <c r="A29" s="4"/>
      <c r="B29" s="29"/>
      <c r="E29" s="30"/>
      <c r="G29" s="30"/>
      <c r="H29" s="30"/>
      <c r="K29" s="2"/>
      <c r="L29" s="2"/>
    </row>
    <row r="30" spans="1:12" x14ac:dyDescent="0.25">
      <c r="A30" s="1"/>
      <c r="B30" s="29"/>
      <c r="C30" s="38"/>
      <c r="F30" s="39"/>
      <c r="G30" s="30"/>
      <c r="H30" s="30"/>
      <c r="K30" s="2"/>
      <c r="L30" s="2"/>
    </row>
    <row r="31" spans="1:12" ht="30" x14ac:dyDescent="0.25">
      <c r="A31" s="74">
        <v>34485</v>
      </c>
      <c r="B31" s="13" t="s">
        <v>25</v>
      </c>
      <c r="C31" s="14" t="s">
        <v>26</v>
      </c>
      <c r="D31" s="14" t="s">
        <v>5</v>
      </c>
      <c r="E31" s="14" t="s">
        <v>6</v>
      </c>
      <c r="F31" s="62" t="s">
        <v>27</v>
      </c>
      <c r="G31" s="13" t="s">
        <v>28</v>
      </c>
      <c r="H31" s="13" t="s">
        <v>2</v>
      </c>
      <c r="I31" s="13" t="s">
        <v>5</v>
      </c>
      <c r="J31" s="15" t="s">
        <v>6</v>
      </c>
      <c r="K31" s="44" t="s">
        <v>29</v>
      </c>
    </row>
    <row r="32" spans="1:12" x14ac:dyDescent="0.25">
      <c r="A32" s="9" t="s">
        <v>34</v>
      </c>
      <c r="B32" s="16">
        <v>45400</v>
      </c>
      <c r="C32" s="24">
        <v>44.49</v>
      </c>
      <c r="D32" s="31">
        <f>AVERAGE(C32:C41)</f>
        <v>39.03</v>
      </c>
      <c r="E32" s="31">
        <f>STDEV(C32:C41)/SQRT(COUNT(C32:C41))</f>
        <v>3.3658480853023098</v>
      </c>
      <c r="F32" s="20">
        <v>63.94</v>
      </c>
      <c r="G32" s="20">
        <v>38.47</v>
      </c>
      <c r="H32" s="20">
        <f>(100-F32)/(100-G32)*100</f>
        <v>58.60555826426134</v>
      </c>
      <c r="I32" s="20">
        <f>AVERAGE(H32:H34)</f>
        <v>60.059339473482886</v>
      </c>
      <c r="J32" s="30">
        <f>STDEV(H32:H35)/SQRT(COUNT(H32:H35))</f>
        <v>0.78211561993210055</v>
      </c>
      <c r="K32" s="57" t="s">
        <v>31</v>
      </c>
      <c r="L32" s="7"/>
    </row>
    <row r="33" spans="1:12" x14ac:dyDescent="0.25">
      <c r="A33" s="9" t="s">
        <v>34</v>
      </c>
      <c r="B33" s="16">
        <v>45407</v>
      </c>
      <c r="C33" s="24">
        <v>32.89</v>
      </c>
      <c r="D33" s="17"/>
      <c r="E33" s="18"/>
      <c r="F33" s="20">
        <v>61.31</v>
      </c>
      <c r="G33" s="20">
        <v>36.869999999999997</v>
      </c>
      <c r="H33" s="20">
        <f t="shared" ref="H33:H34" si="3">(100-F33)/(100-G33)*100</f>
        <v>61.286234753682869</v>
      </c>
      <c r="I33" s="19"/>
      <c r="J33" s="21"/>
      <c r="K33" s="57" t="s">
        <v>31</v>
      </c>
      <c r="L33" s="7"/>
    </row>
    <row r="34" spans="1:12" x14ac:dyDescent="0.25">
      <c r="A34" s="9" t="s">
        <v>34</v>
      </c>
      <c r="B34" s="16">
        <v>45407</v>
      </c>
      <c r="C34" s="24">
        <v>39.71</v>
      </c>
      <c r="D34" s="18"/>
      <c r="E34" s="18"/>
      <c r="F34" s="20">
        <v>59.56</v>
      </c>
      <c r="G34" s="20">
        <v>32.92</v>
      </c>
      <c r="H34" s="20">
        <f t="shared" si="3"/>
        <v>60.286225402504471</v>
      </c>
      <c r="I34" s="19"/>
      <c r="J34" s="21"/>
      <c r="K34" s="57" t="s">
        <v>31</v>
      </c>
    </row>
    <row r="35" spans="1:12" x14ac:dyDescent="0.25">
      <c r="A35" s="9"/>
      <c r="B35" s="16"/>
      <c r="C35" s="24"/>
      <c r="D35" s="18"/>
      <c r="E35" s="18"/>
      <c r="F35" s="26"/>
      <c r="G35" s="20"/>
      <c r="H35" s="20"/>
      <c r="I35" s="19"/>
      <c r="J35" s="21"/>
      <c r="K35" s="58"/>
    </row>
    <row r="36" spans="1:12" x14ac:dyDescent="0.25">
      <c r="A36" s="9"/>
      <c r="B36" s="16"/>
      <c r="C36" s="22"/>
      <c r="D36" s="17"/>
      <c r="E36" s="27">
        <f>(E32/D32)</f>
        <v>8.6237460550917494E-2</v>
      </c>
      <c r="F36" s="23"/>
      <c r="G36" s="75"/>
      <c r="H36" s="20"/>
      <c r="I36" s="19"/>
      <c r="J36" s="21"/>
      <c r="K36" s="58"/>
    </row>
    <row r="37" spans="1:12" x14ac:dyDescent="0.25">
      <c r="A37" s="9"/>
      <c r="B37" s="16"/>
      <c r="C37" s="24"/>
      <c r="D37" s="24"/>
      <c r="E37" s="43"/>
      <c r="F37" s="26"/>
      <c r="G37" s="20"/>
      <c r="H37" s="26"/>
      <c r="I37" s="23"/>
      <c r="K37" s="58"/>
    </row>
    <row r="38" spans="1:12" x14ac:dyDescent="0.25">
      <c r="A38" s="9"/>
      <c r="B38" s="29"/>
      <c r="C38" s="24"/>
      <c r="D38" s="35" t="s">
        <v>32</v>
      </c>
      <c r="E38" s="40">
        <f>COUNT(C32:C40)</f>
        <v>3</v>
      </c>
      <c r="F38" s="20"/>
      <c r="G38" s="20"/>
      <c r="H38" s="26"/>
      <c r="I38" s="17"/>
      <c r="K38" s="58"/>
    </row>
    <row r="39" spans="1:12" x14ac:dyDescent="0.25">
      <c r="A39" s="9"/>
      <c r="B39" s="32"/>
      <c r="C39" s="24"/>
      <c r="D39" s="23"/>
      <c r="E39" s="31"/>
      <c r="F39" s="26"/>
      <c r="G39" s="20"/>
      <c r="H39" s="26"/>
      <c r="I39" s="17"/>
      <c r="K39" s="58"/>
    </row>
    <row r="40" spans="1:12" x14ac:dyDescent="0.25">
      <c r="A40" s="9"/>
      <c r="B40" s="32"/>
      <c r="C40" s="24"/>
      <c r="D40" s="17"/>
      <c r="E40" s="31"/>
      <c r="F40" s="31"/>
      <c r="G40" s="20"/>
      <c r="H40" s="26"/>
      <c r="I40" s="17"/>
      <c r="K40" s="58"/>
    </row>
    <row r="41" spans="1:12" x14ac:dyDescent="0.25">
      <c r="A41" s="9"/>
      <c r="B41" s="32"/>
      <c r="C41" s="22"/>
      <c r="D41" s="17"/>
      <c r="E41" s="31"/>
      <c r="F41" s="31"/>
      <c r="G41" s="75"/>
      <c r="H41" s="26"/>
      <c r="I41" s="17"/>
      <c r="K41" s="58"/>
    </row>
    <row r="42" spans="1:12" x14ac:dyDescent="0.25">
      <c r="A42" s="4"/>
      <c r="B42" s="29"/>
      <c r="C42" s="11"/>
      <c r="E42" s="30"/>
      <c r="F42" s="30"/>
      <c r="G42" s="30"/>
      <c r="H42" s="30"/>
    </row>
    <row r="43" spans="1:12" x14ac:dyDescent="0.25">
      <c r="A43" s="4" t="s">
        <v>33</v>
      </c>
      <c r="B43" s="29"/>
      <c r="C43" s="38"/>
      <c r="E43" s="30"/>
      <c r="F43" s="30"/>
      <c r="G43" s="30"/>
      <c r="H43" s="30"/>
    </row>
    <row r="44" spans="1:12" x14ac:dyDescent="0.25">
      <c r="A44" s="4"/>
      <c r="B44" s="29"/>
      <c r="C44" s="38"/>
      <c r="E44" s="30"/>
      <c r="F44" s="30"/>
      <c r="G44" s="30"/>
      <c r="H44" s="30"/>
    </row>
    <row r="45" spans="1:12" x14ac:dyDescent="0.25">
      <c r="A45" s="4"/>
      <c r="B45" s="29"/>
      <c r="C45" s="38"/>
      <c r="E45" s="30"/>
      <c r="F45" s="30"/>
      <c r="G45" s="39"/>
      <c r="H45" s="30"/>
    </row>
    <row r="46" spans="1:12" ht="30" x14ac:dyDescent="0.25">
      <c r="A46" s="74">
        <v>34486</v>
      </c>
      <c r="B46" s="13" t="s">
        <v>25</v>
      </c>
      <c r="C46" s="14" t="s">
        <v>26</v>
      </c>
      <c r="D46" s="14" t="s">
        <v>5</v>
      </c>
      <c r="E46" s="14" t="s">
        <v>6</v>
      </c>
      <c r="F46" s="62" t="s">
        <v>27</v>
      </c>
      <c r="G46" s="13" t="s">
        <v>28</v>
      </c>
      <c r="H46" s="13" t="s">
        <v>2</v>
      </c>
      <c r="I46" s="13" t="s">
        <v>5</v>
      </c>
      <c r="J46" s="15" t="s">
        <v>6</v>
      </c>
      <c r="K46" s="44" t="s">
        <v>29</v>
      </c>
    </row>
    <row r="47" spans="1:12" x14ac:dyDescent="0.25">
      <c r="A47" s="9" t="s">
        <v>34</v>
      </c>
      <c r="B47" s="16">
        <v>45400</v>
      </c>
      <c r="C47" s="24">
        <v>50.7</v>
      </c>
      <c r="D47" s="31">
        <f>AVERAGE(C47:C55)</f>
        <v>71.533333333333331</v>
      </c>
      <c r="E47" s="31">
        <f>STDEV(C47:C55)/SQRT(COUNT(C47:C55))</f>
        <v>18.916864903513428</v>
      </c>
      <c r="F47" s="20">
        <v>59.11</v>
      </c>
      <c r="G47" s="20">
        <v>38.47</v>
      </c>
      <c r="H47" s="20">
        <f>(100-F47)/(100-G47)*100</f>
        <v>66.455387615797164</v>
      </c>
      <c r="I47" s="20">
        <f>AVERAGE(H47:H53)</f>
        <v>57.522162973271584</v>
      </c>
      <c r="J47" s="30">
        <f>STDEV(H47:H53)/SQRT(COUNT(H47:H53))</f>
        <v>4.5274807528494216</v>
      </c>
      <c r="K47" s="57" t="s">
        <v>31</v>
      </c>
    </row>
    <row r="48" spans="1:12" x14ac:dyDescent="0.25">
      <c r="A48" s="9" t="s">
        <v>34</v>
      </c>
      <c r="B48" s="16">
        <v>45407</v>
      </c>
      <c r="C48" s="24">
        <v>109.3</v>
      </c>
      <c r="D48" s="17"/>
      <c r="E48" s="18"/>
      <c r="F48" s="20">
        <v>65.86</v>
      </c>
      <c r="G48" s="20">
        <v>37.17</v>
      </c>
      <c r="H48" s="20">
        <f>(100-F48)/(100-G48)*100</f>
        <v>54.33710011141175</v>
      </c>
      <c r="I48" s="19"/>
      <c r="J48" s="21"/>
      <c r="K48" s="57" t="s">
        <v>31</v>
      </c>
    </row>
    <row r="49" spans="1:11" x14ac:dyDescent="0.25">
      <c r="A49" s="9" t="s">
        <v>34</v>
      </c>
      <c r="B49" s="16">
        <v>45407</v>
      </c>
      <c r="C49" s="24">
        <v>54.6</v>
      </c>
      <c r="D49" s="18"/>
      <c r="E49" s="18"/>
      <c r="F49" s="20">
        <v>65.27</v>
      </c>
      <c r="G49" s="20">
        <v>32.92</v>
      </c>
      <c r="H49" s="20">
        <f t="shared" ref="H49" si="4">(100-F49)/(100-G49)*100</f>
        <v>51.774001192605859</v>
      </c>
      <c r="I49" s="19"/>
      <c r="J49" s="21"/>
      <c r="K49" s="57" t="s">
        <v>31</v>
      </c>
    </row>
    <row r="50" spans="1:11" x14ac:dyDescent="0.25">
      <c r="A50" s="9"/>
      <c r="B50" s="16"/>
      <c r="C50" s="24"/>
      <c r="D50" s="18"/>
      <c r="E50" s="18"/>
      <c r="F50" s="23"/>
      <c r="G50" s="20"/>
      <c r="H50" s="20"/>
      <c r="I50" s="19"/>
      <c r="J50" s="21"/>
      <c r="K50" s="58"/>
    </row>
    <row r="51" spans="1:11" x14ac:dyDescent="0.25">
      <c r="A51" s="9"/>
      <c r="B51" s="16"/>
      <c r="C51" s="24"/>
      <c r="D51" s="17"/>
      <c r="E51" s="27">
        <f>(E47/D47)</f>
        <v>0.264448251214074</v>
      </c>
      <c r="F51" s="23"/>
      <c r="G51" s="20"/>
      <c r="H51" s="20"/>
      <c r="I51" s="19"/>
      <c r="J51" s="21"/>
      <c r="K51" s="58"/>
    </row>
    <row r="52" spans="1:11" x14ac:dyDescent="0.25">
      <c r="A52" s="9"/>
      <c r="B52" s="16"/>
      <c r="C52" s="24"/>
      <c r="D52" s="24"/>
      <c r="E52" s="43"/>
      <c r="F52" s="26"/>
      <c r="G52" s="20"/>
      <c r="H52" s="26"/>
      <c r="I52" s="23"/>
      <c r="K52" s="58"/>
    </row>
    <row r="53" spans="1:11" x14ac:dyDescent="0.25">
      <c r="A53" s="9"/>
      <c r="B53" s="29"/>
      <c r="C53" s="24"/>
      <c r="D53" s="35" t="s">
        <v>32</v>
      </c>
      <c r="E53" s="40">
        <f>COUNT(C47:C55)</f>
        <v>3</v>
      </c>
      <c r="F53" s="20"/>
      <c r="G53" s="20"/>
      <c r="H53" s="26"/>
      <c r="I53" s="17"/>
      <c r="K53" s="58"/>
    </row>
    <row r="54" spans="1:11" x14ac:dyDescent="0.25">
      <c r="A54" s="9"/>
      <c r="B54" s="32"/>
      <c r="C54" s="24"/>
      <c r="D54" s="17"/>
      <c r="E54" s="31"/>
      <c r="F54" s="33"/>
      <c r="G54" s="31"/>
      <c r="H54" s="31"/>
      <c r="I54" s="17"/>
      <c r="K54" s="45"/>
    </row>
    <row r="55" spans="1:11" x14ac:dyDescent="0.25">
      <c r="A55" s="9" t="s">
        <v>33</v>
      </c>
      <c r="B55" s="32"/>
      <c r="C55" s="24"/>
      <c r="D55" s="17"/>
      <c r="E55" s="31"/>
      <c r="F55" s="31"/>
      <c r="G55" s="33"/>
      <c r="H55" s="31"/>
      <c r="I55" s="17"/>
      <c r="K55" s="45"/>
    </row>
    <row r="56" spans="1:11" x14ac:dyDescent="0.25">
      <c r="A56" s="4"/>
      <c r="B56" s="29"/>
      <c r="C56" s="38"/>
      <c r="E56" s="30"/>
      <c r="F56" s="30"/>
      <c r="G56" s="39"/>
      <c r="H56" s="30"/>
    </row>
    <row r="57" spans="1:11" x14ac:dyDescent="0.25">
      <c r="A57" s="4"/>
      <c r="B57" s="29"/>
      <c r="C57" s="38"/>
      <c r="E57" s="30"/>
      <c r="F57" s="30"/>
      <c r="G57" s="39"/>
      <c r="H57" s="30"/>
    </row>
    <row r="58" spans="1:11" ht="30" x14ac:dyDescent="0.25">
      <c r="A58" s="74">
        <v>34488</v>
      </c>
      <c r="B58" s="13" t="s">
        <v>25</v>
      </c>
      <c r="C58" s="14" t="s">
        <v>26</v>
      </c>
      <c r="D58" s="14" t="s">
        <v>5</v>
      </c>
      <c r="E58" s="14" t="s">
        <v>6</v>
      </c>
      <c r="F58" s="62" t="s">
        <v>27</v>
      </c>
      <c r="G58" s="13" t="s">
        <v>28</v>
      </c>
      <c r="H58" s="13" t="s">
        <v>2</v>
      </c>
      <c r="I58" s="13" t="s">
        <v>5</v>
      </c>
      <c r="J58" s="15" t="s">
        <v>6</v>
      </c>
      <c r="K58" s="44" t="s">
        <v>29</v>
      </c>
    </row>
    <row r="59" spans="1:11" x14ac:dyDescent="0.25">
      <c r="A59" s="9" t="s">
        <v>34</v>
      </c>
      <c r="B59" s="16">
        <v>45400</v>
      </c>
      <c r="C59" s="59" t="s">
        <v>35</v>
      </c>
      <c r="D59" s="31" t="e">
        <f>AVERAGE(C59:C64)</f>
        <v>#DIV/0!</v>
      </c>
      <c r="E59" s="31" t="e">
        <f>STDEV(C59:C64)/SQRT(COUNT(C59:C64))</f>
        <v>#DIV/0!</v>
      </c>
      <c r="F59" s="20"/>
      <c r="G59" s="20">
        <v>38.47</v>
      </c>
      <c r="H59" s="20">
        <f>(100-F59)/(100-G59)*100</f>
        <v>162.52234682268812</v>
      </c>
      <c r="I59" s="20">
        <f>AVERAGE(H59:H64)</f>
        <v>160.46282080560985</v>
      </c>
      <c r="J59" s="30">
        <f>STDEV(H59:H64)/SQRT(COUNT(H59:H64))</f>
        <v>2.059526017078269</v>
      </c>
      <c r="K59" s="57" t="s">
        <v>31</v>
      </c>
    </row>
    <row r="60" spans="1:11" x14ac:dyDescent="0.25">
      <c r="A60" s="9" t="s">
        <v>34</v>
      </c>
      <c r="B60" s="16">
        <v>45407</v>
      </c>
      <c r="C60" s="24" t="s">
        <v>35</v>
      </c>
      <c r="D60" s="17"/>
      <c r="E60" s="18"/>
      <c r="F60" s="20"/>
      <c r="G60" s="20">
        <v>36.869999999999997</v>
      </c>
      <c r="H60" s="20">
        <f t="shared" ref="H60" si="5">(100-F60)/(100-G60)*100</f>
        <v>158.40329478853158</v>
      </c>
      <c r="I60" s="19"/>
      <c r="J60" s="21"/>
      <c r="K60" s="57" t="s">
        <v>31</v>
      </c>
    </row>
    <row r="61" spans="1:11" x14ac:dyDescent="0.25">
      <c r="A61" s="9"/>
      <c r="B61" s="16"/>
      <c r="C61" s="22"/>
      <c r="D61" s="18"/>
      <c r="E61" s="18"/>
      <c r="F61" s="20"/>
      <c r="G61" s="20"/>
      <c r="H61" s="20"/>
      <c r="I61" s="19"/>
      <c r="J61" s="21"/>
      <c r="K61" s="71"/>
    </row>
    <row r="62" spans="1:11" x14ac:dyDescent="0.25">
      <c r="A62" s="9"/>
      <c r="B62" s="16"/>
      <c r="C62" s="24"/>
      <c r="D62" s="18"/>
      <c r="E62" s="18"/>
      <c r="F62" s="23"/>
      <c r="G62" s="20"/>
      <c r="H62" s="20"/>
      <c r="I62" s="19"/>
      <c r="J62" s="21"/>
      <c r="K62" s="58"/>
    </row>
    <row r="63" spans="1:11" x14ac:dyDescent="0.25">
      <c r="A63" s="9"/>
      <c r="B63" s="16"/>
      <c r="C63" s="22"/>
      <c r="D63" s="17"/>
      <c r="E63" s="27" t="e">
        <f>(E59/D59)</f>
        <v>#DIV/0!</v>
      </c>
      <c r="F63" s="26"/>
      <c r="G63" s="20"/>
      <c r="H63" s="20"/>
      <c r="I63" s="19"/>
      <c r="J63" s="18"/>
      <c r="K63" s="71"/>
    </row>
    <row r="64" spans="1:11" x14ac:dyDescent="0.25">
      <c r="A64" s="9"/>
      <c r="B64" s="16"/>
      <c r="C64" s="24"/>
      <c r="D64" s="24"/>
      <c r="E64" s="43"/>
      <c r="F64" s="33"/>
      <c r="G64" s="20"/>
      <c r="H64" s="31"/>
      <c r="I64" s="23"/>
      <c r="K64" s="58"/>
    </row>
    <row r="65" spans="1:12" x14ac:dyDescent="0.25">
      <c r="A65" s="4"/>
      <c r="B65" s="29"/>
      <c r="C65" s="38"/>
      <c r="E65" s="30"/>
      <c r="F65" s="30"/>
      <c r="G65" s="30"/>
      <c r="H65" s="30"/>
    </row>
    <row r="66" spans="1:12" x14ac:dyDescent="0.25">
      <c r="A66" s="4" t="s">
        <v>33</v>
      </c>
      <c r="B66" s="29"/>
      <c r="C66" s="38"/>
      <c r="E66" s="30"/>
      <c r="F66" s="30"/>
      <c r="G66" s="30"/>
      <c r="H66" s="30"/>
    </row>
    <row r="67" spans="1:12" x14ac:dyDescent="0.25">
      <c r="A67" s="4"/>
      <c r="B67" s="29"/>
      <c r="C67" s="38"/>
      <c r="E67" s="30"/>
      <c r="F67" s="30"/>
      <c r="G67" s="39"/>
      <c r="H67" s="30"/>
    </row>
    <row r="68" spans="1:12" ht="30" x14ac:dyDescent="0.25">
      <c r="A68" s="74">
        <v>34489</v>
      </c>
      <c r="B68" s="13" t="s">
        <v>25</v>
      </c>
      <c r="C68" s="14" t="s">
        <v>26</v>
      </c>
      <c r="D68" s="14" t="s">
        <v>5</v>
      </c>
      <c r="E68" s="14" t="s">
        <v>6</v>
      </c>
      <c r="F68" s="62" t="s">
        <v>27</v>
      </c>
      <c r="G68" s="13" t="s">
        <v>28</v>
      </c>
      <c r="H68" s="14" t="s">
        <v>2</v>
      </c>
      <c r="I68" s="13" t="s">
        <v>5</v>
      </c>
      <c r="J68" s="15" t="s">
        <v>6</v>
      </c>
      <c r="K68" s="44" t="s">
        <v>29</v>
      </c>
    </row>
    <row r="69" spans="1:12" x14ac:dyDescent="0.25">
      <c r="A69" s="9" t="s">
        <v>34</v>
      </c>
      <c r="B69" s="16">
        <v>45400</v>
      </c>
      <c r="C69" s="59" t="s">
        <v>35</v>
      </c>
      <c r="D69" s="31" t="e">
        <f>AVERAGE(C69:C72)</f>
        <v>#DIV/0!</v>
      </c>
      <c r="E69" s="31" t="e">
        <f>STDEV(C69:C72)/SQRT(COUNT(C69:C72))</f>
        <v>#DIV/0!</v>
      </c>
      <c r="F69" s="20"/>
      <c r="G69" s="76">
        <v>38.47</v>
      </c>
      <c r="H69" s="76">
        <f>(100-F69)/(100-G69)*100</f>
        <v>162.52234682268812</v>
      </c>
      <c r="I69" s="20">
        <f>AVERAGE(H69:H72)</f>
        <v>160.84099196935776</v>
      </c>
      <c r="J69" s="30">
        <f>STDEV(H69:H72)/SQRT(COUNT(H69:H72))</f>
        <v>1.6813548533303615</v>
      </c>
      <c r="K69" s="57" t="s">
        <v>31</v>
      </c>
    </row>
    <row r="70" spans="1:12" x14ac:dyDescent="0.25">
      <c r="A70" s="9" t="s">
        <v>34</v>
      </c>
      <c r="B70" s="16">
        <v>45407</v>
      </c>
      <c r="C70" s="24" t="s">
        <v>35</v>
      </c>
      <c r="D70" s="17"/>
      <c r="E70" s="18"/>
      <c r="F70" s="20"/>
      <c r="G70" s="20">
        <v>37.17</v>
      </c>
      <c r="H70" s="31">
        <f t="shared" ref="H70" si="6">(100-F70)/(100-G70)*100</f>
        <v>159.1596371160274</v>
      </c>
      <c r="I70" s="18"/>
      <c r="J70" s="21"/>
      <c r="K70" s="57" t="s">
        <v>31</v>
      </c>
      <c r="L70" s="30"/>
    </row>
    <row r="71" spans="1:12" x14ac:dyDescent="0.25">
      <c r="A71" s="9"/>
      <c r="B71" s="16"/>
      <c r="C71" s="24"/>
      <c r="D71" s="18"/>
      <c r="E71" s="18"/>
      <c r="F71" s="20"/>
      <c r="G71" s="20"/>
      <c r="H71" s="31"/>
      <c r="I71" s="18"/>
      <c r="J71" s="18"/>
      <c r="K71" s="73"/>
    </row>
    <row r="72" spans="1:12" x14ac:dyDescent="0.25">
      <c r="A72" s="9"/>
      <c r="B72" s="16"/>
      <c r="C72" s="24"/>
      <c r="D72" s="18"/>
      <c r="E72" s="18"/>
      <c r="F72" s="23"/>
      <c r="G72" s="20"/>
      <c r="H72" s="31"/>
      <c r="I72" s="18"/>
      <c r="J72" s="18"/>
      <c r="K72" s="73"/>
    </row>
    <row r="73" spans="1:12" x14ac:dyDescent="0.25">
      <c r="A73" s="9"/>
      <c r="B73" s="16"/>
      <c r="C73" s="24"/>
      <c r="D73" s="17"/>
      <c r="E73" s="31"/>
      <c r="F73" s="20"/>
      <c r="G73" s="20"/>
      <c r="H73" s="20"/>
      <c r="I73" s="23"/>
      <c r="K73" s="73"/>
    </row>
    <row r="74" spans="1:12" x14ac:dyDescent="0.25">
      <c r="A74" s="9" t="s">
        <v>33</v>
      </c>
      <c r="B74" s="16"/>
      <c r="C74" s="24"/>
      <c r="D74" s="17"/>
      <c r="E74" s="31"/>
      <c r="F74" s="20"/>
      <c r="G74" s="20"/>
      <c r="H74" s="20"/>
      <c r="I74" s="23"/>
      <c r="K74" s="73"/>
    </row>
    <row r="75" spans="1:12" ht="30" x14ac:dyDescent="0.25">
      <c r="A75" s="74">
        <v>34491</v>
      </c>
      <c r="B75" s="13" t="s">
        <v>25</v>
      </c>
      <c r="C75" s="14" t="s">
        <v>26</v>
      </c>
      <c r="D75" s="14" t="s">
        <v>5</v>
      </c>
      <c r="E75" s="14" t="s">
        <v>6</v>
      </c>
      <c r="F75" s="62" t="s">
        <v>27</v>
      </c>
      <c r="G75" s="13" t="s">
        <v>28</v>
      </c>
      <c r="H75" s="13" t="s">
        <v>2</v>
      </c>
      <c r="I75" s="13" t="s">
        <v>5</v>
      </c>
      <c r="J75" s="15" t="s">
        <v>6</v>
      </c>
      <c r="K75" s="44" t="s">
        <v>29</v>
      </c>
    </row>
    <row r="76" spans="1:12" x14ac:dyDescent="0.25">
      <c r="A76" s="9" t="s">
        <v>34</v>
      </c>
      <c r="B76" s="16">
        <v>45400</v>
      </c>
      <c r="C76" s="59">
        <v>59.04</v>
      </c>
      <c r="D76" s="31">
        <f>AVERAGE(C76:C84)</f>
        <v>75.13000000000001</v>
      </c>
      <c r="E76" s="31">
        <f>STDEV(C76:C84)/SQRT(COUNT(C76:C84))</f>
        <v>26.385549706862903</v>
      </c>
      <c r="F76" s="20">
        <v>60.66</v>
      </c>
      <c r="G76" s="20">
        <v>38.47</v>
      </c>
      <c r="H76" s="72">
        <f>(100-F76)/(100-G76)*100</f>
        <v>63.936291240045506</v>
      </c>
      <c r="I76" s="20">
        <f>AVERAGE(H76:H84)</f>
        <v>55.69872252746066</v>
      </c>
      <c r="J76" s="30">
        <f>STDEV(H76:H84)/SQRT(COUNT(H76:H84))</f>
        <v>6.8683993998043249</v>
      </c>
      <c r="K76" s="57" t="s">
        <v>31</v>
      </c>
    </row>
    <row r="77" spans="1:12" x14ac:dyDescent="0.25">
      <c r="A77" s="9" t="s">
        <v>34</v>
      </c>
      <c r="B77" s="16">
        <v>45407</v>
      </c>
      <c r="C77" s="24">
        <v>126.7</v>
      </c>
      <c r="D77" s="17"/>
      <c r="E77" s="18"/>
      <c r="F77" s="20">
        <v>61.1</v>
      </c>
      <c r="G77" s="20">
        <v>37.17</v>
      </c>
      <c r="H77" s="17">
        <v>61.1</v>
      </c>
      <c r="I77" s="18"/>
      <c r="J77" s="21"/>
      <c r="K77" s="57" t="s">
        <v>31</v>
      </c>
      <c r="L77" s="11"/>
    </row>
    <row r="78" spans="1:12" x14ac:dyDescent="0.25">
      <c r="A78" s="9" t="s">
        <v>34</v>
      </c>
      <c r="B78" s="16">
        <v>45414</v>
      </c>
      <c r="C78" s="24">
        <v>39.65</v>
      </c>
      <c r="D78" s="18"/>
      <c r="E78" s="18"/>
      <c r="F78" s="20">
        <v>74.150000000000006</v>
      </c>
      <c r="G78" s="20">
        <v>38.54</v>
      </c>
      <c r="H78" s="31">
        <f t="shared" ref="H78" si="7">(100-F78)/(100-G78)*100</f>
        <v>42.059876342336473</v>
      </c>
      <c r="I78" s="18"/>
      <c r="J78" s="18"/>
      <c r="K78" s="57" t="s">
        <v>31</v>
      </c>
    </row>
    <row r="79" spans="1:12" x14ac:dyDescent="0.25">
      <c r="A79" s="9"/>
      <c r="B79" s="16"/>
      <c r="C79" s="24"/>
      <c r="D79" s="18"/>
      <c r="E79" s="18"/>
      <c r="F79" s="23"/>
      <c r="G79" s="20"/>
      <c r="H79" s="31"/>
      <c r="I79" s="18"/>
      <c r="J79" s="18"/>
      <c r="K79" s="73"/>
    </row>
    <row r="80" spans="1:12" x14ac:dyDescent="0.25">
      <c r="A80" s="9"/>
      <c r="B80" s="16"/>
      <c r="C80" s="24"/>
      <c r="D80" s="17"/>
      <c r="E80" s="27">
        <f>(E76/D76)</f>
        <v>0.35119858521047387</v>
      </c>
      <c r="F80" s="26"/>
      <c r="G80" s="20"/>
      <c r="H80" s="31"/>
      <c r="I80" s="18"/>
      <c r="J80" s="18"/>
      <c r="K80" s="73"/>
    </row>
    <row r="81" spans="1:13" x14ac:dyDescent="0.25">
      <c r="A81" s="9"/>
      <c r="B81" s="16"/>
      <c r="C81" s="24"/>
      <c r="D81" s="24"/>
      <c r="E81" s="43"/>
      <c r="F81" s="26"/>
      <c r="G81" s="20"/>
      <c r="H81" s="31"/>
      <c r="I81" s="17"/>
      <c r="J81" s="17"/>
      <c r="K81" s="73"/>
    </row>
    <row r="82" spans="1:13" x14ac:dyDescent="0.25">
      <c r="A82" s="9"/>
      <c r="B82" s="29"/>
      <c r="C82" s="24"/>
      <c r="D82" s="35" t="s">
        <v>32</v>
      </c>
      <c r="E82" s="40">
        <f>COUNT(C76:C84)</f>
        <v>3</v>
      </c>
      <c r="F82" s="31"/>
      <c r="G82" s="20"/>
      <c r="H82" s="31"/>
      <c r="I82" s="17"/>
      <c r="J82" s="17"/>
      <c r="K82" s="73"/>
    </row>
    <row r="83" spans="1:13" x14ac:dyDescent="0.25">
      <c r="A83" s="9"/>
      <c r="B83" s="32"/>
      <c r="C83" s="24"/>
      <c r="D83" s="17"/>
      <c r="E83" s="31"/>
      <c r="F83" s="33"/>
      <c r="G83" s="20"/>
      <c r="H83" s="31"/>
      <c r="I83" s="17"/>
      <c r="J83" s="17"/>
      <c r="K83" s="73"/>
    </row>
    <row r="84" spans="1:13" x14ac:dyDescent="0.25">
      <c r="A84" s="9"/>
      <c r="B84" s="32"/>
      <c r="C84" s="24"/>
      <c r="D84" s="17"/>
      <c r="E84" s="31"/>
      <c r="F84" s="31"/>
      <c r="G84" s="20"/>
      <c r="H84" s="31"/>
      <c r="I84" s="17"/>
      <c r="J84" s="17"/>
      <c r="K84" s="73"/>
    </row>
    <row r="85" spans="1:13" x14ac:dyDescent="0.25">
      <c r="A85" s="4"/>
      <c r="B85" s="29"/>
      <c r="C85" s="38"/>
      <c r="F85" s="39"/>
      <c r="G85" s="30"/>
      <c r="H85" s="30"/>
    </row>
    <row r="86" spans="1:13" ht="30" x14ac:dyDescent="0.25">
      <c r="A86" s="74">
        <v>34492</v>
      </c>
      <c r="B86" s="13" t="s">
        <v>25</v>
      </c>
      <c r="C86" s="14" t="s">
        <v>26</v>
      </c>
      <c r="D86" s="14" t="s">
        <v>5</v>
      </c>
      <c r="E86" s="14" t="s">
        <v>6</v>
      </c>
      <c r="F86" s="62" t="s">
        <v>27</v>
      </c>
      <c r="G86" s="13" t="s">
        <v>28</v>
      </c>
      <c r="H86" s="13" t="s">
        <v>2</v>
      </c>
      <c r="I86" s="13" t="s">
        <v>5</v>
      </c>
      <c r="J86" s="15" t="s">
        <v>6</v>
      </c>
      <c r="K86" s="44" t="s">
        <v>29</v>
      </c>
    </row>
    <row r="87" spans="1:13" x14ac:dyDescent="0.25">
      <c r="A87" s="9" t="s">
        <v>34</v>
      </c>
      <c r="B87" s="16">
        <v>45400</v>
      </c>
      <c r="C87" s="59">
        <v>82.45</v>
      </c>
      <c r="D87" s="31">
        <f>AVERAGE(C87:C95)</f>
        <v>73.083333333333329</v>
      </c>
      <c r="E87" s="31">
        <f>STDEV(C87:C95)/SQRT(COUNT(C87:C95))</f>
        <v>5.5076078695241613</v>
      </c>
      <c r="F87" s="20">
        <v>61.39</v>
      </c>
      <c r="G87" s="20">
        <v>38.47</v>
      </c>
      <c r="H87" s="72">
        <f>(100-F87)/(100-G87)*100</f>
        <v>62.749878108239876</v>
      </c>
      <c r="I87" s="20">
        <f>AVERAGE(H87:H95)</f>
        <v>52.685315169582189</v>
      </c>
      <c r="J87" s="30">
        <f>STDEV(H87:H95)/SQRT(COUNT(H87:H95))</f>
        <v>5.2103272536637935</v>
      </c>
      <c r="K87" s="57" t="s">
        <v>31</v>
      </c>
      <c r="L87" s="3" t="s">
        <v>36</v>
      </c>
    </row>
    <row r="88" spans="1:13" x14ac:dyDescent="0.25">
      <c r="A88" s="9" t="s">
        <v>34</v>
      </c>
      <c r="B88" s="16">
        <v>45407</v>
      </c>
      <c r="C88" s="24">
        <v>73.42</v>
      </c>
      <c r="D88" s="17"/>
      <c r="E88" s="18"/>
      <c r="F88" s="20">
        <v>68.59</v>
      </c>
      <c r="G88" s="20">
        <v>37.17</v>
      </c>
      <c r="H88" s="31">
        <f t="shared" ref="H88" si="8">(100-F88)/(100-G88)*100</f>
        <v>49.992042018144197</v>
      </c>
      <c r="I88" s="18"/>
      <c r="J88" s="21"/>
      <c r="K88" s="57" t="s">
        <v>31</v>
      </c>
      <c r="L88" s="30"/>
      <c r="M88" s="11"/>
    </row>
    <row r="89" spans="1:13" x14ac:dyDescent="0.25">
      <c r="A89" s="9" t="s">
        <v>34</v>
      </c>
      <c r="B89" s="16">
        <v>45414</v>
      </c>
      <c r="C89" s="24">
        <v>63.38</v>
      </c>
      <c r="D89" s="18"/>
      <c r="E89" s="18"/>
      <c r="F89" s="20">
        <v>72.150000000000006</v>
      </c>
      <c r="G89" s="20">
        <v>38.54</v>
      </c>
      <c r="H89" s="31">
        <f>(100-F89)/(100-G89)*100</f>
        <v>45.314025382362502</v>
      </c>
      <c r="I89" s="18"/>
      <c r="J89" s="18"/>
      <c r="K89" s="57" t="s">
        <v>31</v>
      </c>
    </row>
    <row r="90" spans="1:13" x14ac:dyDescent="0.25">
      <c r="A90" s="9"/>
      <c r="B90" s="16"/>
      <c r="C90" s="24"/>
      <c r="D90" s="18"/>
      <c r="E90" s="18"/>
      <c r="F90" s="23"/>
      <c r="G90" s="20"/>
      <c r="H90" s="31"/>
      <c r="I90" s="18"/>
      <c r="J90" s="18"/>
      <c r="K90" s="73"/>
    </row>
    <row r="91" spans="1:13" x14ac:dyDescent="0.25">
      <c r="A91" s="9"/>
      <c r="B91" s="16"/>
      <c r="C91" s="24"/>
      <c r="D91" s="17"/>
      <c r="E91" s="27">
        <f>(E87/D87)</f>
        <v>7.5360654999190355E-2</v>
      </c>
      <c r="F91" s="26"/>
      <c r="G91" s="20"/>
      <c r="H91" s="31"/>
      <c r="I91" s="18"/>
      <c r="J91" s="18"/>
      <c r="K91" s="73"/>
    </row>
    <row r="92" spans="1:13" x14ac:dyDescent="0.25">
      <c r="A92" s="9"/>
      <c r="B92" s="16"/>
      <c r="C92" s="24"/>
      <c r="D92" s="24"/>
      <c r="E92" s="43"/>
      <c r="F92" s="26"/>
      <c r="G92" s="20"/>
      <c r="H92" s="31"/>
      <c r="I92" s="17"/>
      <c r="J92" s="17"/>
      <c r="K92" s="73"/>
    </row>
    <row r="93" spans="1:13" x14ac:dyDescent="0.25">
      <c r="A93" s="9"/>
      <c r="B93" s="29"/>
      <c r="C93" s="24"/>
      <c r="D93" s="35" t="s">
        <v>32</v>
      </c>
      <c r="E93" s="40">
        <f>COUNT(C87:C95)</f>
        <v>3</v>
      </c>
      <c r="F93" s="31"/>
      <c r="G93" s="20"/>
      <c r="H93" s="31"/>
      <c r="I93" s="17"/>
      <c r="J93" s="17"/>
      <c r="K93" s="73"/>
    </row>
    <row r="94" spans="1:13" x14ac:dyDescent="0.25">
      <c r="A94" s="9"/>
      <c r="B94" s="32"/>
      <c r="C94" s="24"/>
      <c r="D94" s="17"/>
      <c r="E94" s="31"/>
      <c r="F94" s="33"/>
      <c r="G94" s="20"/>
      <c r="H94" s="31"/>
      <c r="I94" s="17"/>
      <c r="J94" s="17"/>
      <c r="K94" s="73"/>
    </row>
    <row r="95" spans="1:13" x14ac:dyDescent="0.25">
      <c r="A95" s="9"/>
      <c r="B95" s="32"/>
      <c r="C95" s="24"/>
      <c r="D95" s="17"/>
      <c r="E95" s="31"/>
      <c r="F95" s="31"/>
      <c r="G95" s="20"/>
      <c r="H95" s="31"/>
      <c r="I95" s="17"/>
      <c r="J95" s="17"/>
      <c r="K95" s="73"/>
    </row>
    <row r="96" spans="1:13" x14ac:dyDescent="0.25">
      <c r="A96" s="4"/>
      <c r="B96" s="29"/>
      <c r="C96" s="38"/>
      <c r="F96" s="39"/>
      <c r="G96" s="30"/>
      <c r="H96" s="30"/>
    </row>
    <row r="97" spans="1:13" ht="30" x14ac:dyDescent="0.25">
      <c r="A97" s="74">
        <v>34493</v>
      </c>
      <c r="B97" s="13" t="s">
        <v>25</v>
      </c>
      <c r="C97" s="14" t="s">
        <v>26</v>
      </c>
      <c r="D97" s="14" t="s">
        <v>5</v>
      </c>
      <c r="E97" s="14" t="s">
        <v>6</v>
      </c>
      <c r="F97" s="62" t="s">
        <v>27</v>
      </c>
      <c r="G97" s="13" t="s">
        <v>28</v>
      </c>
      <c r="H97" s="14" t="s">
        <v>2</v>
      </c>
      <c r="I97" s="13" t="s">
        <v>5</v>
      </c>
      <c r="J97" s="15" t="s">
        <v>6</v>
      </c>
      <c r="K97" s="44" t="s">
        <v>29</v>
      </c>
    </row>
    <row r="98" spans="1:13" x14ac:dyDescent="0.25">
      <c r="A98" s="9" t="s">
        <v>34</v>
      </c>
      <c r="B98" s="16">
        <v>45400</v>
      </c>
      <c r="C98" s="59">
        <v>42.71</v>
      </c>
      <c r="D98" s="31">
        <f>AVERAGE(C98:C106)</f>
        <v>42.543333333333329</v>
      </c>
      <c r="E98" s="31">
        <f>STDEV(C98:C106)/SQRT(COUNT(C98:C106))</f>
        <v>2.6109534231345024</v>
      </c>
      <c r="F98" s="20">
        <v>76</v>
      </c>
      <c r="G98" s="72">
        <v>38.47</v>
      </c>
      <c r="H98" s="72">
        <f>(100-F98)/(100-G98)*100</f>
        <v>39.005363237445145</v>
      </c>
      <c r="I98" s="20">
        <f>AVERAGE(H98:H106)</f>
        <v>41.97118804290799</v>
      </c>
      <c r="J98" s="30">
        <f>STDEV(H98:H106)/SQRT(COUNT(H98:H106))</f>
        <v>1.7906220086676823</v>
      </c>
      <c r="K98" s="57" t="s">
        <v>31</v>
      </c>
      <c r="L98" s="3" t="s">
        <v>36</v>
      </c>
    </row>
    <row r="99" spans="1:13" x14ac:dyDescent="0.25">
      <c r="A99" s="9" t="s">
        <v>34</v>
      </c>
      <c r="B99" s="16">
        <v>45407</v>
      </c>
      <c r="C99" s="24">
        <v>37.94</v>
      </c>
      <c r="D99" s="17"/>
      <c r="E99" s="18"/>
      <c r="F99" s="20">
        <v>73.790000000000006</v>
      </c>
      <c r="G99" s="20">
        <v>37.17</v>
      </c>
      <c r="H99" s="31">
        <f t="shared" ref="H99" si="9">(100-F99)/(100-G99)*100</f>
        <v>41.715740888110766</v>
      </c>
      <c r="I99" s="18"/>
      <c r="J99" s="21"/>
      <c r="K99" s="57" t="s">
        <v>31</v>
      </c>
      <c r="L99" s="30"/>
      <c r="M99" s="11"/>
    </row>
    <row r="100" spans="1:13" x14ac:dyDescent="0.25">
      <c r="A100" s="9" t="s">
        <v>34</v>
      </c>
      <c r="B100" s="16">
        <v>45407</v>
      </c>
      <c r="C100" s="24">
        <v>46.98</v>
      </c>
      <c r="D100" s="18"/>
      <c r="E100" s="18"/>
      <c r="F100" s="20">
        <v>71.47</v>
      </c>
      <c r="G100" s="20">
        <v>36.869999999999997</v>
      </c>
      <c r="H100" s="31">
        <f t="shared" ref="H100" si="10">(100-F100)/(100-G100)*100</f>
        <v>45.192460003168065</v>
      </c>
      <c r="I100" s="18"/>
      <c r="J100" s="18"/>
      <c r="K100" s="57" t="s">
        <v>31</v>
      </c>
    </row>
    <row r="101" spans="1:13" x14ac:dyDescent="0.25">
      <c r="A101" s="9"/>
      <c r="B101" s="16"/>
      <c r="C101" s="24"/>
      <c r="D101" s="18"/>
      <c r="E101" s="18"/>
      <c r="F101" s="23"/>
      <c r="G101" s="20"/>
      <c r="H101" s="31"/>
      <c r="I101" s="18"/>
      <c r="J101" s="18"/>
      <c r="K101" s="73"/>
    </row>
    <row r="102" spans="1:13" x14ac:dyDescent="0.25">
      <c r="A102" s="9"/>
      <c r="B102" s="16"/>
      <c r="C102" s="24"/>
      <c r="D102" s="17"/>
      <c r="E102" s="27">
        <f>(E98/D98)</f>
        <v>6.1371623203036185E-2</v>
      </c>
      <c r="F102" s="26"/>
      <c r="G102" s="20"/>
      <c r="H102" s="31"/>
      <c r="I102" s="18"/>
      <c r="J102" s="18"/>
      <c r="K102" s="73"/>
    </row>
    <row r="103" spans="1:13" x14ac:dyDescent="0.25">
      <c r="A103" s="9"/>
      <c r="B103" s="16"/>
      <c r="C103" s="24"/>
      <c r="D103" s="24"/>
      <c r="E103" s="43"/>
      <c r="F103" s="26"/>
      <c r="G103" s="20"/>
      <c r="H103" s="31"/>
      <c r="I103" s="17"/>
      <c r="J103" s="17"/>
      <c r="K103" s="73"/>
    </row>
    <row r="104" spans="1:13" x14ac:dyDescent="0.25">
      <c r="A104" s="9"/>
      <c r="B104" s="29"/>
      <c r="C104" s="24"/>
      <c r="D104" s="35" t="s">
        <v>32</v>
      </c>
      <c r="E104" s="40">
        <f>COUNT(C98:C106)</f>
        <v>3</v>
      </c>
      <c r="F104" s="31"/>
      <c r="G104" s="20"/>
      <c r="H104" s="31"/>
      <c r="I104" s="17"/>
      <c r="J104" s="17"/>
      <c r="K104" s="73"/>
    </row>
    <row r="105" spans="1:13" x14ac:dyDescent="0.25">
      <c r="A105" s="9"/>
      <c r="B105" s="32"/>
      <c r="C105" s="24"/>
      <c r="D105" s="17"/>
      <c r="E105" s="31"/>
      <c r="F105" s="33"/>
      <c r="G105" s="20"/>
      <c r="H105" s="31"/>
      <c r="I105" s="17"/>
      <c r="J105" s="17"/>
      <c r="K105" s="73"/>
    </row>
    <row r="106" spans="1:13" x14ac:dyDescent="0.25">
      <c r="A106" s="9"/>
      <c r="B106" s="32"/>
      <c r="C106" s="24"/>
      <c r="D106" s="17"/>
      <c r="E106" s="31"/>
      <c r="F106" s="31"/>
      <c r="G106" s="20"/>
      <c r="H106" s="31"/>
      <c r="I106" s="17"/>
      <c r="J106" s="17"/>
      <c r="K106" s="73"/>
    </row>
    <row r="107" spans="1:13" x14ac:dyDescent="0.25">
      <c r="A107" s="4"/>
      <c r="B107" s="29"/>
      <c r="C107" s="38"/>
      <c r="F107" s="39"/>
      <c r="G107" s="30"/>
      <c r="H107" s="30"/>
    </row>
    <row r="108" spans="1:13" x14ac:dyDescent="0.25">
      <c r="A108" s="4" t="s">
        <v>37</v>
      </c>
      <c r="B108" s="29"/>
      <c r="C108" s="38"/>
      <c r="F108" s="39"/>
      <c r="G108" s="30"/>
      <c r="H108" s="30"/>
    </row>
    <row r="109" spans="1:13" x14ac:dyDescent="0.25">
      <c r="A109" s="10"/>
      <c r="B109" s="29"/>
      <c r="C109" s="38"/>
      <c r="E109" s="30"/>
      <c r="F109" s="30"/>
      <c r="G109" s="41"/>
      <c r="H109" s="30"/>
    </row>
    <row r="110" spans="1:13" ht="18.75" x14ac:dyDescent="0.3">
      <c r="A110" s="65" t="s">
        <v>38</v>
      </c>
      <c r="B110" s="29"/>
      <c r="C110" s="38"/>
      <c r="E110" s="30"/>
      <c r="F110" s="39"/>
      <c r="G110" s="30"/>
      <c r="H110" s="30"/>
    </row>
    <row r="111" spans="1:13" x14ac:dyDescent="0.25">
      <c r="A111" t="s">
        <v>39</v>
      </c>
    </row>
    <row r="112" spans="1:13" x14ac:dyDescent="0.25">
      <c r="A112" t="s">
        <v>15</v>
      </c>
      <c r="C112" s="5" t="s">
        <v>16</v>
      </c>
      <c r="E112" s="3" t="s">
        <v>17</v>
      </c>
    </row>
    <row r="113" spans="1:14" x14ac:dyDescent="0.25">
      <c r="A113" t="s">
        <v>18</v>
      </c>
      <c r="E113" s="3" t="s">
        <v>19</v>
      </c>
    </row>
    <row r="114" spans="1:14" x14ac:dyDescent="0.25">
      <c r="D114" s="3" t="s">
        <v>40</v>
      </c>
      <c r="E114" s="12"/>
      <c r="F114" s="3" t="s">
        <v>41</v>
      </c>
    </row>
    <row r="115" spans="1:14" x14ac:dyDescent="0.25">
      <c r="A115" s="1" t="s">
        <v>42</v>
      </c>
    </row>
    <row r="116" spans="1:14" x14ac:dyDescent="0.25">
      <c r="M116" s="61"/>
    </row>
    <row r="117" spans="1:14" ht="30" x14ac:dyDescent="0.25">
      <c r="A117" s="8" t="s">
        <v>13</v>
      </c>
      <c r="B117" s="13" t="s">
        <v>25</v>
      </c>
      <c r="C117" s="13" t="s">
        <v>43</v>
      </c>
      <c r="D117" s="13" t="s">
        <v>5</v>
      </c>
      <c r="E117" s="13" t="s">
        <v>6</v>
      </c>
      <c r="F117" s="62" t="s">
        <v>44</v>
      </c>
      <c r="G117" s="62" t="s">
        <v>45</v>
      </c>
      <c r="H117" s="13" t="s">
        <v>12</v>
      </c>
      <c r="I117" s="13" t="s">
        <v>5</v>
      </c>
      <c r="J117" s="14" t="s">
        <v>6</v>
      </c>
      <c r="K117" s="44" t="s">
        <v>29</v>
      </c>
    </row>
    <row r="118" spans="1:14" x14ac:dyDescent="0.25">
      <c r="A118" s="9" t="s">
        <v>34</v>
      </c>
      <c r="B118" s="16">
        <v>45408</v>
      </c>
      <c r="C118" s="25">
        <v>21.06</v>
      </c>
      <c r="D118" s="19">
        <f>AVERAGE(C118:C127)</f>
        <v>47.191666666666663</v>
      </c>
      <c r="E118" s="19">
        <f>STDEV(C118:C127)/SQRT((C118:C127))</f>
        <v>4.145336724063819</v>
      </c>
      <c r="F118" s="20">
        <v>106.5</v>
      </c>
      <c r="G118" s="20">
        <v>75.290000000000006</v>
      </c>
      <c r="H118" s="20">
        <f>(F118-G118)*100/(100-G118)</f>
        <v>126.30513961958722</v>
      </c>
      <c r="I118" s="19">
        <f>AVERAGE(H118:H127)</f>
        <v>151.018248036404</v>
      </c>
      <c r="J118" s="19">
        <f>STDEV(H118:H127)/SQRT(COUNT(H118:H127))</f>
        <v>11.113321540812917</v>
      </c>
      <c r="K118" s="45" t="s">
        <v>46</v>
      </c>
    </row>
    <row r="119" spans="1:14" x14ac:dyDescent="0.25">
      <c r="A119" s="9" t="s">
        <v>34</v>
      </c>
      <c r="B119" s="16">
        <v>45408</v>
      </c>
      <c r="C119" s="25">
        <v>45.73</v>
      </c>
      <c r="D119" s="23"/>
      <c r="E119" s="19"/>
      <c r="F119" s="23">
        <v>121.1</v>
      </c>
      <c r="G119" s="20">
        <v>75.290000000000006</v>
      </c>
      <c r="H119" s="20">
        <f t="shared" ref="H119:H123" si="11">(F119-G119)*100/(100-G119)</f>
        <v>185.39053014973695</v>
      </c>
      <c r="I119" s="19"/>
      <c r="J119" s="19"/>
      <c r="K119" s="45" t="s">
        <v>46</v>
      </c>
      <c r="N119" s="64"/>
    </row>
    <row r="120" spans="1:14" x14ac:dyDescent="0.25">
      <c r="A120" s="9" t="s">
        <v>47</v>
      </c>
      <c r="B120" s="16">
        <v>45414</v>
      </c>
      <c r="C120" s="25">
        <v>44.08</v>
      </c>
      <c r="D120" s="23"/>
      <c r="E120" s="19"/>
      <c r="F120" s="23">
        <v>109.9</v>
      </c>
      <c r="G120" s="20">
        <v>72.790000000000006</v>
      </c>
      <c r="H120" s="20">
        <f t="shared" si="11"/>
        <v>136.38368246968031</v>
      </c>
      <c r="I120" s="19"/>
      <c r="J120" s="19"/>
      <c r="K120" s="45" t="s">
        <v>46</v>
      </c>
      <c r="N120" s="64"/>
    </row>
    <row r="121" spans="1:14" x14ac:dyDescent="0.25">
      <c r="A121" s="9" t="s">
        <v>34</v>
      </c>
      <c r="B121" s="16">
        <v>45414</v>
      </c>
      <c r="C121" s="25">
        <v>60.53</v>
      </c>
      <c r="D121" s="35"/>
      <c r="E121" s="27">
        <f>E118/D118</f>
        <v>8.7840439146681673E-2</v>
      </c>
      <c r="F121" s="23">
        <v>123</v>
      </c>
      <c r="G121" s="20">
        <v>72.790000000000006</v>
      </c>
      <c r="H121" s="20">
        <f t="shared" si="11"/>
        <v>184.52774715178245</v>
      </c>
      <c r="I121" s="19"/>
      <c r="J121" s="19"/>
      <c r="K121" s="45" t="s">
        <v>46</v>
      </c>
      <c r="N121" s="64"/>
    </row>
    <row r="122" spans="1:14" x14ac:dyDescent="0.25">
      <c r="A122" s="9" t="s">
        <v>47</v>
      </c>
      <c r="B122" s="16">
        <v>45415</v>
      </c>
      <c r="C122" s="25">
        <v>36.049999999999997</v>
      </c>
      <c r="D122" s="35"/>
      <c r="E122" s="42"/>
      <c r="F122" s="23">
        <v>112.5</v>
      </c>
      <c r="G122" s="20">
        <v>72.790000000000006</v>
      </c>
      <c r="H122" s="20">
        <f t="shared" si="11"/>
        <v>145.93899301727308</v>
      </c>
      <c r="I122" s="19"/>
      <c r="J122" s="19"/>
      <c r="K122" s="45" t="s">
        <v>46</v>
      </c>
      <c r="L122" s="30"/>
    </row>
    <row r="123" spans="1:14" x14ac:dyDescent="0.25">
      <c r="A123" s="9" t="s">
        <v>47</v>
      </c>
      <c r="B123" s="16">
        <v>45415</v>
      </c>
      <c r="C123" s="25">
        <v>75.7</v>
      </c>
      <c r="D123" s="35" t="s">
        <v>32</v>
      </c>
      <c r="E123" s="35">
        <f>COUNT(C118:C127)</f>
        <v>6</v>
      </c>
      <c r="F123" s="23">
        <v>107.5</v>
      </c>
      <c r="G123" s="17">
        <v>72.790000000000006</v>
      </c>
      <c r="H123" s="20">
        <f t="shared" si="11"/>
        <v>127.56339581036384</v>
      </c>
      <c r="I123" s="19"/>
      <c r="J123" s="19"/>
      <c r="K123" s="45" t="s">
        <v>46</v>
      </c>
    </row>
    <row r="124" spans="1:14" x14ac:dyDescent="0.25">
      <c r="A124" s="9"/>
      <c r="B124" s="16"/>
      <c r="C124" s="23"/>
      <c r="D124" s="69"/>
      <c r="E124" s="23"/>
      <c r="F124" s="23"/>
      <c r="G124" s="20"/>
      <c r="H124" s="20"/>
      <c r="I124" s="19"/>
      <c r="J124" s="19"/>
      <c r="K124" s="45"/>
    </row>
    <row r="125" spans="1:14" x14ac:dyDescent="0.25">
      <c r="A125" s="9"/>
      <c r="B125" s="16"/>
      <c r="C125" s="23"/>
      <c r="D125" s="23"/>
      <c r="E125" s="23"/>
      <c r="F125" s="20"/>
      <c r="G125" s="20"/>
      <c r="H125" s="20"/>
      <c r="I125" s="23"/>
      <c r="J125" s="23"/>
      <c r="K125" s="45"/>
    </row>
    <row r="126" spans="1:14" x14ac:dyDescent="0.25">
      <c r="A126" s="9"/>
      <c r="B126" s="16"/>
      <c r="C126" s="25"/>
      <c r="D126" s="23"/>
      <c r="E126" s="23"/>
      <c r="F126" s="26"/>
      <c r="G126" s="20"/>
      <c r="H126" s="20"/>
      <c r="I126" s="23"/>
      <c r="J126" s="23"/>
      <c r="K126" s="45"/>
      <c r="L126" s="2"/>
    </row>
    <row r="127" spans="1:14" x14ac:dyDescent="0.25">
      <c r="A127" s="9"/>
      <c r="B127" s="16"/>
      <c r="C127" s="25"/>
      <c r="D127" s="23"/>
      <c r="E127" s="23"/>
      <c r="F127" s="26"/>
      <c r="G127" s="20"/>
      <c r="H127" s="20"/>
      <c r="I127" s="23"/>
      <c r="J127" s="23"/>
      <c r="K127" s="45"/>
      <c r="L127" s="2"/>
    </row>
    <row r="128" spans="1:14" x14ac:dyDescent="0.25">
      <c r="A128" s="1"/>
      <c r="B128" s="29"/>
      <c r="C128" s="38"/>
      <c r="F128" s="39"/>
      <c r="G128" s="30"/>
      <c r="H128" s="30"/>
      <c r="K128" s="2"/>
      <c r="L128" s="2"/>
    </row>
    <row r="129" spans="1:13" x14ac:dyDescent="0.25">
      <c r="A129" s="1"/>
      <c r="B129" s="29"/>
      <c r="C129" s="38"/>
      <c r="F129" s="39"/>
      <c r="G129" s="30"/>
      <c r="H129" s="30"/>
      <c r="K129" s="2"/>
      <c r="L129" s="2"/>
    </row>
    <row r="130" spans="1:13" ht="30" x14ac:dyDescent="0.25">
      <c r="A130" s="74">
        <v>34485</v>
      </c>
      <c r="B130" s="13" t="s">
        <v>25</v>
      </c>
      <c r="C130" s="13" t="s">
        <v>43</v>
      </c>
      <c r="D130" s="13" t="s">
        <v>5</v>
      </c>
      <c r="E130" s="13" t="s">
        <v>6</v>
      </c>
      <c r="F130" s="62" t="s">
        <v>44</v>
      </c>
      <c r="G130" s="62" t="s">
        <v>45</v>
      </c>
      <c r="H130" s="13" t="s">
        <v>12</v>
      </c>
      <c r="I130" s="13" t="s">
        <v>5</v>
      </c>
      <c r="J130" s="15" t="s">
        <v>6</v>
      </c>
      <c r="K130" s="44" t="s">
        <v>29</v>
      </c>
      <c r="L130" s="2"/>
    </row>
    <row r="131" spans="1:13" x14ac:dyDescent="0.25">
      <c r="A131" s="9" t="s">
        <v>34</v>
      </c>
      <c r="B131" s="16">
        <v>45408</v>
      </c>
      <c r="C131" s="25">
        <v>1.5580000000000001</v>
      </c>
      <c r="D131" s="63">
        <f>AVERAGE(C131:C142)</f>
        <v>6.4589999999999996</v>
      </c>
      <c r="E131" s="63">
        <f>STDEV(C131:C142)/SQRT(COUNT(C131:C142))</f>
        <v>4.9010000000000007</v>
      </c>
      <c r="F131" s="20">
        <v>54.06</v>
      </c>
      <c r="G131" s="20">
        <v>75.290000000000006</v>
      </c>
      <c r="H131" s="20">
        <f>(F131-G131)*100/(100-G131)</f>
        <v>-85.916632942128729</v>
      </c>
      <c r="I131" s="19">
        <f>AVERAGE(H131:H137)</f>
        <v>-49.966820805528904</v>
      </c>
      <c r="J131" s="21">
        <f>STDEV(H131:H137)/SQRT(COUNT(H131:H137))</f>
        <v>21.922946887624072</v>
      </c>
      <c r="K131" s="45" t="s">
        <v>46</v>
      </c>
      <c r="L131" s="7"/>
    </row>
    <row r="132" spans="1:13" x14ac:dyDescent="0.25">
      <c r="A132" s="9" t="s">
        <v>34</v>
      </c>
      <c r="B132" s="16">
        <v>45414</v>
      </c>
      <c r="C132" s="25" t="s">
        <v>48</v>
      </c>
      <c r="D132" s="19"/>
      <c r="E132" s="19"/>
      <c r="F132" s="20">
        <v>70</v>
      </c>
      <c r="G132" s="20">
        <v>72.790000000000006</v>
      </c>
      <c r="H132" s="20">
        <f t="shared" ref="H132:H133" si="12">(F132-G132)*100/(100-G132)</f>
        <v>-10.253583241455372</v>
      </c>
      <c r="I132" s="19"/>
      <c r="J132" s="21"/>
      <c r="K132" s="45" t="s">
        <v>46</v>
      </c>
      <c r="M132" s="64"/>
    </row>
    <row r="133" spans="1:13" x14ac:dyDescent="0.25">
      <c r="A133" s="9" t="s">
        <v>34</v>
      </c>
      <c r="B133" s="16">
        <v>45415</v>
      </c>
      <c r="C133" s="25">
        <v>11.36</v>
      </c>
      <c r="D133" s="66"/>
      <c r="E133" s="19"/>
      <c r="F133" s="20">
        <v>58.17</v>
      </c>
      <c r="G133" s="20">
        <v>72.790000000000006</v>
      </c>
      <c r="H133" s="20">
        <f t="shared" si="12"/>
        <v>-53.730246233002603</v>
      </c>
      <c r="I133" s="19"/>
      <c r="J133" s="21"/>
      <c r="K133" s="45" t="s">
        <v>46</v>
      </c>
      <c r="L133" s="7"/>
      <c r="M133" s="64"/>
    </row>
    <row r="134" spans="1:13" x14ac:dyDescent="0.25">
      <c r="A134" s="9"/>
      <c r="B134" s="16"/>
      <c r="C134" s="25"/>
      <c r="D134" s="18"/>
      <c r="E134" s="27">
        <f>E131/D131</f>
        <v>0.75878618981266466</v>
      </c>
      <c r="F134" s="20"/>
      <c r="G134" s="30"/>
      <c r="H134" s="20"/>
      <c r="I134" s="19"/>
      <c r="J134" s="21"/>
      <c r="K134" s="45"/>
      <c r="L134" s="7"/>
      <c r="M134" s="64"/>
    </row>
    <row r="135" spans="1:13" x14ac:dyDescent="0.25">
      <c r="A135" s="9"/>
      <c r="B135" s="16"/>
      <c r="C135" s="25"/>
      <c r="D135" s="17"/>
      <c r="E135" s="42"/>
      <c r="F135" s="31"/>
      <c r="G135" s="30"/>
      <c r="H135" s="20"/>
      <c r="I135" s="18"/>
      <c r="J135" s="21"/>
      <c r="K135" s="45"/>
      <c r="M135" s="64"/>
    </row>
    <row r="136" spans="1:13" x14ac:dyDescent="0.25">
      <c r="A136" s="9"/>
      <c r="B136" s="67"/>
      <c r="C136" s="22"/>
      <c r="D136" s="43" t="s">
        <v>32</v>
      </c>
      <c r="E136" s="43">
        <f>COUNT(C131:C142)</f>
        <v>2</v>
      </c>
      <c r="F136" s="34"/>
      <c r="G136" s="30"/>
      <c r="H136" s="20"/>
      <c r="I136" s="18"/>
      <c r="J136" s="21"/>
      <c r="K136" s="45"/>
    </row>
    <row r="137" spans="1:13" x14ac:dyDescent="0.25">
      <c r="A137" s="9"/>
      <c r="B137" s="67"/>
      <c r="C137" s="26"/>
      <c r="D137" s="17"/>
      <c r="E137" s="18"/>
      <c r="F137" s="31"/>
      <c r="G137" s="30"/>
      <c r="H137" s="20"/>
      <c r="I137" s="18"/>
      <c r="J137" s="21"/>
      <c r="K137" s="45"/>
    </row>
    <row r="138" spans="1:13" x14ac:dyDescent="0.25">
      <c r="A138" s="9"/>
      <c r="B138" s="67"/>
      <c r="C138" s="24"/>
      <c r="D138" s="17"/>
      <c r="E138" s="17"/>
      <c r="F138" s="31"/>
      <c r="G138" s="20"/>
      <c r="H138" s="20"/>
      <c r="I138" s="17"/>
      <c r="K138" s="45"/>
    </row>
    <row r="139" spans="1:13" x14ac:dyDescent="0.25">
      <c r="A139" s="9"/>
      <c r="B139" s="67"/>
      <c r="C139" s="24"/>
      <c r="E139" s="17"/>
      <c r="F139" s="31"/>
      <c r="G139" s="20"/>
      <c r="H139" s="20"/>
      <c r="I139" s="17"/>
      <c r="K139" s="45"/>
    </row>
    <row r="140" spans="1:13" x14ac:dyDescent="0.25">
      <c r="A140" s="9" t="s">
        <v>33</v>
      </c>
      <c r="B140" s="67"/>
      <c r="C140" s="24"/>
      <c r="E140" s="17"/>
      <c r="F140" s="31"/>
      <c r="G140" s="20"/>
      <c r="H140" s="20"/>
      <c r="I140" s="17"/>
      <c r="K140" s="45"/>
    </row>
    <row r="141" spans="1:13" x14ac:dyDescent="0.25">
      <c r="A141" s="9"/>
      <c r="B141" s="67"/>
      <c r="C141" s="24"/>
      <c r="E141" s="17"/>
      <c r="F141" s="31"/>
      <c r="G141" s="20"/>
      <c r="H141" s="20"/>
      <c r="I141" s="17"/>
      <c r="K141" s="45"/>
    </row>
    <row r="142" spans="1:13" x14ac:dyDescent="0.25">
      <c r="A142" s="9"/>
      <c r="B142" s="16"/>
      <c r="C142" s="24"/>
      <c r="D142" s="61"/>
      <c r="E142" s="31"/>
      <c r="F142" s="33"/>
      <c r="G142" s="20"/>
      <c r="H142" s="31"/>
      <c r="I142" s="17"/>
      <c r="K142" s="45"/>
    </row>
    <row r="143" spans="1:13" x14ac:dyDescent="0.25">
      <c r="A143" s="4"/>
      <c r="B143" s="29"/>
      <c r="C143" s="38"/>
      <c r="E143" s="30"/>
      <c r="F143" s="39"/>
      <c r="G143" s="20"/>
      <c r="H143" s="30"/>
    </row>
    <row r="144" spans="1:13" x14ac:dyDescent="0.25">
      <c r="A144" s="4"/>
      <c r="B144" s="29"/>
      <c r="C144" s="38"/>
      <c r="E144" s="30"/>
      <c r="F144" s="39"/>
      <c r="G144" s="30"/>
      <c r="H144" s="30"/>
    </row>
    <row r="145" spans="1:13" ht="30" x14ac:dyDescent="0.25">
      <c r="A145" s="74">
        <v>34486</v>
      </c>
      <c r="B145" s="13" t="s">
        <v>25</v>
      </c>
      <c r="C145" s="13" t="s">
        <v>43</v>
      </c>
      <c r="D145" s="13" t="s">
        <v>5</v>
      </c>
      <c r="E145" s="13" t="s">
        <v>6</v>
      </c>
      <c r="F145" s="62" t="s">
        <v>44</v>
      </c>
      <c r="G145" s="62" t="s">
        <v>45</v>
      </c>
      <c r="H145" s="13" t="s">
        <v>12</v>
      </c>
      <c r="I145" s="13" t="s">
        <v>5</v>
      </c>
      <c r="J145" s="15" t="s">
        <v>6</v>
      </c>
      <c r="K145" s="44" t="s">
        <v>29</v>
      </c>
      <c r="L145" s="2"/>
    </row>
    <row r="146" spans="1:13" x14ac:dyDescent="0.25">
      <c r="A146" s="9" t="s">
        <v>34</v>
      </c>
      <c r="B146" s="16">
        <v>45408</v>
      </c>
      <c r="C146" s="25">
        <v>4.6509999999999998</v>
      </c>
      <c r="D146" s="63">
        <f>AVERAGE(C146:C157)</f>
        <v>2.3850500000000001</v>
      </c>
      <c r="E146" s="63">
        <f>STDEV(C146:C157)/SQRT(COUNT(C146:C157))</f>
        <v>2.2659499999999997</v>
      </c>
      <c r="F146" s="20">
        <v>55.34</v>
      </c>
      <c r="G146" s="20">
        <v>75.290000000000006</v>
      </c>
      <c r="H146" s="20">
        <f>(F146-G146)*100/(100-G146)</f>
        <v>-80.73654390934847</v>
      </c>
      <c r="I146" s="19">
        <f>AVERAGE(H146:H148)</f>
        <v>-56.607146389481493</v>
      </c>
      <c r="J146" s="21">
        <f>STDEV(H146:H148)/SQRT(COUNT(H146:H148))</f>
        <v>20.224615241185639</v>
      </c>
      <c r="K146" s="45" t="s">
        <v>46</v>
      </c>
      <c r="L146" s="7"/>
      <c r="M146" s="64"/>
    </row>
    <row r="147" spans="1:13" x14ac:dyDescent="0.25">
      <c r="A147" s="9" t="s">
        <v>34</v>
      </c>
      <c r="B147" s="16">
        <v>45414</v>
      </c>
      <c r="C147" s="23" t="s">
        <v>35</v>
      </c>
      <c r="D147" s="19"/>
      <c r="E147" s="19"/>
      <c r="F147" s="20">
        <v>68.319999999999993</v>
      </c>
      <c r="G147" s="20">
        <v>72.790000000000006</v>
      </c>
      <c r="H147" s="20">
        <f>(F147-G147)*100/(100-G147)</f>
        <v>-16.427783902976898</v>
      </c>
      <c r="I147" s="19"/>
      <c r="J147" s="21"/>
      <c r="K147" s="45" t="s">
        <v>46</v>
      </c>
      <c r="L147" s="2"/>
      <c r="M147" s="64"/>
    </row>
    <row r="148" spans="1:13" x14ac:dyDescent="0.25">
      <c r="A148" s="9" t="s">
        <v>34</v>
      </c>
      <c r="B148" s="16">
        <v>45415</v>
      </c>
      <c r="C148" s="25">
        <v>0.1191</v>
      </c>
      <c r="D148" s="66"/>
      <c r="E148" s="19"/>
      <c r="F148" s="20">
        <v>53.02</v>
      </c>
      <c r="G148" s="20">
        <v>72.790000000000006</v>
      </c>
      <c r="H148" s="20">
        <f t="shared" ref="H148" si="13">(F148-G148)*100/(100-G148)</f>
        <v>-72.657111356119103</v>
      </c>
      <c r="I148" s="19"/>
      <c r="J148" s="21"/>
      <c r="K148" s="45" t="s">
        <v>46</v>
      </c>
      <c r="L148" s="7"/>
      <c r="M148" s="64"/>
    </row>
    <row r="149" spans="1:13" x14ac:dyDescent="0.25">
      <c r="A149" s="9"/>
      <c r="B149" s="16"/>
      <c r="C149" s="22"/>
      <c r="D149" s="18"/>
      <c r="E149" s="27">
        <f>E146/D146</f>
        <v>0.95006393995932981</v>
      </c>
      <c r="F149" s="20"/>
      <c r="G149" s="20"/>
      <c r="H149" s="20"/>
      <c r="I149" s="19"/>
      <c r="J149" s="21"/>
      <c r="K149" s="45"/>
      <c r="L149" s="7"/>
      <c r="M149" s="64"/>
    </row>
    <row r="150" spans="1:13" x14ac:dyDescent="0.25">
      <c r="A150" s="9"/>
      <c r="B150" s="16"/>
      <c r="C150" s="22"/>
      <c r="D150" s="17"/>
      <c r="E150" s="42"/>
      <c r="F150" s="31"/>
      <c r="G150" s="20"/>
      <c r="H150" s="20"/>
      <c r="I150" s="18"/>
      <c r="J150" s="21"/>
      <c r="K150" s="45"/>
    </row>
    <row r="151" spans="1:13" x14ac:dyDescent="0.25">
      <c r="A151" s="9"/>
      <c r="B151" s="16"/>
      <c r="C151" s="22"/>
      <c r="D151" s="35" t="s">
        <v>32</v>
      </c>
      <c r="E151" s="35">
        <f>COUNT(C146:C157)</f>
        <v>2</v>
      </c>
      <c r="F151" s="31"/>
      <c r="G151" s="20"/>
      <c r="H151" s="20"/>
      <c r="I151" s="18"/>
      <c r="J151" s="21"/>
      <c r="K151" s="45"/>
    </row>
    <row r="152" spans="1:13" x14ac:dyDescent="0.25">
      <c r="A152" s="9"/>
      <c r="B152" s="16"/>
      <c r="C152" s="22"/>
      <c r="D152" s="5"/>
      <c r="E152" s="35"/>
      <c r="F152" s="31"/>
      <c r="G152" s="20"/>
      <c r="H152" s="20"/>
      <c r="I152" s="18"/>
      <c r="J152" s="21"/>
      <c r="K152" s="45"/>
    </row>
    <row r="153" spans="1:13" x14ac:dyDescent="0.25">
      <c r="A153" s="9"/>
      <c r="B153" s="16"/>
      <c r="C153" s="24"/>
      <c r="D153" s="5"/>
      <c r="E153" s="35"/>
      <c r="F153" s="31"/>
      <c r="G153" s="20"/>
      <c r="H153" s="20"/>
      <c r="I153" s="18"/>
      <c r="J153" s="21"/>
      <c r="K153" s="45"/>
    </row>
    <row r="154" spans="1:13" x14ac:dyDescent="0.25">
      <c r="A154" s="9" t="s">
        <v>33</v>
      </c>
      <c r="B154" s="16"/>
      <c r="C154" s="22"/>
      <c r="D154" s="5"/>
      <c r="E154" s="35"/>
      <c r="F154" s="31"/>
      <c r="G154" s="20"/>
      <c r="H154" s="20"/>
      <c r="I154" s="18"/>
      <c r="J154" s="18"/>
    </row>
    <row r="155" spans="1:13" x14ac:dyDescent="0.25">
      <c r="A155" s="9"/>
      <c r="B155" s="16"/>
      <c r="C155" s="24"/>
      <c r="D155" s="5"/>
      <c r="E155" s="35"/>
      <c r="F155" s="31"/>
      <c r="G155" s="20"/>
      <c r="H155" s="20"/>
      <c r="I155" s="18"/>
      <c r="J155" s="21"/>
      <c r="K155" s="45"/>
    </row>
    <row r="156" spans="1:13" x14ac:dyDescent="0.25">
      <c r="A156" s="9"/>
      <c r="B156" s="16"/>
      <c r="C156" s="17"/>
      <c r="D156" s="17"/>
      <c r="E156" s="17"/>
      <c r="F156" s="31"/>
      <c r="G156" s="20"/>
      <c r="H156" s="31"/>
      <c r="I156" s="17"/>
      <c r="K156" s="45"/>
      <c r="M156" s="61"/>
    </row>
    <row r="157" spans="1:13" x14ac:dyDescent="0.25">
      <c r="A157" s="9"/>
      <c r="B157" s="16"/>
      <c r="C157" s="24"/>
      <c r="D157" s="17"/>
      <c r="E157" s="31"/>
      <c r="F157" s="33"/>
      <c r="G157" s="20"/>
      <c r="H157" s="31"/>
      <c r="I157" s="17"/>
      <c r="K157" s="45"/>
    </row>
    <row r="158" spans="1:13" x14ac:dyDescent="0.25">
      <c r="A158" s="4"/>
      <c r="B158" s="29"/>
      <c r="C158" s="38"/>
      <c r="E158" s="30"/>
      <c r="F158" s="39"/>
      <c r="G158" s="30"/>
      <c r="H158" s="30"/>
      <c r="M158" s="64"/>
    </row>
    <row r="159" spans="1:13" x14ac:dyDescent="0.25">
      <c r="A159" s="4"/>
      <c r="B159" s="29"/>
      <c r="D159" s="21"/>
      <c r="E159" s="21"/>
      <c r="G159" s="30"/>
      <c r="H159" s="30"/>
      <c r="M159" s="64"/>
    </row>
    <row r="160" spans="1:13" ht="30" x14ac:dyDescent="0.25">
      <c r="A160" s="74">
        <v>34488</v>
      </c>
      <c r="B160" s="13" t="s">
        <v>25</v>
      </c>
      <c r="C160" s="13" t="s">
        <v>43</v>
      </c>
      <c r="D160" s="13" t="s">
        <v>5</v>
      </c>
      <c r="E160" s="13" t="s">
        <v>6</v>
      </c>
      <c r="F160" s="62" t="s">
        <v>44</v>
      </c>
      <c r="G160" s="62" t="s">
        <v>45</v>
      </c>
      <c r="H160" s="13" t="s">
        <v>12</v>
      </c>
      <c r="I160" s="13" t="s">
        <v>5</v>
      </c>
      <c r="J160" s="15" t="s">
        <v>6</v>
      </c>
      <c r="K160" s="44" t="s">
        <v>29</v>
      </c>
      <c r="L160" s="2"/>
      <c r="M160" s="64">
        <v>71</v>
      </c>
    </row>
    <row r="161" spans="1:13" x14ac:dyDescent="0.25">
      <c r="A161" s="9" t="s">
        <v>34</v>
      </c>
      <c r="B161" s="16">
        <v>45408</v>
      </c>
      <c r="C161" s="23">
        <v>406.1</v>
      </c>
      <c r="D161" s="63">
        <f>AVERAGE(C161:C169)</f>
        <v>206.72499999999999</v>
      </c>
      <c r="E161" s="63">
        <f>STDEV(C161:C169)/SQRT(COUNT(C161:C169))</f>
        <v>66.800341503618085</v>
      </c>
      <c r="F161" s="20">
        <v>107.4</v>
      </c>
      <c r="G161" s="20">
        <v>75.290000000000006</v>
      </c>
      <c r="H161" s="20">
        <f>(F161-G161)*100/(100-G161)</f>
        <v>129.94738972076087</v>
      </c>
      <c r="I161" s="19">
        <f>AVERAGE(H161:H164)</f>
        <v>118.14469381019755</v>
      </c>
      <c r="J161" s="21">
        <f>STDEV(H161:H164)/SQRT(COUNT(H161:H164))</f>
        <v>11.590638912592183</v>
      </c>
      <c r="K161" s="45" t="s">
        <v>46</v>
      </c>
      <c r="L161" s="7"/>
      <c r="M161" s="64"/>
    </row>
    <row r="162" spans="1:13" x14ac:dyDescent="0.25">
      <c r="A162" s="9" t="s">
        <v>34</v>
      </c>
      <c r="B162" s="16">
        <v>45414</v>
      </c>
      <c r="C162" s="23">
        <v>139</v>
      </c>
      <c r="D162" s="19"/>
      <c r="E162" s="19"/>
      <c r="F162" s="20">
        <v>95.5</v>
      </c>
      <c r="G162" s="20">
        <v>72.790000000000006</v>
      </c>
      <c r="H162" s="20">
        <f>(F162-G162)*100/(100-G162)</f>
        <v>83.4619625137817</v>
      </c>
      <c r="I162" s="19"/>
      <c r="J162" s="21"/>
      <c r="K162" s="45" t="s">
        <v>46</v>
      </c>
      <c r="L162" s="2"/>
    </row>
    <row r="163" spans="1:13" x14ac:dyDescent="0.25">
      <c r="A163" s="9" t="s">
        <v>34</v>
      </c>
      <c r="B163" s="16">
        <v>45415</v>
      </c>
      <c r="C163" s="23">
        <v>124.4</v>
      </c>
      <c r="D163" s="42"/>
      <c r="E163" s="19"/>
      <c r="F163" s="20">
        <v>108.6</v>
      </c>
      <c r="G163" s="20">
        <v>72.790000000000006</v>
      </c>
      <c r="H163" s="20">
        <f t="shared" ref="H163:H164" si="14">(F163-G163)*100/(100-G163)</f>
        <v>131.60602719588385</v>
      </c>
      <c r="I163" s="19"/>
      <c r="J163" s="21"/>
      <c r="K163" s="45" t="s">
        <v>46</v>
      </c>
      <c r="L163" s="7"/>
    </row>
    <row r="164" spans="1:13" x14ac:dyDescent="0.25">
      <c r="A164" s="9" t="s">
        <v>34</v>
      </c>
      <c r="B164" s="16">
        <v>45415</v>
      </c>
      <c r="C164" s="23">
        <v>157.4</v>
      </c>
      <c r="D164" s="18"/>
      <c r="E164" s="27">
        <f>E161/D161</f>
        <v>0.32313625107567101</v>
      </c>
      <c r="F164" s="20">
        <v>107.5</v>
      </c>
      <c r="G164" s="20">
        <v>72.790000000000006</v>
      </c>
      <c r="H164" s="20">
        <f t="shared" si="14"/>
        <v>127.56339581036384</v>
      </c>
      <c r="I164" s="19"/>
      <c r="J164" s="21"/>
      <c r="K164" s="45" t="s">
        <v>46</v>
      </c>
      <c r="L164" s="7"/>
    </row>
    <row r="165" spans="1:13" x14ac:dyDescent="0.25">
      <c r="A165" s="9"/>
      <c r="B165" s="16"/>
      <c r="C165" s="23"/>
      <c r="D165" s="17"/>
      <c r="E165" s="42"/>
      <c r="F165" s="31"/>
      <c r="G165" s="20"/>
      <c r="H165" s="20"/>
      <c r="I165" s="18"/>
      <c r="J165" s="18"/>
    </row>
    <row r="166" spans="1:13" x14ac:dyDescent="0.25">
      <c r="A166" s="9"/>
      <c r="B166" s="16"/>
      <c r="C166" s="17"/>
      <c r="D166" s="35" t="s">
        <v>32</v>
      </c>
      <c r="E166" s="35">
        <f>COUNT(C161:C169)</f>
        <v>4</v>
      </c>
      <c r="F166" s="31"/>
      <c r="G166" s="20"/>
      <c r="H166" s="20"/>
      <c r="I166" s="18"/>
      <c r="J166" s="21"/>
      <c r="K166" s="45"/>
    </row>
    <row r="167" spans="1:13" x14ac:dyDescent="0.25">
      <c r="A167" s="9" t="s">
        <v>33</v>
      </c>
      <c r="B167" s="16"/>
      <c r="C167" s="17"/>
      <c r="D167" s="17"/>
      <c r="E167" s="18"/>
      <c r="F167" s="31"/>
      <c r="G167" s="20"/>
      <c r="H167" s="20"/>
      <c r="I167" s="18"/>
      <c r="J167" s="21"/>
      <c r="K167" s="45"/>
    </row>
    <row r="168" spans="1:13" x14ac:dyDescent="0.25">
      <c r="A168" s="9"/>
      <c r="B168" s="16"/>
      <c r="C168" s="17"/>
      <c r="D168" s="17"/>
      <c r="E168" s="17"/>
      <c r="F168" s="31"/>
      <c r="G168" s="20"/>
      <c r="H168" s="20"/>
      <c r="I168" s="17"/>
      <c r="K168" s="45"/>
    </row>
    <row r="169" spans="1:13" x14ac:dyDescent="0.25">
      <c r="A169" s="9"/>
      <c r="B169" s="16"/>
      <c r="C169" s="17"/>
      <c r="D169" s="17"/>
      <c r="E169" s="31"/>
      <c r="F169" s="33"/>
      <c r="G169" s="20"/>
      <c r="H169" s="20"/>
      <c r="I169" s="17"/>
      <c r="K169" s="45"/>
    </row>
    <row r="170" spans="1:13" x14ac:dyDescent="0.25">
      <c r="A170" s="6"/>
      <c r="B170" s="29"/>
      <c r="E170" s="30"/>
      <c r="G170" s="30"/>
      <c r="H170" s="30"/>
    </row>
    <row r="171" spans="1:13" x14ac:dyDescent="0.25">
      <c r="A171" s="4"/>
      <c r="B171" s="29"/>
      <c r="G171" s="30"/>
      <c r="H171" s="30"/>
    </row>
    <row r="172" spans="1:13" ht="30" x14ac:dyDescent="0.25">
      <c r="A172" s="74">
        <v>34489</v>
      </c>
      <c r="B172" s="13" t="s">
        <v>25</v>
      </c>
      <c r="C172" s="13" t="s">
        <v>43</v>
      </c>
      <c r="D172" s="13" t="s">
        <v>5</v>
      </c>
      <c r="E172" s="13" t="s">
        <v>6</v>
      </c>
      <c r="F172" s="62" t="s">
        <v>44</v>
      </c>
      <c r="G172" s="62" t="s">
        <v>45</v>
      </c>
      <c r="H172" s="13" t="s">
        <v>12</v>
      </c>
      <c r="I172" s="13" t="s">
        <v>5</v>
      </c>
      <c r="J172" s="15" t="s">
        <v>6</v>
      </c>
      <c r="K172" s="44" t="s">
        <v>29</v>
      </c>
      <c r="L172" s="2"/>
    </row>
    <row r="173" spans="1:13" x14ac:dyDescent="0.25">
      <c r="A173" s="9" t="s">
        <v>34</v>
      </c>
      <c r="B173" s="16">
        <v>45408</v>
      </c>
      <c r="C173" s="23">
        <v>695.5</v>
      </c>
      <c r="D173" s="63">
        <f>AVERAGE(C173:C181)</f>
        <v>584.07499999999993</v>
      </c>
      <c r="E173" s="63">
        <f>STDEV(C173:C181)/SQRT(COUNT(C173:C181))</f>
        <v>94.906834799537421</v>
      </c>
      <c r="F173" s="20">
        <v>95.8</v>
      </c>
      <c r="G173" s="20">
        <v>75.290000000000006</v>
      </c>
      <c r="H173" s="20">
        <f t="shared" ref="H173" si="15">(F173-G173)*100/(100-G173)</f>
        <v>83.002832861189788</v>
      </c>
      <c r="I173" s="19">
        <f>AVERAGE(H173:H176)</f>
        <v>100.96937782205967</v>
      </c>
      <c r="J173" s="21">
        <f>STDEV(H173:H176)/SQRT(COUNT(H173:H176))</f>
        <v>9.0727872150742801</v>
      </c>
      <c r="K173" s="45" t="s">
        <v>46</v>
      </c>
      <c r="L173" s="7"/>
    </row>
    <row r="174" spans="1:13" x14ac:dyDescent="0.25">
      <c r="A174" s="9" t="s">
        <v>34</v>
      </c>
      <c r="B174" s="16">
        <v>45414</v>
      </c>
      <c r="C174" s="23">
        <v>371.6</v>
      </c>
      <c r="D174" s="19"/>
      <c r="E174" s="19"/>
      <c r="F174" s="20">
        <v>96.68</v>
      </c>
      <c r="G174" s="20">
        <v>72.790000000000006</v>
      </c>
      <c r="H174" s="20">
        <f>(F174-G174)*100/(100-G174)</f>
        <v>87.798603454612291</v>
      </c>
      <c r="I174" s="19"/>
      <c r="J174" s="21"/>
      <c r="K174" s="45" t="s">
        <v>46</v>
      </c>
      <c r="L174" s="2"/>
    </row>
    <row r="175" spans="1:13" x14ac:dyDescent="0.25">
      <c r="A175" s="9" t="s">
        <v>34</v>
      </c>
      <c r="B175" s="16">
        <v>45415</v>
      </c>
      <c r="C175" s="23">
        <v>785.3</v>
      </c>
      <c r="D175" s="42"/>
      <c r="E175" s="19"/>
      <c r="F175" s="20">
        <v>104</v>
      </c>
      <c r="G175" s="31">
        <v>72.790000000000006</v>
      </c>
      <c r="H175" s="20">
        <f t="shared" ref="H175:H176" si="16">(F175-G175)*100/(100-G175)</f>
        <v>114.7004777655274</v>
      </c>
      <c r="I175" s="19"/>
      <c r="J175" s="21"/>
      <c r="K175" s="45" t="s">
        <v>46</v>
      </c>
      <c r="L175" s="7"/>
    </row>
    <row r="176" spans="1:13" x14ac:dyDescent="0.25">
      <c r="A176" s="9" t="s">
        <v>34</v>
      </c>
      <c r="B176" s="16">
        <v>45415</v>
      </c>
      <c r="C176" s="25">
        <v>483.9</v>
      </c>
      <c r="D176" s="18"/>
      <c r="E176" s="27">
        <f>E173/D173</f>
        <v>0.16249083559395186</v>
      </c>
      <c r="F176" s="26">
        <v>105</v>
      </c>
      <c r="G176" s="31">
        <v>72.790000000000006</v>
      </c>
      <c r="H176" s="20">
        <f t="shared" si="16"/>
        <v>118.37559720690923</v>
      </c>
      <c r="I176" s="19"/>
      <c r="J176" s="21"/>
      <c r="K176" s="45" t="s">
        <v>46</v>
      </c>
      <c r="L176" s="7"/>
    </row>
    <row r="177" spans="1:12" x14ac:dyDescent="0.25">
      <c r="A177" s="9"/>
      <c r="B177" s="16"/>
      <c r="C177" s="23"/>
      <c r="D177" s="17"/>
      <c r="E177" s="42"/>
      <c r="F177" s="31"/>
      <c r="G177" s="31"/>
      <c r="H177" s="20"/>
      <c r="I177" s="18"/>
      <c r="J177" s="18"/>
      <c r="K177" s="45"/>
    </row>
    <row r="178" spans="1:12" x14ac:dyDescent="0.25">
      <c r="A178" s="9"/>
      <c r="B178" s="16"/>
      <c r="C178" s="17"/>
      <c r="D178" s="35" t="s">
        <v>32</v>
      </c>
      <c r="E178" s="35">
        <f>COUNT(C173:C181)</f>
        <v>4</v>
      </c>
      <c r="F178" s="31"/>
      <c r="G178" s="31"/>
      <c r="H178" s="20"/>
      <c r="I178" s="18"/>
      <c r="J178" s="21"/>
      <c r="K178" s="45"/>
    </row>
    <row r="179" spans="1:12" x14ac:dyDescent="0.25">
      <c r="A179" s="9"/>
      <c r="B179" s="16"/>
      <c r="C179" s="17"/>
      <c r="D179" s="17"/>
      <c r="E179" s="18"/>
      <c r="F179" s="31"/>
      <c r="G179" s="31"/>
      <c r="H179" s="20"/>
      <c r="I179" s="18"/>
      <c r="J179" s="21"/>
      <c r="K179" s="45"/>
    </row>
    <row r="180" spans="1:12" x14ac:dyDescent="0.25">
      <c r="A180" s="9"/>
      <c r="B180" s="16"/>
      <c r="C180" s="17"/>
      <c r="D180" s="17"/>
      <c r="E180" s="17"/>
      <c r="F180" s="31"/>
      <c r="G180" s="31"/>
      <c r="H180" s="20"/>
      <c r="I180" s="17"/>
      <c r="K180" s="45"/>
    </row>
    <row r="181" spans="1:12" x14ac:dyDescent="0.25">
      <c r="A181" s="9" t="s">
        <v>33</v>
      </c>
      <c r="B181" s="16"/>
      <c r="C181" s="17"/>
      <c r="D181" s="17"/>
      <c r="E181" s="31"/>
      <c r="F181" s="33"/>
      <c r="G181" s="20"/>
      <c r="H181" s="20"/>
      <c r="I181" s="17"/>
      <c r="K181" s="45"/>
    </row>
    <row r="182" spans="1:12" x14ac:dyDescent="0.25">
      <c r="A182" s="6"/>
      <c r="B182" s="29"/>
      <c r="E182" s="30"/>
      <c r="G182" s="30"/>
      <c r="H182" s="30"/>
    </row>
    <row r="183" spans="1:12" x14ac:dyDescent="0.25">
      <c r="A183" s="4"/>
      <c r="B183" s="29"/>
      <c r="E183" s="30"/>
      <c r="F183" s="30"/>
      <c r="G183" s="30"/>
      <c r="H183" s="30"/>
    </row>
    <row r="184" spans="1:12" ht="30" x14ac:dyDescent="0.25">
      <c r="A184" s="74">
        <v>34491</v>
      </c>
      <c r="B184" s="13" t="s">
        <v>25</v>
      </c>
      <c r="C184" s="13" t="s">
        <v>43</v>
      </c>
      <c r="D184" s="13" t="s">
        <v>5</v>
      </c>
      <c r="E184" s="13" t="s">
        <v>6</v>
      </c>
      <c r="F184" s="62" t="s">
        <v>44</v>
      </c>
      <c r="G184" s="62" t="s">
        <v>45</v>
      </c>
      <c r="H184" s="13" t="s">
        <v>12</v>
      </c>
      <c r="I184" s="13" t="s">
        <v>5</v>
      </c>
      <c r="J184" s="15" t="s">
        <v>6</v>
      </c>
      <c r="K184" s="44" t="s">
        <v>29</v>
      </c>
      <c r="L184" s="2"/>
    </row>
    <row r="185" spans="1:12" x14ac:dyDescent="0.25">
      <c r="A185" s="9" t="s">
        <v>34</v>
      </c>
      <c r="B185" s="16">
        <v>45408</v>
      </c>
      <c r="C185" s="23">
        <v>3.7719999999999998</v>
      </c>
      <c r="D185" s="63">
        <f>AVERAGE(C185:C193)</f>
        <v>41.758400000000002</v>
      </c>
      <c r="E185" s="63">
        <f>STDEV(C185:C193)/SQRT(COUNT(C185:C193))</f>
        <v>39.697926584310849</v>
      </c>
      <c r="F185" s="20">
        <v>52.63</v>
      </c>
      <c r="G185" s="20">
        <v>75.290000000000006</v>
      </c>
      <c r="H185" s="20">
        <f t="shared" ref="H185" si="17">(F185-G185)*100/(100-G185)</f>
        <v>-91.703763658437921</v>
      </c>
      <c r="I185" s="19">
        <f>AVERAGE(H185:H187)</f>
        <v>-80.206534474410105</v>
      </c>
      <c r="J185" s="21">
        <f>STDEV(H185:H187)/SQRT(COUNT(H185:H187))</f>
        <v>11.861823319358681</v>
      </c>
      <c r="K185" s="45" t="s">
        <v>46</v>
      </c>
      <c r="L185" s="7"/>
    </row>
    <row r="186" spans="1:12" x14ac:dyDescent="0.25">
      <c r="A186" s="9" t="s">
        <v>34</v>
      </c>
      <c r="B186" s="16">
        <v>45414</v>
      </c>
      <c r="C186" s="23">
        <v>0.37319999999999998</v>
      </c>
      <c r="D186" s="19"/>
      <c r="E186" s="19"/>
      <c r="F186" s="20">
        <v>57.42</v>
      </c>
      <c r="G186" s="31">
        <v>72.790000000000006</v>
      </c>
      <c r="H186" s="20">
        <f>(F186-G186)*100/(100-G186)</f>
        <v>-56.486585814038989</v>
      </c>
      <c r="I186" s="19"/>
      <c r="J186" s="21"/>
      <c r="K186" s="45" t="s">
        <v>46</v>
      </c>
      <c r="L186" s="2"/>
    </row>
    <row r="187" spans="1:12" x14ac:dyDescent="0.25">
      <c r="A187" s="9" t="s">
        <v>34</v>
      </c>
      <c r="B187" s="16">
        <v>45415</v>
      </c>
      <c r="C187" s="23">
        <v>121.13</v>
      </c>
      <c r="D187" s="42"/>
      <c r="E187" s="19"/>
      <c r="F187" s="20">
        <v>47.64</v>
      </c>
      <c r="G187" s="31">
        <v>72.790000000000006</v>
      </c>
      <c r="H187" s="20">
        <f t="shared" ref="H187" si="18">(F187-G187)*100/(100-G187)</f>
        <v>-92.429253950753434</v>
      </c>
      <c r="I187" s="19"/>
      <c r="J187" s="21"/>
      <c r="K187" s="45" t="s">
        <v>46</v>
      </c>
      <c r="L187" s="7"/>
    </row>
    <row r="188" spans="1:12" x14ac:dyDescent="0.25">
      <c r="A188" s="9"/>
      <c r="B188" s="16"/>
      <c r="C188" s="69"/>
      <c r="D188" s="18"/>
      <c r="E188" s="27">
        <f>E185/D185</f>
        <v>0.95065727097568031</v>
      </c>
      <c r="F188" s="70"/>
      <c r="G188" s="31"/>
      <c r="H188" s="20"/>
      <c r="I188" s="19"/>
      <c r="J188" s="21"/>
      <c r="K188" s="45"/>
      <c r="L188" s="7"/>
    </row>
    <row r="189" spans="1:12" x14ac:dyDescent="0.25">
      <c r="A189" s="9"/>
      <c r="B189" s="16"/>
      <c r="C189" s="23"/>
      <c r="D189" s="17"/>
      <c r="E189" s="42"/>
      <c r="F189" s="31"/>
      <c r="G189" s="31"/>
      <c r="H189" s="20"/>
      <c r="I189" s="18"/>
      <c r="J189" s="18"/>
      <c r="K189" s="45"/>
    </row>
    <row r="190" spans="1:12" x14ac:dyDescent="0.25">
      <c r="A190" s="9"/>
      <c r="B190" s="16"/>
      <c r="C190" s="17"/>
      <c r="D190" s="35" t="s">
        <v>32</v>
      </c>
      <c r="E190" s="35">
        <f>COUNT(C185:C193)</f>
        <v>3</v>
      </c>
      <c r="F190" s="31"/>
      <c r="G190" s="31"/>
      <c r="H190" s="20"/>
      <c r="I190" s="18"/>
      <c r="J190" s="21"/>
      <c r="K190" s="45"/>
    </row>
    <row r="191" spans="1:12" x14ac:dyDescent="0.25">
      <c r="A191" s="9"/>
      <c r="B191" s="16"/>
      <c r="C191" s="17"/>
      <c r="D191" s="17"/>
      <c r="E191" s="18"/>
      <c r="F191" s="31"/>
      <c r="G191" s="31"/>
      <c r="H191" s="20"/>
      <c r="I191" s="18"/>
      <c r="J191" s="21"/>
      <c r="K191" s="45"/>
    </row>
    <row r="192" spans="1:12" x14ac:dyDescent="0.25">
      <c r="A192" s="9"/>
      <c r="B192" s="16"/>
      <c r="C192" s="17"/>
      <c r="D192" s="17"/>
      <c r="E192" s="17"/>
      <c r="F192" s="31"/>
      <c r="G192" s="31"/>
      <c r="H192" s="20"/>
      <c r="I192" s="17"/>
      <c r="K192" s="45"/>
    </row>
    <row r="193" spans="1:12" x14ac:dyDescent="0.25">
      <c r="A193" s="9" t="s">
        <v>33</v>
      </c>
      <c r="B193" s="16"/>
      <c r="C193" s="17"/>
      <c r="D193" s="17"/>
      <c r="E193" s="31"/>
      <c r="F193" s="33"/>
      <c r="G193" s="20"/>
      <c r="H193" s="20"/>
      <c r="I193" s="17"/>
      <c r="K193" s="45"/>
    </row>
    <row r="194" spans="1:12" x14ac:dyDescent="0.25">
      <c r="A194" s="4"/>
      <c r="B194" s="29"/>
      <c r="C194" s="38"/>
      <c r="E194" s="30"/>
      <c r="F194" s="39"/>
      <c r="G194" s="30"/>
      <c r="H194" s="30"/>
    </row>
    <row r="196" spans="1:12" ht="30" x14ac:dyDescent="0.25">
      <c r="A196" s="74">
        <v>34492</v>
      </c>
      <c r="B196" s="13" t="s">
        <v>25</v>
      </c>
      <c r="C196" s="13" t="s">
        <v>43</v>
      </c>
      <c r="D196" s="13" t="s">
        <v>5</v>
      </c>
      <c r="E196" s="13" t="s">
        <v>6</v>
      </c>
      <c r="F196" s="62" t="s">
        <v>44</v>
      </c>
      <c r="G196" s="62" t="s">
        <v>45</v>
      </c>
      <c r="H196" s="13" t="s">
        <v>12</v>
      </c>
      <c r="I196" s="13" t="s">
        <v>5</v>
      </c>
      <c r="J196" s="15" t="s">
        <v>6</v>
      </c>
      <c r="K196" s="44" t="s">
        <v>29</v>
      </c>
      <c r="L196" s="2"/>
    </row>
    <row r="197" spans="1:12" x14ac:dyDescent="0.25">
      <c r="A197" s="9" t="s">
        <v>34</v>
      </c>
      <c r="B197" s="16">
        <v>45408</v>
      </c>
      <c r="C197" s="23">
        <v>61.65</v>
      </c>
      <c r="D197" s="63">
        <f>AVERAGE(C197:C205)</f>
        <v>25.981666666666666</v>
      </c>
      <c r="E197" s="63">
        <f>STDEV(C197:C205)/SQRT(COUNT(C197:C205))</f>
        <v>18.249164440537488</v>
      </c>
      <c r="F197" s="20">
        <v>61.2</v>
      </c>
      <c r="G197" s="20">
        <v>75.290000000000006</v>
      </c>
      <c r="H197" s="20">
        <f t="shared" ref="H197" si="19">(F197-G197)*100/(100-G197)</f>
        <v>-57.02144880615139</v>
      </c>
      <c r="I197" s="19">
        <f>AVERAGE(H197:H199)</f>
        <v>-53.982036285867707</v>
      </c>
      <c r="J197" s="21">
        <f>STDEV(H197:H199)/SQRT(COUNT(H197:H199))</f>
        <v>5.7529420647842802</v>
      </c>
      <c r="K197" s="45" t="s">
        <v>46</v>
      </c>
      <c r="L197" s="7"/>
    </row>
    <row r="198" spans="1:12" x14ac:dyDescent="0.25">
      <c r="A198" s="9" t="s">
        <v>34</v>
      </c>
      <c r="B198" s="16">
        <v>45414</v>
      </c>
      <c r="C198" s="23">
        <v>1.4450000000000001</v>
      </c>
      <c r="D198" s="19"/>
      <c r="E198" s="19"/>
      <c r="F198" s="20">
        <v>61.13</v>
      </c>
      <c r="G198" s="31">
        <v>72.790000000000006</v>
      </c>
      <c r="H198" s="20">
        <f>(F198-G198)*100/(100-G198)</f>
        <v>-42.851892686512336</v>
      </c>
      <c r="I198" s="19"/>
      <c r="J198" s="21"/>
      <c r="K198" s="45" t="s">
        <v>46</v>
      </c>
      <c r="L198" s="2"/>
    </row>
    <row r="199" spans="1:12" x14ac:dyDescent="0.25">
      <c r="A199" s="9" t="s">
        <v>34</v>
      </c>
      <c r="B199" s="16">
        <v>45415</v>
      </c>
      <c r="C199" s="23">
        <v>14.85</v>
      </c>
      <c r="D199" s="42"/>
      <c r="E199" s="19"/>
      <c r="F199" s="20">
        <v>55.9</v>
      </c>
      <c r="G199" s="31">
        <v>72.790000000000006</v>
      </c>
      <c r="H199" s="20">
        <f t="shared" ref="H199" si="20">(F199-G199)*100/(100-G199)</f>
        <v>-62.072767364939402</v>
      </c>
      <c r="I199" s="19"/>
      <c r="J199" s="21"/>
      <c r="K199" s="45" t="s">
        <v>46</v>
      </c>
      <c r="L199" s="7"/>
    </row>
    <row r="200" spans="1:12" x14ac:dyDescent="0.25">
      <c r="A200" s="9"/>
      <c r="B200" s="16"/>
      <c r="C200" s="69"/>
      <c r="D200" s="18"/>
      <c r="E200" s="27">
        <f>E197/D197</f>
        <v>0.70238621234989373</v>
      </c>
      <c r="F200" s="70"/>
      <c r="G200" s="31"/>
      <c r="H200" s="20"/>
      <c r="I200" s="19"/>
      <c r="J200" s="21"/>
      <c r="K200" s="45" t="s">
        <v>46</v>
      </c>
      <c r="L200" s="7"/>
    </row>
    <row r="201" spans="1:12" x14ac:dyDescent="0.25">
      <c r="A201" s="9"/>
      <c r="B201" s="16"/>
      <c r="C201" s="23"/>
      <c r="D201" s="17"/>
      <c r="E201" s="42"/>
      <c r="F201" s="31"/>
      <c r="G201" s="31"/>
      <c r="H201" s="20"/>
      <c r="I201" s="18"/>
      <c r="J201" s="18"/>
      <c r="K201" s="45" t="s">
        <v>46</v>
      </c>
    </row>
    <row r="202" spans="1:12" x14ac:dyDescent="0.25">
      <c r="A202" s="9"/>
      <c r="B202" s="16"/>
      <c r="C202" s="17"/>
      <c r="D202" s="35" t="s">
        <v>32</v>
      </c>
      <c r="E202" s="35">
        <f>COUNT(C197:C205)</f>
        <v>3</v>
      </c>
      <c r="F202" s="31"/>
      <c r="G202" s="31"/>
      <c r="H202" s="20"/>
      <c r="I202" s="18"/>
      <c r="J202" s="21"/>
      <c r="K202" s="45" t="s">
        <v>46</v>
      </c>
    </row>
    <row r="203" spans="1:12" x14ac:dyDescent="0.25">
      <c r="A203" s="9"/>
      <c r="B203" s="16"/>
      <c r="C203" s="17"/>
      <c r="D203" s="17"/>
      <c r="E203" s="18"/>
      <c r="F203" s="31"/>
      <c r="G203" s="31"/>
      <c r="H203" s="20"/>
      <c r="I203" s="18"/>
      <c r="J203" s="21"/>
      <c r="K203" s="45" t="s">
        <v>46</v>
      </c>
    </row>
    <row r="204" spans="1:12" x14ac:dyDescent="0.25">
      <c r="A204" s="9"/>
      <c r="B204" s="16"/>
      <c r="C204" s="17"/>
      <c r="D204" s="17"/>
      <c r="E204" s="17"/>
      <c r="F204" s="31"/>
      <c r="G204" s="31"/>
      <c r="H204" s="20"/>
      <c r="I204" s="17"/>
      <c r="K204" s="45"/>
    </row>
    <row r="205" spans="1:12" x14ac:dyDescent="0.25">
      <c r="A205" s="9" t="s">
        <v>33</v>
      </c>
      <c r="B205" s="16"/>
      <c r="C205" s="17"/>
      <c r="D205" s="17"/>
      <c r="E205" s="31"/>
      <c r="F205" s="33"/>
      <c r="G205" s="20"/>
      <c r="H205" s="20"/>
      <c r="I205" s="17"/>
      <c r="K205" s="45"/>
    </row>
    <row r="208" spans="1:12" ht="30" x14ac:dyDescent="0.25">
      <c r="A208" s="74">
        <v>34493</v>
      </c>
      <c r="B208" s="13" t="s">
        <v>25</v>
      </c>
      <c r="C208" s="13" t="s">
        <v>43</v>
      </c>
      <c r="D208" s="13" t="s">
        <v>5</v>
      </c>
      <c r="E208" s="13" t="s">
        <v>6</v>
      </c>
      <c r="F208" s="62" t="s">
        <v>44</v>
      </c>
      <c r="G208" s="62" t="s">
        <v>45</v>
      </c>
      <c r="H208" s="13" t="s">
        <v>12</v>
      </c>
      <c r="I208" s="13" t="s">
        <v>5</v>
      </c>
      <c r="J208" s="15" t="s">
        <v>6</v>
      </c>
      <c r="K208" s="44" t="s">
        <v>29</v>
      </c>
      <c r="L208" s="2"/>
    </row>
    <row r="209" spans="1:12" x14ac:dyDescent="0.25">
      <c r="A209" s="9" t="s">
        <v>34</v>
      </c>
      <c r="B209" s="16">
        <v>45408</v>
      </c>
      <c r="C209" s="23">
        <v>4.1020000000000001E-2</v>
      </c>
      <c r="D209" s="63">
        <f>AVERAGE(C209:C217)</f>
        <v>13.21134</v>
      </c>
      <c r="E209" s="63">
        <f>STDEV(C209:C217)/SQRT(COUNT(C209:C217))</f>
        <v>11.994222622118256</v>
      </c>
      <c r="F209" s="20">
        <v>57.81</v>
      </c>
      <c r="G209" s="20">
        <v>75.290000000000006</v>
      </c>
      <c r="H209" s="20">
        <f t="shared" ref="H209" si="21">(F209-G209)*100/(100-G209)</f>
        <v>-70.740590853905331</v>
      </c>
      <c r="I209" s="19">
        <f>AVERAGE(H209:H212)</f>
        <v>-47.416863994255493</v>
      </c>
      <c r="J209" s="21">
        <f>STDEV(H209:H212)/SQRT(COUNT(H209:H212))</f>
        <v>19.042090987784988</v>
      </c>
      <c r="K209" s="45" t="s">
        <v>46</v>
      </c>
      <c r="L209" s="7"/>
    </row>
    <row r="210" spans="1:12" x14ac:dyDescent="0.25">
      <c r="A210" s="9" t="s">
        <v>49</v>
      </c>
      <c r="B210" s="16">
        <v>45414</v>
      </c>
      <c r="C210" s="23" t="s">
        <v>35</v>
      </c>
      <c r="D210" s="19"/>
      <c r="E210" s="19"/>
      <c r="F210" s="20">
        <v>57.91</v>
      </c>
      <c r="G210" s="31">
        <v>72.790000000000006</v>
      </c>
      <c r="H210" s="20">
        <f>(F210-G210)*100/(100-G210)</f>
        <v>-54.685777287761901</v>
      </c>
      <c r="I210" s="19"/>
      <c r="J210" s="21"/>
      <c r="K210" s="45" t="s">
        <v>46</v>
      </c>
      <c r="L210" s="2"/>
    </row>
    <row r="211" spans="1:12" x14ac:dyDescent="0.25">
      <c r="A211" s="9" t="s">
        <v>34</v>
      </c>
      <c r="B211" s="16">
        <v>45415</v>
      </c>
      <c r="C211" s="23">
        <v>37.159999999999997</v>
      </c>
      <c r="D211" s="42"/>
      <c r="E211" s="19"/>
      <c r="F211" s="20">
        <v>53.02</v>
      </c>
      <c r="G211" s="31">
        <v>72.790000000000006</v>
      </c>
      <c r="H211" s="20">
        <f>(F211-G211)*100/(100-G211)</f>
        <v>-72.657111356119103</v>
      </c>
      <c r="I211" s="19"/>
      <c r="J211" s="21"/>
      <c r="K211" s="45" t="s">
        <v>46</v>
      </c>
      <c r="L211" s="7"/>
    </row>
    <row r="212" spans="1:12" x14ac:dyDescent="0.25">
      <c r="A212" s="9" t="s">
        <v>34</v>
      </c>
      <c r="B212" s="16">
        <v>45415</v>
      </c>
      <c r="C212" s="25">
        <v>2.4329999999999998</v>
      </c>
      <c r="D212" s="18"/>
      <c r="E212" s="27">
        <f>E209/D209</f>
        <v>0.907873283264094</v>
      </c>
      <c r="F212" s="26">
        <v>75.08</v>
      </c>
      <c r="G212" s="31">
        <v>72.790000000000006</v>
      </c>
      <c r="H212" s="20">
        <f t="shared" ref="H212" si="22">(F212-G212)*100/(100-G212)</f>
        <v>8.4160235207643979</v>
      </c>
      <c r="I212" s="19"/>
      <c r="J212" s="21"/>
      <c r="K212" s="45" t="s">
        <v>46</v>
      </c>
      <c r="L212" s="7"/>
    </row>
    <row r="213" spans="1:12" x14ac:dyDescent="0.25">
      <c r="A213" s="9"/>
      <c r="B213" s="16"/>
      <c r="C213" s="23"/>
      <c r="D213" s="17"/>
      <c r="E213" s="42"/>
      <c r="F213" s="31"/>
      <c r="G213" s="31"/>
      <c r="H213" s="20"/>
      <c r="I213" s="18"/>
      <c r="J213" s="18"/>
      <c r="K213" s="45" t="s">
        <v>46</v>
      </c>
    </row>
    <row r="214" spans="1:12" x14ac:dyDescent="0.25">
      <c r="A214" s="9"/>
      <c r="B214" s="16"/>
      <c r="C214" s="17"/>
      <c r="D214" s="35" t="s">
        <v>32</v>
      </c>
      <c r="E214" s="35">
        <f>COUNT(C209:C217)</f>
        <v>3</v>
      </c>
      <c r="F214" s="31"/>
      <c r="G214" s="31"/>
      <c r="H214" s="20"/>
      <c r="I214" s="18"/>
      <c r="J214" s="21"/>
      <c r="K214" s="45" t="s">
        <v>46</v>
      </c>
    </row>
    <row r="215" spans="1:12" x14ac:dyDescent="0.25">
      <c r="A215" s="9"/>
      <c r="B215" s="16"/>
      <c r="C215" s="17"/>
      <c r="D215" s="17"/>
      <c r="E215" s="18"/>
      <c r="F215" s="31"/>
      <c r="G215" s="31"/>
      <c r="H215" s="20"/>
      <c r="I215" s="18"/>
      <c r="J215" s="21"/>
      <c r="K215" s="45" t="s">
        <v>46</v>
      </c>
    </row>
    <row r="216" spans="1:12" x14ac:dyDescent="0.25">
      <c r="A216" s="9"/>
      <c r="B216" s="16"/>
      <c r="C216" s="17"/>
      <c r="D216" s="17"/>
      <c r="E216" s="17"/>
      <c r="F216" s="31"/>
      <c r="G216" s="31"/>
      <c r="H216" s="20"/>
      <c r="I216" s="17"/>
      <c r="K216" s="45"/>
    </row>
    <row r="217" spans="1:12" x14ac:dyDescent="0.25">
      <c r="A217" s="9" t="s">
        <v>33</v>
      </c>
      <c r="B217" s="16"/>
      <c r="C217" s="17"/>
      <c r="D217" s="17"/>
      <c r="E217" s="31"/>
      <c r="F217" s="33"/>
      <c r="G217" s="20"/>
      <c r="H217" s="20"/>
      <c r="I217" s="17"/>
      <c r="K217" s="45"/>
    </row>
  </sheetData>
  <pageMargins left="0.45" right="0.45" top="0.75" bottom="0.75" header="0.3" footer="0.3"/>
  <pageSetup scale="85" fitToHeight="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afe7d8-4bd4-4378-b54d-cfdec05ca8b5" xsi:nil="true"/>
    <lcf76f155ced4ddcb4097134ff3c332f xmlns="1a253495-b0d9-40a4-8e1c-242bf54316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C21113D08CA4AA11B94D049CCA957" ma:contentTypeVersion="15" ma:contentTypeDescription="Create a new document." ma:contentTypeScope="" ma:versionID="5162a5de96b135813ee1897b46c91040">
  <xsd:schema xmlns:xsd="http://www.w3.org/2001/XMLSchema" xmlns:xs="http://www.w3.org/2001/XMLSchema" xmlns:p="http://schemas.microsoft.com/office/2006/metadata/properties" xmlns:ns2="1a253495-b0d9-40a4-8e1c-242bf5431677" xmlns:ns3="8cafe7d8-4bd4-4378-b54d-cfdec05ca8b5" targetNamespace="http://schemas.microsoft.com/office/2006/metadata/properties" ma:root="true" ma:fieldsID="bb0e9f5f971dd36718e546493f1efd59" ns2:_="" ns3:_="">
    <xsd:import namespace="1a253495-b0d9-40a4-8e1c-242bf5431677"/>
    <xsd:import namespace="8cafe7d8-4bd4-4378-b54d-cfdec05ca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53495-b0d9-40a4-8e1c-242bf5431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841b39-9e5f-4b0d-aa4b-9252280a9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fe7d8-4bd4-4378-b54d-cfdec05ca8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c2b24-8ad0-483f-a40b-c3025bba6f1f}" ma:internalName="TaxCatchAll" ma:showField="CatchAllData" ma:web="8cafe7d8-4bd4-4378-b54d-cfdec05ca8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422E20-1886-4F13-B404-BA96C141C9D4}">
  <ds:schemaRefs>
    <ds:schemaRef ds:uri="http://schemas.microsoft.com/office/2006/metadata/properties"/>
    <ds:schemaRef ds:uri="http://schemas.microsoft.com/office/infopath/2007/PartnerControls"/>
    <ds:schemaRef ds:uri="8cafe7d8-4bd4-4378-b54d-cfdec05ca8b5"/>
    <ds:schemaRef ds:uri="1a253495-b0d9-40a4-8e1c-242bf5431677"/>
  </ds:schemaRefs>
</ds:datastoreItem>
</file>

<file path=customXml/itemProps2.xml><?xml version="1.0" encoding="utf-8"?>
<ds:datastoreItem xmlns:ds="http://schemas.openxmlformats.org/officeDocument/2006/customXml" ds:itemID="{BF2AE799-D1C6-433D-A620-4CE76B6B35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FEE6C4-E09B-458E-A1CA-364623EDD5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253495-b0d9-40a4-8e1c-242bf5431677"/>
    <ds:schemaRef ds:uri="8cafe7d8-4bd4-4378-b54d-cfdec05ca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for Prism</vt:lpstr>
      <vt:lpstr>Data</vt:lpstr>
    </vt:vector>
  </TitlesOfParts>
  <Manager/>
  <Company>OHSU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Amy Eshleman</dc:creator>
  <cp:keywords/>
  <dc:description/>
  <cp:lastModifiedBy>Laura Kozell</cp:lastModifiedBy>
  <cp:revision/>
  <cp:lastPrinted>2024-09-26T18:07:09Z</cp:lastPrinted>
  <dcterms:created xsi:type="dcterms:W3CDTF">2013-05-13T18:51:33Z</dcterms:created>
  <dcterms:modified xsi:type="dcterms:W3CDTF">2024-10-11T21:27:34Z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0x010100D7AC21113D08CA4AA11B94D049CCA957</vt:lpwstr>
  </property>
  <property fmtid="{D5CDD505-2E9C-101B-9397-08002B2CF9AE}" pid="3" name="MediaServiceImageTags">
    <vt:lpwstr/>
  </property>
</Properties>
</file>