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hsuitg.sharepoint.com/sites/SM.Janowsky-Lab/Shared Documents/General/X Drive/CONTRACTS/5th contract/Fiscal 2024/34485-94 DA 5HT Jan 2024/Data/"/>
    </mc:Choice>
  </mc:AlternateContent>
  <xr:revisionPtr revIDLastSave="0" documentId="14_{416409C6-BA56-4CA4-B4D9-D26EDFAC4352}" xr6:coauthVersionLast="47" xr6:coauthVersionMax="47" xr10:uidLastSave="{00000000-0000-0000-0000-000000000000}"/>
  <bookViews>
    <workbookView xWindow="28680" yWindow="-120" windowWidth="29040" windowHeight="15840" tabRatio="579" xr2:uid="{00000000-000D-0000-FFFF-FFFF00000000}"/>
  </bookViews>
  <sheets>
    <sheet name="NIDA June 2024 Agonists" sheetId="5" r:id="rId1"/>
    <sheet name="NIDA June 2024 Antagonists" sheetId="6" r:id="rId2"/>
    <sheet name="Agonists-Fentanyl &amp; Morphine" sheetId="8" r:id="rId3"/>
    <sheet name="Antagonists-Fentanyl &amp; Morphine" sheetId="7" r:id="rId4"/>
  </sheets>
  <definedNames>
    <definedName name="_xlnm.Print_Area" localSheetId="0">'NIDA June 2024 Agonists'!$A$1:$H$24</definedName>
    <definedName name="_xlnm.Print_Area" localSheetId="1">'NIDA June 2024 Antagonists'!$A$1:$J$25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6" l="1"/>
  <c r="F11" i="6"/>
  <c r="F10" i="6"/>
  <c r="D21" i="5"/>
  <c r="F9" i="6" l="1"/>
  <c r="F8" i="6"/>
  <c r="H8" i="5" l="1"/>
  <c r="G8" i="5"/>
  <c r="H8" i="6"/>
  <c r="G8" i="6"/>
  <c r="H18" i="6"/>
  <c r="H21" i="5"/>
  <c r="G21" i="5"/>
  <c r="H15" i="7"/>
  <c r="G15" i="7"/>
  <c r="H8" i="7"/>
  <c r="G8" i="7"/>
  <c r="F24" i="7"/>
  <c r="H24" i="7" s="1"/>
  <c r="H28" i="8"/>
  <c r="G28" i="8"/>
  <c r="H21" i="8"/>
  <c r="G21" i="8"/>
  <c r="H8" i="8"/>
  <c r="G8" i="8"/>
  <c r="G24" i="7" l="1"/>
  <c r="D8" i="5"/>
  <c r="D8" i="8" l="1"/>
  <c r="D28" i="8"/>
  <c r="E21" i="8"/>
  <c r="D21" i="8"/>
  <c r="E8" i="8"/>
  <c r="E18" i="6"/>
  <c r="D18" i="6"/>
  <c r="E17" i="8" l="1"/>
  <c r="E24" i="7"/>
  <c r="D24" i="7"/>
  <c r="D15" i="7"/>
  <c r="E15" i="7"/>
  <c r="E19" i="7" s="1"/>
  <c r="E8" i="7"/>
  <c r="E12" i="7" s="1"/>
  <c r="D8" i="7"/>
  <c r="E25" i="6" l="1"/>
  <c r="E28" i="7"/>
  <c r="E8" i="6"/>
  <c r="D8" i="6"/>
  <c r="E21" i="5" l="1"/>
  <c r="E23" i="5" s="1"/>
  <c r="E8" i="5"/>
  <c r="E17" i="5" s="1"/>
  <c r="E15" i="6" l="1"/>
</calcChain>
</file>

<file path=xl/sharedStrings.xml><?xml version="1.0" encoding="utf-8"?>
<sst xmlns="http://schemas.openxmlformats.org/spreadsheetml/2006/main" count="175" uniqueCount="49">
  <si>
    <t>sem</t>
  </si>
  <si>
    <t>Averages of agonists for adenylate cyclase</t>
  </si>
  <si>
    <t>EC50 values, regular agonist assays</t>
  </si>
  <si>
    <t>Date</t>
  </si>
  <si>
    <t>EC50</t>
  </si>
  <si>
    <t>mean</t>
  </si>
  <si>
    <t>max effect</t>
  </si>
  <si>
    <t>Cells plated at 200,000</t>
  </si>
  <si>
    <t>Passages: 7,7</t>
  </si>
  <si>
    <t>-11 to -5</t>
  </si>
  <si>
    <t>Dopamine</t>
  </si>
  <si>
    <t>quin %forskolin</t>
  </si>
  <si>
    <t>%reversal</t>
  </si>
  <si>
    <t>* Excluded Data</t>
  </si>
  <si>
    <t>NIDA</t>
  </si>
  <si>
    <t>Done</t>
  </si>
  <si>
    <t>AGONIST</t>
  </si>
  <si>
    <t>Start April 2020</t>
  </si>
  <si>
    <t>Dopamine: 10 uM</t>
  </si>
  <si>
    <t>SCH23390</t>
  </si>
  <si>
    <t>Dihydrexidine: 100 uM</t>
  </si>
  <si>
    <t>TCA extract diluted 10:190</t>
  </si>
  <si>
    <t xml:space="preserve">IC 50 values…antagonist </t>
  </si>
  <si>
    <t>Bottom of curve</t>
  </si>
  <si>
    <t>Fentanyl</t>
  </si>
  <si>
    <t>Morphine</t>
  </si>
  <si>
    <t>-10 to -4</t>
  </si>
  <si>
    <t>-9 to -4</t>
  </si>
  <si>
    <t>&gt;100,000</t>
  </si>
  <si>
    <t xml:space="preserve">Fentanyl Offsite Paper / Randy </t>
  </si>
  <si>
    <t>Start May 2020</t>
  </si>
  <si>
    <t>-8 to -4</t>
  </si>
  <si>
    <t xml:space="preserve">Passages: </t>
  </si>
  <si>
    <t>12, 13, 15</t>
  </si>
  <si>
    <t>Passages: 14, 15</t>
  </si>
  <si>
    <t>% DA max</t>
  </si>
  <si>
    <t>% max inhibition</t>
  </si>
  <si>
    <t>Start June 2024</t>
  </si>
  <si>
    <t xml:space="preserve">Data checked </t>
  </si>
  <si>
    <t>Bottom greater than 30</t>
  </si>
  <si>
    <t>&gt;10000</t>
  </si>
  <si>
    <t>13, 14</t>
  </si>
  <si>
    <t>-10 to -5</t>
  </si>
  <si>
    <t>Passages: 13, 14</t>
  </si>
  <si>
    <t>Bottom greater than 35</t>
  </si>
  <si>
    <t>IC50</t>
  </si>
  <si>
    <t>N=5, done</t>
  </si>
  <si>
    <t>N=4, Done</t>
  </si>
  <si>
    <t>Data checked 9/3/24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</si>
</sst>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0" fontId="2" fillId="0" borderId="0" xfId="0" applyFont="1"/>
    <xf numFmtId="164" fontId="0" fillId="0" borderId="0" xfId="0" applyNumberFormat="1"/>
    <xf numFmtId="2" fontId="2" fillId="0" borderId="0" xfId="0" applyNumberFormat="1" applyFont="1"/>
    <xf numFmtId="0" fontId="0" fillId="0" borderId="0" xfId="0" applyAlignment="1">
      <alignment horizontal="center"/>
    </xf>
    <xf numFmtId="1" fontId="0" fillId="0" borderId="0" xfId="0" quotePrefix="1" applyNumberFormat="1"/>
    <xf numFmtId="0" fontId="1" fillId="0" borderId="0" xfId="0" quotePrefix="1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0" fontId="4" fillId="0" borderId="0" xfId="0" quotePrefix="1" applyFont="1"/>
    <xf numFmtId="14" fontId="5" fillId="0" borderId="0" xfId="0" applyNumberFormat="1" applyFont="1"/>
    <xf numFmtId="0" fontId="5" fillId="0" borderId="0" xfId="0" applyFont="1"/>
    <xf numFmtId="2" fontId="5" fillId="0" borderId="0" xfId="0" applyNumberFormat="1" applyFont="1"/>
    <xf numFmtId="49" fontId="1" fillId="0" borderId="0" xfId="0" quotePrefix="1" applyNumberFormat="1" applyFont="1"/>
    <xf numFmtId="0" fontId="6" fillId="0" borderId="0" xfId="0" applyFont="1"/>
    <xf numFmtId="10" fontId="0" fillId="0" borderId="0" xfId="1" applyNumberFormat="1" applyFont="1" applyFill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2" fillId="0" borderId="2" xfId="0" applyFont="1" applyBorder="1"/>
    <xf numFmtId="164" fontId="0" fillId="0" borderId="2" xfId="0" applyNumberFormat="1" applyBorder="1"/>
    <xf numFmtId="2" fontId="0" fillId="0" borderId="2" xfId="0" applyNumberFormat="1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quotePrefix="1" applyFont="1" applyBorder="1"/>
    <xf numFmtId="0" fontId="3" fillId="0" borderId="4" xfId="0" applyFont="1" applyBorder="1" applyAlignment="1">
      <alignment horizontal="center"/>
    </xf>
    <xf numFmtId="49" fontId="1" fillId="0" borderId="1" xfId="0" quotePrefix="1" applyNumberFormat="1" applyFont="1" applyBorder="1"/>
    <xf numFmtId="10" fontId="1" fillId="0" borderId="0" xfId="1" applyNumberFormat="1" applyFont="1" applyFill="1"/>
    <xf numFmtId="0" fontId="1" fillId="0" borderId="0" xfId="0" applyFont="1" applyAlignment="1">
      <alignment horizontal="left"/>
    </xf>
    <xf numFmtId="0" fontId="2" fillId="0" borderId="1" xfId="0" applyFont="1" applyBorder="1"/>
    <xf numFmtId="0" fontId="0" fillId="0" borderId="6" xfId="0" applyBorder="1"/>
    <xf numFmtId="164" fontId="0" fillId="0" borderId="7" xfId="0" applyNumberFormat="1" applyBorder="1"/>
    <xf numFmtId="2" fontId="0" fillId="0" borderId="7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1"/>
  <sheetViews>
    <sheetView tabSelected="1" workbookViewId="0">
      <pane xSplit="1" topLeftCell="B1" activePane="topRight" state="frozen"/>
      <selection activeCell="A10" sqref="A10"/>
      <selection pane="topRight" activeCell="J26" sqref="J26"/>
    </sheetView>
  </sheetViews>
  <sheetFormatPr defaultRowHeight="15" x14ac:dyDescent="0.25"/>
  <cols>
    <col min="1" max="1" width="16.42578125" customWidth="1"/>
    <col min="2" max="2" width="12" customWidth="1"/>
    <col min="5" max="5" width="10.140625" customWidth="1"/>
    <col min="6" max="6" width="15.28515625" bestFit="1" customWidth="1"/>
    <col min="9" max="9" width="9.5703125" bestFit="1" customWidth="1"/>
    <col min="10" max="10" width="24.7109375" bestFit="1" customWidth="1"/>
    <col min="11" max="11" width="9.140625" style="7"/>
  </cols>
  <sheetData>
    <row r="1" spans="1:10" x14ac:dyDescent="0.25">
      <c r="A1" t="s">
        <v>1</v>
      </c>
      <c r="G1" t="s">
        <v>38</v>
      </c>
    </row>
    <row r="2" spans="1:10" x14ac:dyDescent="0.25">
      <c r="A2" t="s">
        <v>37</v>
      </c>
      <c r="B2" s="10" t="s">
        <v>14</v>
      </c>
      <c r="E2" t="s">
        <v>18</v>
      </c>
    </row>
    <row r="3" spans="1:10" x14ac:dyDescent="0.25">
      <c r="A3" t="s">
        <v>7</v>
      </c>
      <c r="E3" t="s">
        <v>21</v>
      </c>
    </row>
    <row r="4" spans="1:10" x14ac:dyDescent="0.25">
      <c r="D4" t="s">
        <v>8</v>
      </c>
      <c r="E4" s="8" t="s">
        <v>41</v>
      </c>
    </row>
    <row r="5" spans="1:10" x14ac:dyDescent="0.25">
      <c r="A5" s="1" t="s">
        <v>2</v>
      </c>
    </row>
    <row r="6" spans="1:10" x14ac:dyDescent="0.25">
      <c r="A6" s="1" t="s">
        <v>16</v>
      </c>
      <c r="F6" t="s">
        <v>6</v>
      </c>
    </row>
    <row r="7" spans="1:10" x14ac:dyDescent="0.25">
      <c r="A7" s="29" t="s">
        <v>10</v>
      </c>
      <c r="B7" s="29" t="s">
        <v>3</v>
      </c>
      <c r="C7" s="30" t="s">
        <v>4</v>
      </c>
      <c r="D7" s="30" t="s">
        <v>5</v>
      </c>
      <c r="E7" s="29" t="s">
        <v>0</v>
      </c>
      <c r="F7" s="29" t="s">
        <v>35</v>
      </c>
      <c r="G7" s="29" t="s">
        <v>5</v>
      </c>
      <c r="H7" s="28" t="s">
        <v>0</v>
      </c>
    </row>
    <row r="8" spans="1:10" x14ac:dyDescent="0.25">
      <c r="A8" s="33" t="s">
        <v>9</v>
      </c>
      <c r="B8" s="21">
        <v>45449</v>
      </c>
      <c r="C8" s="22">
        <v>29.25</v>
      </c>
      <c r="D8" s="24">
        <f>AVERAGE(C8:C15)</f>
        <v>39.396666666666668</v>
      </c>
      <c r="E8" s="27">
        <f>STDEV(C8:C16)/SQRT(COUNT(C8:C16))</f>
        <v>5.0799814085399193</v>
      </c>
      <c r="F8" s="26">
        <v>99.97</v>
      </c>
      <c r="G8" s="27">
        <f>AVERAGE(F8:F13)</f>
        <v>102.36666666666667</v>
      </c>
      <c r="H8" s="5">
        <f>STDEV(F8:F13)/SQRT(COUNT(F8:F13))</f>
        <v>2.416694252716117</v>
      </c>
      <c r="I8" s="5"/>
      <c r="J8" s="18"/>
    </row>
    <row r="9" spans="1:10" x14ac:dyDescent="0.25">
      <c r="A9" s="33" t="s">
        <v>9</v>
      </c>
      <c r="B9" s="21">
        <v>45457</v>
      </c>
      <c r="C9" s="22">
        <v>44.92</v>
      </c>
      <c r="D9" s="22"/>
      <c r="E9" s="27"/>
      <c r="F9" s="20">
        <v>107.2</v>
      </c>
      <c r="G9" s="27"/>
      <c r="H9" s="5"/>
    </row>
    <row r="10" spans="1:10" x14ac:dyDescent="0.25">
      <c r="A10" s="33" t="s">
        <v>9</v>
      </c>
      <c r="B10" s="21">
        <v>45457</v>
      </c>
      <c r="C10" s="22">
        <v>44.02</v>
      </c>
      <c r="D10" s="22"/>
      <c r="E10" s="27"/>
      <c r="F10" s="20">
        <v>99.93</v>
      </c>
      <c r="G10" s="27"/>
      <c r="H10" s="5"/>
    </row>
    <row r="11" spans="1:10" x14ac:dyDescent="0.25">
      <c r="A11" s="33" t="s">
        <v>9</v>
      </c>
      <c r="B11" s="21"/>
      <c r="C11" s="23"/>
      <c r="D11" s="22"/>
      <c r="E11" s="27"/>
      <c r="F11" s="36"/>
      <c r="G11" s="27"/>
      <c r="H11" s="5"/>
    </row>
    <row r="12" spans="1:10" x14ac:dyDescent="0.25">
      <c r="A12" s="33" t="s">
        <v>9</v>
      </c>
      <c r="B12" s="21"/>
      <c r="C12" s="22"/>
      <c r="D12" s="22"/>
      <c r="E12" s="27"/>
      <c r="F12" s="20"/>
      <c r="G12" s="27"/>
      <c r="H12" s="5"/>
    </row>
    <row r="13" spans="1:10" x14ac:dyDescent="0.25">
      <c r="A13" s="31"/>
      <c r="B13" s="21"/>
      <c r="C13" s="22"/>
      <c r="D13" s="22"/>
      <c r="E13" s="27"/>
      <c r="F13" s="20"/>
      <c r="G13" s="27"/>
      <c r="H13" s="5"/>
    </row>
    <row r="14" spans="1:10" x14ac:dyDescent="0.25">
      <c r="A14" s="31"/>
      <c r="B14" s="21"/>
      <c r="C14" s="22"/>
      <c r="D14" s="22"/>
      <c r="E14" s="27"/>
      <c r="F14" s="20"/>
      <c r="G14" s="27"/>
      <c r="H14" s="5"/>
    </row>
    <row r="15" spans="1:10" x14ac:dyDescent="0.25">
      <c r="A15" s="31"/>
      <c r="B15" s="21"/>
      <c r="C15" s="22"/>
      <c r="D15" s="22"/>
      <c r="E15" s="27"/>
      <c r="F15" s="20"/>
      <c r="G15" s="27"/>
      <c r="H15" s="5"/>
    </row>
    <row r="16" spans="1:10" x14ac:dyDescent="0.25">
      <c r="A16" s="9"/>
      <c r="B16" s="2"/>
      <c r="E16" s="5"/>
      <c r="G16" s="5"/>
      <c r="H16" s="5"/>
    </row>
    <row r="17" spans="1:11" x14ac:dyDescent="0.25">
      <c r="A17" s="9"/>
      <c r="B17" s="2"/>
      <c r="E17" s="34">
        <f>(E8/D8)</f>
        <v>0.1289444472935084</v>
      </c>
      <c r="F17" t="s">
        <v>15</v>
      </c>
      <c r="G17" s="5"/>
      <c r="H17" s="5"/>
    </row>
    <row r="18" spans="1:11" x14ac:dyDescent="0.25">
      <c r="A18" s="9"/>
      <c r="B18" s="2"/>
      <c r="C18" s="4"/>
      <c r="E18" s="5"/>
      <c r="F18" s="6"/>
      <c r="I18" s="5"/>
      <c r="J18" s="5"/>
    </row>
    <row r="19" spans="1:11" x14ac:dyDescent="0.25">
      <c r="A19" s="1"/>
      <c r="B19" s="2"/>
      <c r="C19" s="4"/>
      <c r="F19" s="6"/>
      <c r="I19" s="5"/>
      <c r="J19" s="5"/>
    </row>
    <row r="20" spans="1:11" x14ac:dyDescent="0.25">
      <c r="A20" s="32">
        <v>34488</v>
      </c>
      <c r="B20" s="29" t="s">
        <v>3</v>
      </c>
      <c r="C20" s="30" t="s">
        <v>4</v>
      </c>
      <c r="D20" s="30" t="s">
        <v>5</v>
      </c>
      <c r="E20" s="28" t="s">
        <v>0</v>
      </c>
      <c r="F20" s="29" t="s">
        <v>6</v>
      </c>
      <c r="G20" s="29" t="s">
        <v>5</v>
      </c>
      <c r="H20" s="28" t="s">
        <v>0</v>
      </c>
    </row>
    <row r="21" spans="1:11" x14ac:dyDescent="0.25">
      <c r="A21" s="31" t="s">
        <v>9</v>
      </c>
      <c r="B21" s="21">
        <v>45449</v>
      </c>
      <c r="C21" s="23" t="s">
        <v>40</v>
      </c>
      <c r="D21" s="25" t="e">
        <f>AVERAGE(C21:C22)</f>
        <v>#DIV/0!</v>
      </c>
      <c r="E21" s="3" t="e">
        <f>STDEV(#REF!,#REF!,#REF!,#REF!)/SQRT(COUNT(#REF!,#REF!,#REF!,#REF!))</f>
        <v>#REF!</v>
      </c>
      <c r="F21" s="26">
        <v>0</v>
      </c>
      <c r="G21" s="27">
        <f>AVERAGE(F21:F26)</f>
        <v>0</v>
      </c>
      <c r="H21" s="5">
        <f>STDEV(F21:F25)/SQRT(COUNT(F21:F25))</f>
        <v>0</v>
      </c>
      <c r="J21" s="18"/>
    </row>
    <row r="22" spans="1:11" x14ac:dyDescent="0.25">
      <c r="A22" s="31" t="s">
        <v>9</v>
      </c>
      <c r="B22" s="21">
        <v>45457</v>
      </c>
      <c r="C22" s="23" t="s">
        <v>40</v>
      </c>
      <c r="D22" s="22"/>
      <c r="E22" s="5"/>
      <c r="F22" s="26">
        <v>0</v>
      </c>
      <c r="G22" s="27"/>
      <c r="H22" s="5"/>
      <c r="J22" s="18"/>
    </row>
    <row r="23" spans="1:11" x14ac:dyDescent="0.25">
      <c r="A23" s="9"/>
      <c r="B23" s="2"/>
      <c r="C23" s="4"/>
      <c r="E23" s="19" t="e">
        <f>(E21/D21)</f>
        <v>#REF!</v>
      </c>
      <c r="F23" s="6" t="s">
        <v>15</v>
      </c>
    </row>
    <row r="24" spans="1:11" x14ac:dyDescent="0.25">
      <c r="A24" s="9"/>
      <c r="B24" s="2"/>
      <c r="C24" s="4"/>
      <c r="E24" s="3"/>
      <c r="F24" s="6"/>
    </row>
    <row r="25" spans="1:11" x14ac:dyDescent="0.25">
      <c r="C25" s="7"/>
      <c r="K25"/>
    </row>
    <row r="26" spans="1:11" x14ac:dyDescent="0.25">
      <c r="C26" s="7"/>
      <c r="J26">
        <v>39.4</v>
      </c>
      <c r="K26"/>
    </row>
    <row r="27" spans="1:11" x14ac:dyDescent="0.25">
      <c r="C27" s="7"/>
      <c r="K27"/>
    </row>
    <row r="28" spans="1:11" x14ac:dyDescent="0.25">
      <c r="C28" s="7"/>
      <c r="K28"/>
    </row>
    <row r="29" spans="1:11" x14ac:dyDescent="0.25">
      <c r="C29" s="7"/>
      <c r="K29"/>
    </row>
    <row r="30" spans="1:11" x14ac:dyDescent="0.25">
      <c r="C30" s="7"/>
      <c r="K30"/>
    </row>
    <row r="31" spans="1:11" x14ac:dyDescent="0.25">
      <c r="C31" s="7"/>
      <c r="K31"/>
    </row>
    <row r="32" spans="1:11" x14ac:dyDescent="0.25">
      <c r="C32" s="7"/>
      <c r="K32"/>
    </row>
    <row r="33" spans="1:11" x14ac:dyDescent="0.25">
      <c r="C33" s="7"/>
      <c r="K33"/>
    </row>
    <row r="34" spans="1:11" x14ac:dyDescent="0.25">
      <c r="C34" s="7"/>
      <c r="K34"/>
    </row>
    <row r="35" spans="1:11" x14ac:dyDescent="0.25">
      <c r="C35" s="7"/>
      <c r="K35"/>
    </row>
    <row r="36" spans="1:11" x14ac:dyDescent="0.25">
      <c r="C36" s="7"/>
      <c r="K36"/>
    </row>
    <row r="37" spans="1:11" x14ac:dyDescent="0.25">
      <c r="C37" s="7"/>
      <c r="K37"/>
    </row>
    <row r="38" spans="1:11" x14ac:dyDescent="0.25">
      <c r="C38" s="7"/>
      <c r="K38"/>
    </row>
    <row r="39" spans="1:11" x14ac:dyDescent="0.25">
      <c r="C39" s="7"/>
      <c r="K39"/>
    </row>
    <row r="40" spans="1:11" x14ac:dyDescent="0.25">
      <c r="C40" s="7"/>
      <c r="K40"/>
    </row>
    <row r="41" spans="1:11" x14ac:dyDescent="0.25">
      <c r="A41" s="5"/>
      <c r="B41" s="5"/>
      <c r="C41" s="7"/>
      <c r="K41"/>
    </row>
    <row r="42" spans="1:11" x14ac:dyDescent="0.25">
      <c r="A42" s="5"/>
      <c r="B42" s="5"/>
      <c r="C42" s="7"/>
      <c r="K42"/>
    </row>
    <row r="43" spans="1:11" x14ac:dyDescent="0.25">
      <c r="A43" s="5"/>
      <c r="B43" s="5"/>
      <c r="C43" s="7"/>
      <c r="K43"/>
    </row>
    <row r="44" spans="1:11" x14ac:dyDescent="0.25">
      <c r="A44" s="5"/>
      <c r="B44" s="5"/>
      <c r="C44" s="7"/>
      <c r="K44"/>
    </row>
    <row r="45" spans="1:11" x14ac:dyDescent="0.25">
      <c r="A45" s="5"/>
      <c r="B45" s="5"/>
      <c r="C45" s="7"/>
      <c r="K45"/>
    </row>
    <row r="46" spans="1:11" x14ac:dyDescent="0.25">
      <c r="A46" s="5"/>
      <c r="B46" s="5"/>
      <c r="C46" s="7"/>
      <c r="K46"/>
    </row>
    <row r="47" spans="1:11" x14ac:dyDescent="0.25">
      <c r="C47" s="7"/>
      <c r="K47"/>
    </row>
    <row r="48" spans="1:11" x14ac:dyDescent="0.25">
      <c r="C48" s="7"/>
      <c r="K48"/>
    </row>
    <row r="49" spans="1:11" x14ac:dyDescent="0.25">
      <c r="C49" s="7"/>
      <c r="K49"/>
    </row>
    <row r="50" spans="1:11" x14ac:dyDescent="0.25">
      <c r="C50" s="7"/>
      <c r="K50"/>
    </row>
    <row r="51" spans="1:11" x14ac:dyDescent="0.25">
      <c r="C51" s="7"/>
      <c r="K51"/>
    </row>
    <row r="52" spans="1:11" x14ac:dyDescent="0.25">
      <c r="A52" s="11"/>
    </row>
    <row r="53" spans="1:11" x14ac:dyDescent="0.25">
      <c r="A53" s="17"/>
      <c r="B53" s="2"/>
      <c r="D53" s="5"/>
      <c r="E53" s="5"/>
      <c r="G53" s="5"/>
      <c r="H53" s="5"/>
    </row>
    <row r="54" spans="1:11" x14ac:dyDescent="0.25">
      <c r="A54" s="17"/>
      <c r="B54" s="2"/>
      <c r="C54" s="18"/>
      <c r="D54" s="5"/>
      <c r="E54" s="5"/>
      <c r="F54" s="18"/>
      <c r="G54" s="5"/>
      <c r="H54" s="5"/>
    </row>
    <row r="55" spans="1:11" x14ac:dyDescent="0.25">
      <c r="A55" s="11"/>
    </row>
    <row r="56" spans="1:11" x14ac:dyDescent="0.25">
      <c r="A56" s="9"/>
      <c r="B56" s="2"/>
      <c r="D56" s="5"/>
      <c r="E56" s="5"/>
      <c r="F56" s="5"/>
      <c r="G56" s="5"/>
      <c r="H56" s="5"/>
    </row>
    <row r="57" spans="1:11" x14ac:dyDescent="0.25">
      <c r="A57" s="9"/>
      <c r="B57" s="2"/>
      <c r="E57" s="5"/>
      <c r="F57" s="5"/>
      <c r="G57" s="5"/>
      <c r="H57" s="5"/>
    </row>
    <row r="58" spans="1:11" x14ac:dyDescent="0.25">
      <c r="A58" s="9"/>
      <c r="B58" s="2"/>
      <c r="E58" s="3"/>
    </row>
    <row r="59" spans="1:11" x14ac:dyDescent="0.25">
      <c r="A59" s="13"/>
      <c r="B59" s="2"/>
      <c r="E59" s="3"/>
    </row>
    <row r="60" spans="1:11" x14ac:dyDescent="0.25">
      <c r="A60" s="9"/>
      <c r="B60" s="2"/>
    </row>
    <row r="61" spans="1:11" x14ac:dyDescent="0.25">
      <c r="A61" s="9"/>
      <c r="B61" s="14"/>
      <c r="C61" s="15"/>
      <c r="D61" s="15"/>
      <c r="E61" s="16"/>
      <c r="F61" s="15"/>
    </row>
    <row r="62" spans="1:11" x14ac:dyDescent="0.25">
      <c r="A62" s="9"/>
      <c r="B62" s="2"/>
      <c r="D62" s="5"/>
      <c r="E62" s="5"/>
    </row>
    <row r="63" spans="1:11" x14ac:dyDescent="0.25">
      <c r="A63" s="11"/>
    </row>
    <row r="64" spans="1:11" x14ac:dyDescent="0.25">
      <c r="A64" s="9"/>
      <c r="B64" s="2"/>
      <c r="D64" s="5"/>
      <c r="E64" s="5"/>
      <c r="F64" s="5"/>
      <c r="G64" s="5"/>
      <c r="H64" s="5"/>
    </row>
    <row r="65" spans="1:8" x14ac:dyDescent="0.25">
      <c r="A65" s="9"/>
      <c r="B65" s="2"/>
      <c r="E65" s="5"/>
      <c r="F65" s="5"/>
      <c r="G65" s="5"/>
      <c r="H65" s="5"/>
    </row>
    <row r="66" spans="1:8" x14ac:dyDescent="0.25">
      <c r="A66" s="13"/>
      <c r="B66" s="2"/>
      <c r="E66" s="3"/>
    </row>
    <row r="67" spans="1:8" x14ac:dyDescent="0.25">
      <c r="A67" s="9"/>
      <c r="B67" s="2"/>
    </row>
    <row r="68" spans="1:8" x14ac:dyDescent="0.25">
      <c r="A68" s="9"/>
      <c r="B68" s="2"/>
      <c r="D68" s="5"/>
      <c r="E68" s="5"/>
    </row>
    <row r="69" spans="1:8" x14ac:dyDescent="0.25">
      <c r="A69" s="9"/>
      <c r="B69" s="2"/>
      <c r="C69" s="4"/>
      <c r="E69" s="3"/>
      <c r="F69" s="6"/>
    </row>
    <row r="70" spans="1:8" x14ac:dyDescent="0.25">
      <c r="A70" s="9"/>
      <c r="B70" s="2"/>
      <c r="C70" s="4"/>
      <c r="E70" s="3"/>
      <c r="F70" s="6"/>
    </row>
    <row r="71" spans="1:8" x14ac:dyDescent="0.25">
      <c r="A71" s="9"/>
      <c r="B71" s="2"/>
      <c r="C71" s="4"/>
      <c r="E71" s="3"/>
      <c r="F71" s="6"/>
    </row>
    <row r="72" spans="1:8" x14ac:dyDescent="0.25">
      <c r="A72" s="9"/>
      <c r="B72" s="2"/>
      <c r="C72" s="4"/>
      <c r="E72" s="3"/>
      <c r="F72" s="6"/>
    </row>
    <row r="73" spans="1:8" x14ac:dyDescent="0.25">
      <c r="A73" s="9"/>
      <c r="B73" s="2"/>
      <c r="C73" s="4"/>
      <c r="E73" s="3"/>
      <c r="F73" s="6"/>
    </row>
    <row r="74" spans="1:8" x14ac:dyDescent="0.25">
      <c r="A74" s="9"/>
      <c r="B74" s="2"/>
      <c r="C74" s="4"/>
      <c r="E74" s="3"/>
      <c r="F74" s="6"/>
    </row>
    <row r="75" spans="1:8" x14ac:dyDescent="0.25">
      <c r="A75" s="11"/>
    </row>
    <row r="76" spans="1:8" x14ac:dyDescent="0.25">
      <c r="A76" s="9"/>
      <c r="B76" s="2"/>
      <c r="D76" s="5"/>
      <c r="E76" s="5"/>
      <c r="G76" s="5"/>
      <c r="H76" s="5"/>
    </row>
    <row r="77" spans="1:8" x14ac:dyDescent="0.25">
      <c r="A77" s="9"/>
      <c r="B77" s="2"/>
      <c r="E77" s="3"/>
      <c r="F77" s="3"/>
    </row>
    <row r="78" spans="1:8" x14ac:dyDescent="0.25">
      <c r="A78" s="13"/>
      <c r="B78" s="2"/>
      <c r="E78" s="3"/>
      <c r="F78" s="3"/>
    </row>
    <row r="79" spans="1:8" x14ac:dyDescent="0.25">
      <c r="A79" s="9"/>
      <c r="B79" s="2"/>
      <c r="F79" s="3"/>
    </row>
    <row r="80" spans="1:8" x14ac:dyDescent="0.25">
      <c r="A80" s="9"/>
      <c r="B80" s="2"/>
      <c r="D80" s="5"/>
      <c r="E80" s="5"/>
      <c r="F80" s="3"/>
      <c r="G80" s="5"/>
      <c r="H80" s="5"/>
    </row>
    <row r="81" spans="1:10" x14ac:dyDescent="0.25">
      <c r="A81" s="11"/>
    </row>
    <row r="82" spans="1:10" x14ac:dyDescent="0.25">
      <c r="A82" s="9"/>
      <c r="B82" s="2"/>
      <c r="D82" s="12"/>
      <c r="E82" s="12"/>
      <c r="G82" s="5"/>
      <c r="H82" s="5"/>
    </row>
    <row r="83" spans="1:10" x14ac:dyDescent="0.25">
      <c r="A83" s="9"/>
      <c r="B83" s="2"/>
      <c r="E83" s="3"/>
      <c r="F83" s="3"/>
    </row>
    <row r="84" spans="1:10" x14ac:dyDescent="0.25">
      <c r="A84" s="13"/>
      <c r="B84" s="2"/>
      <c r="E84" s="3"/>
      <c r="F84" s="3"/>
    </row>
    <row r="85" spans="1:10" x14ac:dyDescent="0.25">
      <c r="A85" s="9"/>
      <c r="B85" s="2"/>
      <c r="C85" s="4"/>
      <c r="E85" s="3"/>
      <c r="F85" s="6"/>
    </row>
    <row r="86" spans="1:10" x14ac:dyDescent="0.25">
      <c r="A86" s="9"/>
      <c r="B86" s="2"/>
      <c r="D86" s="5"/>
      <c r="E86" s="5"/>
    </row>
    <row r="87" spans="1:10" x14ac:dyDescent="0.25">
      <c r="A87" s="11"/>
    </row>
    <row r="88" spans="1:10" x14ac:dyDescent="0.25">
      <c r="A88" s="9"/>
      <c r="B88" s="2"/>
      <c r="D88" s="5"/>
      <c r="E88" s="5"/>
      <c r="G88" s="5"/>
      <c r="H88" s="5"/>
    </row>
    <row r="89" spans="1:10" x14ac:dyDescent="0.25">
      <c r="A89" s="9"/>
      <c r="B89" s="2"/>
      <c r="E89" s="3"/>
      <c r="F89" s="3"/>
    </row>
    <row r="90" spans="1:10" x14ac:dyDescent="0.25">
      <c r="A90" s="13"/>
      <c r="B90" s="2"/>
      <c r="D90" s="5"/>
      <c r="E90" s="3"/>
      <c r="F90" s="3"/>
    </row>
    <row r="91" spans="1:10" x14ac:dyDescent="0.25">
      <c r="A91" s="9"/>
      <c r="B91" s="2"/>
      <c r="F91" s="3"/>
      <c r="I91" s="5"/>
      <c r="J91" s="5"/>
    </row>
    <row r="94" spans="1:10" x14ac:dyDescent="0.25">
      <c r="A94" s="11"/>
    </row>
    <row r="95" spans="1:10" x14ac:dyDescent="0.25">
      <c r="A95" s="9"/>
      <c r="B95" s="2"/>
      <c r="D95" s="5"/>
      <c r="E95" s="5"/>
      <c r="F95" s="5"/>
      <c r="G95" s="5"/>
      <c r="H95" s="5"/>
    </row>
    <row r="96" spans="1:10" x14ac:dyDescent="0.25">
      <c r="A96" s="9"/>
      <c r="B96" s="2"/>
      <c r="E96" s="5"/>
      <c r="F96" s="5"/>
      <c r="G96" s="5"/>
      <c r="H96" s="5"/>
    </row>
    <row r="97" spans="1:10" x14ac:dyDescent="0.25">
      <c r="A97" s="13"/>
      <c r="B97" s="2"/>
      <c r="E97" s="3"/>
    </row>
    <row r="98" spans="1:10" x14ac:dyDescent="0.25">
      <c r="A98" s="9"/>
      <c r="B98" s="2"/>
    </row>
    <row r="99" spans="1:10" x14ac:dyDescent="0.25">
      <c r="A99" s="9"/>
      <c r="B99" s="2"/>
      <c r="D99" s="5"/>
      <c r="E99" s="5"/>
    </row>
    <row r="100" spans="1:10" x14ac:dyDescent="0.25">
      <c r="A100" s="9"/>
      <c r="B100" s="2"/>
      <c r="C100" s="4"/>
      <c r="E100" s="3"/>
      <c r="F100" s="6"/>
    </row>
    <row r="101" spans="1:10" x14ac:dyDescent="0.25">
      <c r="A101" s="11"/>
    </row>
    <row r="102" spans="1:10" x14ac:dyDescent="0.25">
      <c r="A102" s="9"/>
      <c r="B102" s="2"/>
      <c r="D102" s="5"/>
      <c r="E102" s="5"/>
      <c r="G102" s="5"/>
      <c r="H102" s="5"/>
    </row>
    <row r="103" spans="1:10" x14ac:dyDescent="0.25">
      <c r="A103" s="9"/>
      <c r="B103" s="2"/>
      <c r="E103" s="3"/>
      <c r="F103" s="3"/>
    </row>
    <row r="104" spans="1:10" x14ac:dyDescent="0.25">
      <c r="A104" s="9"/>
      <c r="B104" s="2"/>
      <c r="E104" s="3"/>
      <c r="F104" s="3"/>
    </row>
    <row r="105" spans="1:10" x14ac:dyDescent="0.25">
      <c r="A105" s="9"/>
      <c r="B105" s="2"/>
      <c r="E105" s="3"/>
      <c r="I105" s="5"/>
      <c r="J105" s="5"/>
    </row>
    <row r="106" spans="1:10" x14ac:dyDescent="0.25">
      <c r="A106" s="13"/>
      <c r="B106" s="2"/>
    </row>
    <row r="108" spans="1:10" x14ac:dyDescent="0.25">
      <c r="A108" s="11"/>
    </row>
    <row r="109" spans="1:10" x14ac:dyDescent="0.25">
      <c r="A109" s="9"/>
      <c r="B109" s="2"/>
      <c r="D109" s="5"/>
      <c r="E109" s="5"/>
      <c r="G109" s="5"/>
      <c r="H109" s="5"/>
    </row>
    <row r="110" spans="1:10" x14ac:dyDescent="0.25">
      <c r="A110" s="9"/>
      <c r="B110" s="2"/>
      <c r="E110" s="3"/>
      <c r="F110" s="3"/>
    </row>
    <row r="111" spans="1:10" x14ac:dyDescent="0.25">
      <c r="A111" s="13"/>
      <c r="B111" s="2"/>
      <c r="E111" s="3"/>
      <c r="F111" s="3"/>
    </row>
    <row r="112" spans="1:10" x14ac:dyDescent="0.25">
      <c r="A112" s="9"/>
      <c r="B112" s="2"/>
      <c r="D112" s="5"/>
      <c r="E112" s="5"/>
    </row>
    <row r="113" spans="1:10" x14ac:dyDescent="0.25">
      <c r="A113" s="9"/>
      <c r="B113" s="2"/>
      <c r="D113" s="5"/>
      <c r="E113" s="5"/>
    </row>
    <row r="114" spans="1:10" x14ac:dyDescent="0.25">
      <c r="A114" s="11"/>
    </row>
    <row r="115" spans="1:10" x14ac:dyDescent="0.25">
      <c r="A115" s="9"/>
      <c r="B115" s="2"/>
      <c r="D115" s="5"/>
      <c r="E115" s="5"/>
      <c r="G115" s="5"/>
      <c r="H115" s="5"/>
    </row>
    <row r="116" spans="1:10" x14ac:dyDescent="0.25">
      <c r="A116" s="9"/>
      <c r="B116" s="2"/>
      <c r="E116" s="3"/>
      <c r="F116" s="3"/>
    </row>
    <row r="117" spans="1:10" x14ac:dyDescent="0.25">
      <c r="A117" s="13"/>
      <c r="B117" s="2"/>
      <c r="E117" s="3"/>
      <c r="F117" s="3"/>
    </row>
    <row r="118" spans="1:10" x14ac:dyDescent="0.25">
      <c r="A118" s="9"/>
      <c r="B118" s="2"/>
      <c r="F118" s="3"/>
      <c r="I118" s="5"/>
      <c r="J118" s="5"/>
    </row>
    <row r="121" spans="1:10" x14ac:dyDescent="0.25">
      <c r="A121" s="9"/>
      <c r="B121" s="2"/>
      <c r="C121" s="4"/>
      <c r="E121" s="3"/>
      <c r="F121" s="6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22"/>
  <sheetViews>
    <sheetView workbookViewId="0">
      <pane xSplit="1" topLeftCell="B1" activePane="topRight" state="frozen"/>
      <selection activeCell="A10" sqref="A10"/>
      <selection pane="topRight" activeCell="G2" sqref="G2"/>
    </sheetView>
  </sheetViews>
  <sheetFormatPr defaultRowHeight="15" x14ac:dyDescent="0.25"/>
  <cols>
    <col min="1" max="1" width="16.42578125" customWidth="1"/>
    <col min="2" max="2" width="12" customWidth="1"/>
    <col min="4" max="4" width="12.42578125" bestFit="1" customWidth="1"/>
    <col min="5" max="5" width="10.140625" customWidth="1"/>
    <col min="6" max="6" width="15.28515625" bestFit="1" customWidth="1"/>
    <col min="7" max="7" width="9.42578125" bestFit="1" customWidth="1"/>
    <col min="8" max="8" width="11.5703125" customWidth="1"/>
    <col min="11" max="11" width="9.5703125" bestFit="1" customWidth="1"/>
    <col min="12" max="12" width="9.5703125" customWidth="1"/>
    <col min="13" max="13" width="9.140625" style="7"/>
  </cols>
  <sheetData>
    <row r="1" spans="1:13" x14ac:dyDescent="0.25">
      <c r="A1" t="s">
        <v>1</v>
      </c>
      <c r="G1" t="s">
        <v>48</v>
      </c>
    </row>
    <row r="2" spans="1:13" x14ac:dyDescent="0.25">
      <c r="A2" t="s">
        <v>37</v>
      </c>
      <c r="B2" s="10" t="s">
        <v>14</v>
      </c>
      <c r="E2" t="s">
        <v>20</v>
      </c>
    </row>
    <row r="3" spans="1:13" x14ac:dyDescent="0.25">
      <c r="A3" t="s">
        <v>7</v>
      </c>
      <c r="E3" t="s">
        <v>21</v>
      </c>
    </row>
    <row r="4" spans="1:13" x14ac:dyDescent="0.25">
      <c r="D4" t="s">
        <v>43</v>
      </c>
      <c r="E4" s="8"/>
    </row>
    <row r="5" spans="1:13" x14ac:dyDescent="0.25">
      <c r="A5" s="1" t="s">
        <v>22</v>
      </c>
    </row>
    <row r="7" spans="1:13" x14ac:dyDescent="0.25">
      <c r="A7" s="29" t="s">
        <v>19</v>
      </c>
      <c r="B7" s="29" t="s">
        <v>3</v>
      </c>
      <c r="C7" s="29" t="s">
        <v>45</v>
      </c>
      <c r="D7" s="29" t="s">
        <v>5</v>
      </c>
      <c r="E7" s="29" t="s">
        <v>0</v>
      </c>
      <c r="F7" s="37" t="s">
        <v>36</v>
      </c>
      <c r="G7" s="29" t="s">
        <v>5</v>
      </c>
      <c r="H7" s="28" t="s">
        <v>0</v>
      </c>
      <c r="K7" s="7"/>
      <c r="M7"/>
    </row>
    <row r="8" spans="1:13" x14ac:dyDescent="0.25">
      <c r="A8" s="31" t="s">
        <v>9</v>
      </c>
      <c r="B8" s="21">
        <v>45449</v>
      </c>
      <c r="C8" s="20">
        <v>2.9590000000000001</v>
      </c>
      <c r="D8" s="38">
        <f>AVERAGE(C8:C15)</f>
        <v>2.5009999999999999</v>
      </c>
      <c r="E8" s="27">
        <f>STDEV(C8:C15)/SQRT((C8:C15))</f>
        <v>0.28401877872187786</v>
      </c>
      <c r="F8" s="39">
        <f>100-1.611</f>
        <v>98.388999999999996</v>
      </c>
      <c r="G8" s="38">
        <f>AVERAGE(F8:F14)</f>
        <v>98.003999999999991</v>
      </c>
      <c r="H8" s="38">
        <f>STDEV(F8:F14)/SQRT(COUNT(F8:F14))</f>
        <v>0.29953436085586821</v>
      </c>
      <c r="I8" s="5"/>
      <c r="J8" s="5"/>
      <c r="K8" s="7"/>
      <c r="M8"/>
    </row>
    <row r="9" spans="1:13" x14ac:dyDescent="0.25">
      <c r="A9" s="31" t="s">
        <v>9</v>
      </c>
      <c r="B9" s="21">
        <v>45449</v>
      </c>
      <c r="C9" s="22">
        <v>2.8010000000000002</v>
      </c>
      <c r="D9" s="22"/>
      <c r="E9" s="24"/>
      <c r="F9" s="25">
        <f>100-2.801</f>
        <v>97.198999999999998</v>
      </c>
      <c r="G9" s="25"/>
      <c r="H9" s="25"/>
      <c r="K9" s="7"/>
      <c r="M9"/>
    </row>
    <row r="10" spans="1:13" x14ac:dyDescent="0.25">
      <c r="A10" s="31" t="s">
        <v>9</v>
      </c>
      <c r="B10" s="21">
        <v>45457</v>
      </c>
      <c r="C10" s="22">
        <v>1.8680000000000001</v>
      </c>
      <c r="D10" s="22"/>
      <c r="E10" s="24"/>
      <c r="F10" s="25">
        <f>100-1.476</f>
        <v>98.524000000000001</v>
      </c>
      <c r="G10" s="25"/>
      <c r="H10" s="25"/>
      <c r="K10" s="7"/>
      <c r="M10"/>
    </row>
    <row r="11" spans="1:13" x14ac:dyDescent="0.25">
      <c r="A11" s="31" t="s">
        <v>9</v>
      </c>
      <c r="B11" s="21">
        <v>45457</v>
      </c>
      <c r="C11" s="22">
        <v>2.3759999999999999</v>
      </c>
      <c r="D11" s="22"/>
      <c r="E11" s="24"/>
      <c r="F11" s="25">
        <f>100-2.096</f>
        <v>97.903999999999996</v>
      </c>
      <c r="G11" s="25"/>
      <c r="H11" s="25"/>
      <c r="K11" s="7"/>
      <c r="M11"/>
    </row>
    <row r="12" spans="1:13" x14ac:dyDescent="0.25">
      <c r="A12" s="31" t="s">
        <v>47</v>
      </c>
      <c r="B12" s="21"/>
      <c r="C12" s="22"/>
      <c r="D12" s="22"/>
      <c r="E12" s="24"/>
      <c r="F12" s="25"/>
      <c r="G12" s="25"/>
      <c r="H12" s="25"/>
      <c r="K12" s="7"/>
      <c r="M12"/>
    </row>
    <row r="13" spans="1:13" x14ac:dyDescent="0.25">
      <c r="A13" s="31"/>
      <c r="B13" s="21"/>
      <c r="C13" s="22"/>
      <c r="D13" s="22"/>
      <c r="E13" s="24"/>
      <c r="F13" s="25"/>
      <c r="G13" s="25"/>
      <c r="H13" s="25"/>
      <c r="K13" s="7"/>
      <c r="M13"/>
    </row>
    <row r="14" spans="1:13" x14ac:dyDescent="0.25">
      <c r="A14" s="31"/>
      <c r="B14" s="2"/>
      <c r="E14" s="5"/>
      <c r="F14" s="3"/>
      <c r="G14" s="3"/>
      <c r="H14" s="3"/>
      <c r="K14" s="7"/>
      <c r="M14"/>
    </row>
    <row r="15" spans="1:13" x14ac:dyDescent="0.25">
      <c r="A15" s="9"/>
      <c r="B15" s="2"/>
      <c r="E15" s="34">
        <f>E8/D8</f>
        <v>0.11356208665408951</v>
      </c>
      <c r="F15" s="3"/>
      <c r="G15" s="3"/>
      <c r="H15" s="3"/>
      <c r="I15" s="5"/>
      <c r="J15" s="5"/>
      <c r="K15" s="7"/>
      <c r="M15"/>
    </row>
    <row r="16" spans="1:13" x14ac:dyDescent="0.25">
      <c r="A16" s="1"/>
      <c r="B16" s="2"/>
      <c r="C16" s="4"/>
      <c r="F16" s="6"/>
      <c r="G16" s="3"/>
      <c r="H16" s="3"/>
      <c r="I16" s="5"/>
      <c r="J16" s="5"/>
      <c r="K16" s="18" t="s">
        <v>13</v>
      </c>
      <c r="M16"/>
    </row>
    <row r="17" spans="1:13" x14ac:dyDescent="0.25">
      <c r="A17" s="32">
        <v>34488</v>
      </c>
      <c r="B17" s="29" t="s">
        <v>3</v>
      </c>
      <c r="C17" s="29" t="s">
        <v>4</v>
      </c>
      <c r="D17" s="29" t="s">
        <v>5</v>
      </c>
      <c r="E17" s="29" t="s">
        <v>0</v>
      </c>
      <c r="F17" s="29" t="s">
        <v>23</v>
      </c>
      <c r="G17" s="29" t="s">
        <v>11</v>
      </c>
      <c r="H17" s="29" t="s">
        <v>12</v>
      </c>
      <c r="K17" s="7"/>
      <c r="M17"/>
    </row>
    <row r="18" spans="1:13" x14ac:dyDescent="0.25">
      <c r="A18" s="31" t="s">
        <v>9</v>
      </c>
      <c r="B18" s="21">
        <v>45449</v>
      </c>
      <c r="C18" s="20">
        <v>2304</v>
      </c>
      <c r="D18" s="27">
        <f>AVERAGE(C18:C26)</f>
        <v>2729</v>
      </c>
      <c r="E18" s="27">
        <f>STDEV(C18:C26)/SQRT(COUNT(C18:C26))</f>
        <v>197.52240379258245</v>
      </c>
      <c r="F18" s="26">
        <v>30</v>
      </c>
      <c r="G18" s="38">
        <f>AVERAGE(F18:F23)</f>
        <v>31</v>
      </c>
      <c r="H18" s="5">
        <f>STDEV(F19:F24)/SQRT(COUNT(F19:F24))</f>
        <v>1.25</v>
      </c>
      <c r="I18" t="s">
        <v>39</v>
      </c>
      <c r="K18" s="7"/>
      <c r="M18"/>
    </row>
    <row r="19" spans="1:13" x14ac:dyDescent="0.25">
      <c r="A19" s="31" t="s">
        <v>42</v>
      </c>
      <c r="B19" s="21">
        <v>45457</v>
      </c>
      <c r="C19" s="20">
        <v>3044</v>
      </c>
      <c r="D19" s="27"/>
      <c r="E19" s="27"/>
      <c r="F19" s="26">
        <v>30</v>
      </c>
      <c r="G19" s="26"/>
      <c r="H19" s="26"/>
      <c r="I19" t="s">
        <v>39</v>
      </c>
      <c r="K19" s="7"/>
      <c r="M19"/>
    </row>
    <row r="20" spans="1:13" x14ac:dyDescent="0.25">
      <c r="A20" s="31" t="s">
        <v>42</v>
      </c>
      <c r="B20" s="21">
        <v>45457</v>
      </c>
      <c r="C20" s="20">
        <v>2585</v>
      </c>
      <c r="D20" s="27"/>
      <c r="E20" s="27"/>
      <c r="F20" s="26">
        <v>30</v>
      </c>
      <c r="G20" s="26"/>
      <c r="H20" s="26"/>
      <c r="I20" t="s">
        <v>39</v>
      </c>
      <c r="K20" s="7"/>
      <c r="M20"/>
    </row>
    <row r="21" spans="1:13" x14ac:dyDescent="0.25">
      <c r="A21" s="31" t="s">
        <v>42</v>
      </c>
      <c r="B21" s="21">
        <v>45457</v>
      </c>
      <c r="C21" s="20">
        <v>2383</v>
      </c>
      <c r="D21" s="27"/>
      <c r="E21" s="27"/>
      <c r="F21" s="26">
        <v>35</v>
      </c>
      <c r="G21" s="26"/>
      <c r="H21" s="26"/>
      <c r="I21" t="s">
        <v>44</v>
      </c>
      <c r="K21" s="7"/>
      <c r="M21"/>
    </row>
    <row r="22" spans="1:13" x14ac:dyDescent="0.25">
      <c r="A22" s="31" t="s">
        <v>42</v>
      </c>
      <c r="B22" s="21">
        <v>45457</v>
      </c>
      <c r="C22" s="20">
        <v>3329</v>
      </c>
      <c r="D22" s="20"/>
      <c r="E22" s="27"/>
      <c r="F22" s="26">
        <v>30</v>
      </c>
      <c r="G22" s="26"/>
      <c r="H22" s="26"/>
      <c r="I22" t="s">
        <v>39</v>
      </c>
      <c r="J22" s="5"/>
      <c r="K22" s="7"/>
      <c r="M22"/>
    </row>
    <row r="23" spans="1:13" x14ac:dyDescent="0.25">
      <c r="A23" s="31" t="s">
        <v>46</v>
      </c>
      <c r="B23" s="21"/>
      <c r="C23" s="20"/>
      <c r="D23" s="20"/>
      <c r="E23" s="27"/>
      <c r="F23" s="26"/>
      <c r="G23" s="26"/>
      <c r="H23" s="26"/>
      <c r="I23" s="5"/>
      <c r="J23" s="5"/>
      <c r="K23" s="7"/>
      <c r="M23"/>
    </row>
    <row r="24" spans="1:13" x14ac:dyDescent="0.25">
      <c r="A24" s="31"/>
      <c r="B24" s="21"/>
      <c r="C24" s="20"/>
      <c r="E24" s="5"/>
      <c r="F24" s="5"/>
      <c r="G24" s="3"/>
      <c r="H24" s="3"/>
      <c r="I24" s="5"/>
      <c r="J24" s="5"/>
      <c r="K24" s="7"/>
      <c r="M24"/>
    </row>
    <row r="25" spans="1:13" x14ac:dyDescent="0.25">
      <c r="A25" s="13"/>
      <c r="B25" s="2"/>
      <c r="E25" s="34">
        <f>E18/D18</f>
        <v>7.2379041331103872E-2</v>
      </c>
      <c r="F25" s="3"/>
      <c r="G25" s="3"/>
      <c r="H25" s="3"/>
      <c r="K25" s="7"/>
      <c r="M25"/>
    </row>
    <row r="26" spans="1:13" x14ac:dyDescent="0.25">
      <c r="A26" s="9"/>
      <c r="B26" s="2"/>
      <c r="C26" s="4"/>
      <c r="E26" s="3"/>
      <c r="F26" s="6"/>
      <c r="G26" s="3"/>
      <c r="H26" s="3"/>
    </row>
    <row r="27" spans="1:13" x14ac:dyDescent="0.25">
      <c r="A27" s="11"/>
    </row>
    <row r="28" spans="1:13" x14ac:dyDescent="0.25">
      <c r="A28" s="17"/>
      <c r="B28" s="2"/>
      <c r="D28" s="5"/>
      <c r="E28" s="5"/>
      <c r="G28" s="3"/>
      <c r="H28" s="3"/>
      <c r="I28" s="5"/>
      <c r="J28" s="5"/>
    </row>
    <row r="29" spans="1:13" x14ac:dyDescent="0.25">
      <c r="A29" s="17"/>
      <c r="B29" s="2"/>
      <c r="C29" s="18"/>
      <c r="D29" s="5"/>
      <c r="E29" s="5"/>
      <c r="F29" s="18"/>
      <c r="G29" s="3"/>
      <c r="H29" s="3"/>
      <c r="I29" s="5"/>
      <c r="J29" s="5"/>
    </row>
    <row r="30" spans="1:13" x14ac:dyDescent="0.25">
      <c r="A30" s="17"/>
      <c r="B30" s="2"/>
      <c r="D30" s="5"/>
      <c r="E30" s="5"/>
      <c r="G30" s="3"/>
      <c r="H30" s="3"/>
      <c r="I30" s="5"/>
      <c r="J30" s="5"/>
    </row>
    <row r="31" spans="1:13" x14ac:dyDescent="0.25">
      <c r="A31" s="17"/>
      <c r="B31" s="2"/>
      <c r="D31" s="5"/>
      <c r="E31" s="5"/>
      <c r="G31" s="3"/>
      <c r="H31" s="3"/>
      <c r="I31" s="5"/>
      <c r="J31" s="5"/>
    </row>
    <row r="32" spans="1:13" x14ac:dyDescent="0.25">
      <c r="A32" s="9"/>
      <c r="B32" s="2"/>
      <c r="E32" s="3"/>
      <c r="F32" s="3"/>
      <c r="G32" s="3"/>
      <c r="H32" s="3"/>
    </row>
    <row r="33" spans="1:14" x14ac:dyDescent="0.25">
      <c r="A33" s="13"/>
      <c r="B33" s="2"/>
      <c r="E33" s="3"/>
      <c r="F33" s="3"/>
      <c r="G33" s="3"/>
      <c r="H33" s="3"/>
    </row>
    <row r="34" spans="1:14" s="7" customFormat="1" x14ac:dyDescent="0.25">
      <c r="A34" s="9"/>
      <c r="B34" s="2"/>
      <c r="C34"/>
      <c r="D34"/>
      <c r="E34" s="3"/>
      <c r="F34"/>
      <c r="G34" s="3"/>
      <c r="H34" s="3"/>
      <c r="I34"/>
      <c r="J34"/>
      <c r="K34"/>
      <c r="L34"/>
      <c r="N34"/>
    </row>
    <row r="35" spans="1:14" s="7" customFormat="1" x14ac:dyDescent="0.25">
      <c r="A35" s="9"/>
      <c r="B35" s="2"/>
      <c r="C35"/>
      <c r="D35"/>
      <c r="E35" s="3"/>
      <c r="F35"/>
      <c r="G35" s="3"/>
      <c r="H35" s="3"/>
      <c r="I35"/>
      <c r="J35"/>
      <c r="K35"/>
      <c r="L35"/>
      <c r="N35"/>
    </row>
    <row r="36" spans="1:14" s="7" customFormat="1" x14ac:dyDescent="0.25">
      <c r="A36"/>
      <c r="B36" s="2"/>
      <c r="C36"/>
      <c r="D36"/>
      <c r="E36"/>
      <c r="F36"/>
      <c r="G36" s="3"/>
      <c r="H36" s="3"/>
      <c r="I36"/>
      <c r="J36"/>
      <c r="K36"/>
      <c r="L36"/>
      <c r="N36"/>
    </row>
    <row r="38" spans="1:14" s="7" customFormat="1" x14ac:dyDescent="0.25">
      <c r="A38" s="11"/>
      <c r="B38"/>
      <c r="C38"/>
      <c r="D38"/>
      <c r="E38"/>
      <c r="F38"/>
      <c r="G38"/>
      <c r="H38"/>
      <c r="I38"/>
      <c r="J38"/>
      <c r="K38"/>
      <c r="L38"/>
      <c r="N38"/>
    </row>
    <row r="39" spans="1:14" s="7" customFormat="1" x14ac:dyDescent="0.25">
      <c r="A39" s="9"/>
      <c r="B39" s="2"/>
      <c r="C39"/>
      <c r="D39" s="5"/>
      <c r="E39" s="5"/>
      <c r="F39"/>
      <c r="G39" s="3"/>
      <c r="H39" s="3"/>
      <c r="I39" s="5"/>
      <c r="J39" s="5"/>
      <c r="K39"/>
      <c r="L39"/>
      <c r="N39"/>
    </row>
    <row r="40" spans="1:14" s="7" customFormat="1" x14ac:dyDescent="0.25">
      <c r="A40" s="9"/>
      <c r="B40" s="2"/>
      <c r="C40"/>
      <c r="D40"/>
      <c r="E40" s="3"/>
      <c r="F40" s="3"/>
      <c r="G40" s="3"/>
      <c r="H40" s="3"/>
      <c r="I40"/>
      <c r="J40"/>
      <c r="K40"/>
      <c r="L40"/>
      <c r="N40"/>
    </row>
    <row r="41" spans="1:14" s="7" customFormat="1" x14ac:dyDescent="0.25">
      <c r="A41" s="13"/>
      <c r="B41" s="2"/>
      <c r="C41"/>
      <c r="D41"/>
      <c r="E41" s="3"/>
      <c r="F41" s="3"/>
      <c r="G41" s="3"/>
      <c r="H41" s="3"/>
      <c r="I41"/>
      <c r="J41"/>
      <c r="K41"/>
      <c r="L41"/>
      <c r="N41"/>
    </row>
    <row r="42" spans="1:14" s="7" customFormat="1" x14ac:dyDescent="0.25">
      <c r="A42" s="9"/>
      <c r="B42" s="2"/>
      <c r="C42" s="4"/>
      <c r="D42"/>
      <c r="E42" s="3"/>
      <c r="F42" s="6"/>
      <c r="G42" s="3"/>
      <c r="H42" s="3"/>
      <c r="I42"/>
      <c r="J42"/>
      <c r="K42" s="5"/>
      <c r="L42" s="5"/>
      <c r="N42"/>
    </row>
    <row r="43" spans="1:14" s="7" customFormat="1" x14ac:dyDescent="0.25">
      <c r="A43" s="9"/>
      <c r="B43" s="2"/>
      <c r="C43" s="4"/>
      <c r="D43"/>
      <c r="E43" s="3"/>
      <c r="F43" s="6"/>
      <c r="G43" s="3"/>
      <c r="H43" s="3"/>
      <c r="I43"/>
      <c r="J43"/>
      <c r="K43" s="5"/>
      <c r="L43" s="5"/>
      <c r="N43"/>
    </row>
    <row r="44" spans="1:14" s="7" customFormat="1" x14ac:dyDescent="0.25">
      <c r="A44" s="9"/>
      <c r="B44" s="2"/>
      <c r="C44" s="4"/>
      <c r="D44"/>
      <c r="E44" s="3"/>
      <c r="F44" s="6"/>
      <c r="G44" s="3"/>
      <c r="H44" s="3"/>
      <c r="I44"/>
      <c r="J44"/>
      <c r="K44" s="5"/>
      <c r="L44" s="5"/>
      <c r="N44"/>
    </row>
    <row r="45" spans="1:14" s="7" customFormat="1" x14ac:dyDescent="0.25">
      <c r="A45" s="9"/>
      <c r="B45" s="2"/>
      <c r="C45" s="4"/>
      <c r="D45"/>
      <c r="E45" s="3"/>
      <c r="F45" s="6"/>
      <c r="G45" s="3"/>
      <c r="H45" s="3"/>
      <c r="I45"/>
      <c r="J45"/>
      <c r="K45" s="5"/>
      <c r="L45" s="5"/>
      <c r="N45"/>
    </row>
    <row r="46" spans="1:14" s="7" customFormat="1" x14ac:dyDescent="0.25">
      <c r="A46" s="9"/>
      <c r="B46" s="2"/>
      <c r="C46" s="4"/>
      <c r="D46"/>
      <c r="E46" s="3"/>
      <c r="F46" s="6"/>
      <c r="G46" s="3"/>
      <c r="H46" s="3"/>
      <c r="I46"/>
      <c r="J46"/>
      <c r="K46" s="5"/>
      <c r="L46" s="5"/>
      <c r="N46"/>
    </row>
    <row r="47" spans="1:14" s="7" customFormat="1" x14ac:dyDescent="0.25">
      <c r="A47" s="9"/>
      <c r="B47" s="2"/>
      <c r="C47" s="4"/>
      <c r="D47"/>
      <c r="E47" s="3"/>
      <c r="F47" s="6"/>
      <c r="G47" s="3"/>
      <c r="H47" s="3"/>
      <c r="I47"/>
      <c r="J47"/>
      <c r="K47" s="5"/>
      <c r="L47" s="5"/>
      <c r="N47"/>
    </row>
    <row r="48" spans="1:14" s="7" customFormat="1" x14ac:dyDescent="0.25">
      <c r="A48" s="9"/>
      <c r="B48" s="2"/>
      <c r="C48" s="4"/>
      <c r="D48"/>
      <c r="E48" s="3"/>
      <c r="F48" s="6"/>
      <c r="G48" s="3"/>
      <c r="H48" s="3"/>
      <c r="I48"/>
      <c r="J48"/>
      <c r="K48"/>
      <c r="L48"/>
      <c r="N48"/>
    </row>
    <row r="49" spans="1:14" s="7" customFormat="1" x14ac:dyDescent="0.25">
      <c r="A49"/>
      <c r="B49"/>
      <c r="C49"/>
      <c r="D49"/>
      <c r="E49"/>
      <c r="F49"/>
      <c r="G49"/>
      <c r="H49"/>
      <c r="I49"/>
      <c r="J49"/>
      <c r="K49"/>
      <c r="L49"/>
      <c r="N49"/>
    </row>
    <row r="50" spans="1:14" x14ac:dyDescent="0.25">
      <c r="A50" s="11"/>
    </row>
    <row r="51" spans="1:14" x14ac:dyDescent="0.25">
      <c r="A51" s="9"/>
      <c r="B51" s="2"/>
      <c r="D51" s="5"/>
      <c r="E51" s="5"/>
      <c r="G51" s="3"/>
      <c r="H51" s="3"/>
      <c r="I51" s="5"/>
      <c r="J51" s="5"/>
    </row>
    <row r="52" spans="1:14" x14ac:dyDescent="0.25">
      <c r="A52" s="9"/>
      <c r="B52" s="2"/>
      <c r="E52" s="3"/>
      <c r="F52" s="3"/>
      <c r="G52" s="3"/>
      <c r="H52" s="3"/>
    </row>
    <row r="53" spans="1:14" x14ac:dyDescent="0.25">
      <c r="A53" s="9"/>
      <c r="B53" s="2"/>
      <c r="E53" s="3"/>
      <c r="F53" s="3"/>
      <c r="G53" s="3"/>
      <c r="H53" s="3"/>
    </row>
    <row r="54" spans="1:14" x14ac:dyDescent="0.25">
      <c r="A54" s="9"/>
      <c r="B54" s="2"/>
      <c r="D54" s="5"/>
      <c r="E54" s="5"/>
      <c r="G54" s="3"/>
      <c r="H54" s="3"/>
    </row>
    <row r="55" spans="1:14" x14ac:dyDescent="0.25">
      <c r="A55" s="9"/>
      <c r="B55" s="2"/>
      <c r="D55" s="5"/>
      <c r="E55" s="5"/>
      <c r="G55" s="3"/>
      <c r="H55" s="3"/>
    </row>
    <row r="56" spans="1:14" x14ac:dyDescent="0.25">
      <c r="A56" s="11"/>
    </row>
    <row r="57" spans="1:14" x14ac:dyDescent="0.25">
      <c r="A57" s="9"/>
      <c r="B57" s="2"/>
      <c r="D57" s="5"/>
      <c r="E57" s="5"/>
      <c r="F57" s="5"/>
      <c r="G57" s="3"/>
      <c r="H57" s="3"/>
      <c r="I57" s="5"/>
      <c r="J57" s="5"/>
    </row>
    <row r="58" spans="1:14" x14ac:dyDescent="0.25">
      <c r="A58" s="9"/>
      <c r="B58" s="2"/>
      <c r="E58" s="5"/>
      <c r="F58" s="5"/>
      <c r="G58" s="3"/>
      <c r="H58" s="3"/>
      <c r="I58" s="5"/>
      <c r="J58" s="5"/>
    </row>
    <row r="59" spans="1:14" x14ac:dyDescent="0.25">
      <c r="A59" s="9"/>
      <c r="B59" s="2"/>
      <c r="E59" s="3"/>
      <c r="G59" s="3"/>
      <c r="H59" s="3"/>
    </row>
    <row r="60" spans="1:14" x14ac:dyDescent="0.25">
      <c r="A60" s="13"/>
      <c r="B60" s="2"/>
      <c r="E60" s="3"/>
      <c r="G60" s="3"/>
      <c r="H60" s="3"/>
    </row>
    <row r="61" spans="1:14" x14ac:dyDescent="0.25">
      <c r="A61" s="9"/>
      <c r="B61" s="2"/>
      <c r="G61" s="3"/>
      <c r="H61" s="3"/>
    </row>
    <row r="62" spans="1:14" x14ac:dyDescent="0.25">
      <c r="A62" s="9"/>
      <c r="B62" s="14"/>
      <c r="C62" s="15"/>
      <c r="D62" s="15"/>
      <c r="E62" s="16"/>
      <c r="F62" s="15"/>
      <c r="G62" s="16"/>
      <c r="H62" s="16"/>
    </row>
    <row r="63" spans="1:14" x14ac:dyDescent="0.25">
      <c r="A63" s="9"/>
      <c r="B63" s="2"/>
      <c r="D63" s="5"/>
      <c r="E63" s="5"/>
      <c r="G63" s="3"/>
      <c r="H63" s="3"/>
    </row>
    <row r="64" spans="1:14" x14ac:dyDescent="0.25">
      <c r="A64" s="11"/>
    </row>
    <row r="65" spans="1:14" x14ac:dyDescent="0.25">
      <c r="A65" s="9"/>
      <c r="B65" s="2"/>
      <c r="D65" s="5"/>
      <c r="E65" s="5"/>
      <c r="F65" s="5"/>
      <c r="G65" s="3"/>
      <c r="H65" s="3"/>
      <c r="I65" s="5"/>
      <c r="J65" s="5"/>
    </row>
    <row r="66" spans="1:14" s="7" customFormat="1" x14ac:dyDescent="0.25">
      <c r="A66" s="9"/>
      <c r="B66" s="2"/>
      <c r="C66"/>
      <c r="D66"/>
      <c r="E66" s="5"/>
      <c r="F66" s="5"/>
      <c r="G66" s="3"/>
      <c r="H66" s="3"/>
      <c r="I66" s="5"/>
      <c r="J66" s="5"/>
      <c r="K66"/>
      <c r="L66"/>
      <c r="N66"/>
    </row>
    <row r="67" spans="1:14" s="7" customFormat="1" x14ac:dyDescent="0.25">
      <c r="A67" s="13"/>
      <c r="B67" s="2"/>
      <c r="C67"/>
      <c r="D67"/>
      <c r="E67" s="3"/>
      <c r="F67"/>
      <c r="G67" s="3"/>
      <c r="H67" s="3"/>
      <c r="I67"/>
      <c r="J67"/>
      <c r="K67"/>
      <c r="L67"/>
      <c r="N67"/>
    </row>
    <row r="68" spans="1:14" s="7" customFormat="1" x14ac:dyDescent="0.25">
      <c r="A68" s="9"/>
      <c r="B68" s="2"/>
      <c r="C68"/>
      <c r="D68"/>
      <c r="E68"/>
      <c r="F68"/>
      <c r="G68" s="3"/>
      <c r="H68" s="3"/>
      <c r="I68"/>
      <c r="J68"/>
      <c r="K68"/>
      <c r="L68"/>
      <c r="N68"/>
    </row>
    <row r="69" spans="1:14" s="7" customFormat="1" x14ac:dyDescent="0.25">
      <c r="A69" s="9"/>
      <c r="B69" s="2"/>
      <c r="C69"/>
      <c r="D69" s="5"/>
      <c r="E69" s="5"/>
      <c r="F69"/>
      <c r="G69" s="3"/>
      <c r="H69" s="3"/>
      <c r="I69"/>
      <c r="J69"/>
      <c r="K69"/>
      <c r="L69"/>
      <c r="N69"/>
    </row>
    <row r="70" spans="1:14" s="7" customFormat="1" x14ac:dyDescent="0.25">
      <c r="A70" s="9"/>
      <c r="B70" s="2"/>
      <c r="C70" s="4"/>
      <c r="D70"/>
      <c r="E70" s="3"/>
      <c r="F70" s="6"/>
      <c r="G70" s="3"/>
      <c r="H70" s="3"/>
      <c r="I70"/>
      <c r="J70"/>
      <c r="K70"/>
      <c r="L70"/>
      <c r="N70"/>
    </row>
    <row r="71" spans="1:14" s="7" customFormat="1" x14ac:dyDescent="0.25">
      <c r="A71" s="9"/>
      <c r="B71" s="2"/>
      <c r="C71" s="4"/>
      <c r="D71"/>
      <c r="E71" s="3"/>
      <c r="F71" s="6"/>
      <c r="G71" s="3"/>
      <c r="H71" s="3"/>
      <c r="I71"/>
      <c r="J71"/>
      <c r="K71"/>
      <c r="L71"/>
      <c r="N71"/>
    </row>
    <row r="72" spans="1:14" s="7" customFormat="1" x14ac:dyDescent="0.25">
      <c r="A72" s="9"/>
      <c r="B72" s="2"/>
      <c r="C72" s="4"/>
      <c r="D72"/>
      <c r="E72" s="3"/>
      <c r="F72" s="6"/>
      <c r="G72" s="3"/>
      <c r="H72" s="3"/>
      <c r="I72"/>
      <c r="J72"/>
      <c r="K72"/>
      <c r="L72"/>
      <c r="N72"/>
    </row>
    <row r="73" spans="1:14" s="7" customFormat="1" x14ac:dyDescent="0.25">
      <c r="A73" s="9"/>
      <c r="B73" s="2"/>
      <c r="C73" s="4"/>
      <c r="D73"/>
      <c r="E73" s="3"/>
      <c r="F73" s="6"/>
      <c r="G73" s="3"/>
      <c r="H73" s="3"/>
      <c r="I73"/>
      <c r="J73"/>
      <c r="K73"/>
      <c r="L73"/>
      <c r="N73"/>
    </row>
    <row r="74" spans="1:14" s="7" customFormat="1" x14ac:dyDescent="0.25">
      <c r="A74" s="9"/>
      <c r="B74" s="2"/>
      <c r="C74" s="4"/>
      <c r="D74"/>
      <c r="E74" s="3"/>
      <c r="F74" s="6"/>
      <c r="G74" s="3"/>
      <c r="H74" s="3"/>
      <c r="I74"/>
      <c r="J74"/>
      <c r="K74"/>
      <c r="L74"/>
      <c r="N74"/>
    </row>
    <row r="75" spans="1:14" s="7" customFormat="1" x14ac:dyDescent="0.25">
      <c r="A75" s="9"/>
      <c r="B75" s="2"/>
      <c r="C75" s="4"/>
      <c r="D75"/>
      <c r="E75" s="3"/>
      <c r="F75" s="6"/>
      <c r="G75" s="3"/>
      <c r="H75" s="3"/>
      <c r="I75"/>
      <c r="J75"/>
      <c r="K75"/>
      <c r="L75"/>
      <c r="N75"/>
    </row>
    <row r="76" spans="1:14" s="7" customFormat="1" x14ac:dyDescent="0.25">
      <c r="A76" s="11"/>
      <c r="B76"/>
      <c r="C76"/>
      <c r="D76"/>
      <c r="E76"/>
      <c r="F76"/>
      <c r="G76"/>
      <c r="H76"/>
      <c r="I76"/>
      <c r="J76"/>
      <c r="K76"/>
      <c r="L76"/>
      <c r="N76"/>
    </row>
    <row r="77" spans="1:14" s="7" customFormat="1" x14ac:dyDescent="0.25">
      <c r="A77" s="9"/>
      <c r="B77" s="2"/>
      <c r="C77"/>
      <c r="D77" s="5"/>
      <c r="E77" s="5"/>
      <c r="F77"/>
      <c r="G77" s="3"/>
      <c r="H77" s="3"/>
      <c r="I77" s="5"/>
      <c r="J77" s="5"/>
      <c r="K77"/>
      <c r="L77"/>
      <c r="N77"/>
    </row>
    <row r="78" spans="1:14" s="7" customFormat="1" x14ac:dyDescent="0.25">
      <c r="A78" s="9"/>
      <c r="B78" s="2"/>
      <c r="C78"/>
      <c r="D78"/>
      <c r="E78" s="3"/>
      <c r="F78" s="3"/>
      <c r="G78" s="3"/>
      <c r="H78" s="3"/>
      <c r="I78"/>
      <c r="J78"/>
      <c r="K78"/>
      <c r="L78"/>
      <c r="N78"/>
    </row>
    <row r="79" spans="1:14" s="7" customFormat="1" x14ac:dyDescent="0.25">
      <c r="A79" s="13"/>
      <c r="B79" s="2"/>
      <c r="C79"/>
      <c r="D79"/>
      <c r="E79" s="3"/>
      <c r="F79" s="3"/>
      <c r="G79" s="3"/>
      <c r="H79" s="3"/>
      <c r="I79"/>
      <c r="J79"/>
      <c r="K79"/>
      <c r="L79"/>
      <c r="N79"/>
    </row>
    <row r="80" spans="1:14" s="7" customFormat="1" x14ac:dyDescent="0.25">
      <c r="A80" s="9"/>
      <c r="B80" s="2"/>
      <c r="C80"/>
      <c r="D80"/>
      <c r="E80"/>
      <c r="F80" s="3"/>
      <c r="G80" s="3"/>
      <c r="H80" s="3"/>
      <c r="I80"/>
      <c r="J80"/>
      <c r="K80"/>
      <c r="L80"/>
      <c r="N80"/>
    </row>
    <row r="81" spans="1:14" s="7" customFormat="1" x14ac:dyDescent="0.25">
      <c r="A81" s="9"/>
      <c r="B81" s="2"/>
      <c r="C81"/>
      <c r="D81" s="5"/>
      <c r="E81" s="5"/>
      <c r="F81" s="3"/>
      <c r="G81" s="3"/>
      <c r="H81" s="3"/>
      <c r="I81" s="5"/>
      <c r="J81" s="5"/>
      <c r="K81"/>
      <c r="L81"/>
      <c r="N81"/>
    </row>
    <row r="82" spans="1:14" x14ac:dyDescent="0.25">
      <c r="A82" s="11"/>
    </row>
    <row r="83" spans="1:14" x14ac:dyDescent="0.25">
      <c r="A83" s="9"/>
      <c r="B83" s="2"/>
      <c r="D83" s="12"/>
      <c r="E83" s="12"/>
      <c r="G83" s="3"/>
      <c r="H83" s="3"/>
      <c r="I83" s="5"/>
      <c r="J83" s="5"/>
    </row>
    <row r="84" spans="1:14" x14ac:dyDescent="0.25">
      <c r="A84" s="9"/>
      <c r="B84" s="2"/>
      <c r="E84" s="3"/>
      <c r="F84" s="3"/>
      <c r="G84" s="3"/>
      <c r="H84" s="3"/>
    </row>
    <row r="85" spans="1:14" x14ac:dyDescent="0.25">
      <c r="A85" s="13"/>
      <c r="B85" s="2"/>
      <c r="E85" s="3"/>
      <c r="F85" s="3"/>
      <c r="G85" s="3"/>
      <c r="H85" s="3"/>
    </row>
    <row r="86" spans="1:14" x14ac:dyDescent="0.25">
      <c r="A86" s="9"/>
      <c r="B86" s="2"/>
      <c r="C86" s="4"/>
      <c r="E86" s="3"/>
      <c r="F86" s="6"/>
      <c r="G86" s="3"/>
      <c r="H86" s="3"/>
    </row>
    <row r="87" spans="1:14" x14ac:dyDescent="0.25">
      <c r="A87" s="9"/>
      <c r="B87" s="2"/>
      <c r="D87" s="5"/>
      <c r="E87" s="5"/>
      <c r="G87" s="3"/>
      <c r="H87" s="3"/>
    </row>
    <row r="88" spans="1:14" x14ac:dyDescent="0.25">
      <c r="A88" s="11"/>
    </row>
    <row r="89" spans="1:14" x14ac:dyDescent="0.25">
      <c r="A89" s="9"/>
      <c r="B89" s="2"/>
      <c r="D89" s="5"/>
      <c r="E89" s="5"/>
      <c r="G89" s="3"/>
      <c r="H89" s="3"/>
      <c r="I89" s="5"/>
      <c r="J89" s="5"/>
    </row>
    <row r="90" spans="1:14" x14ac:dyDescent="0.25">
      <c r="A90" s="9"/>
      <c r="B90" s="2"/>
      <c r="E90" s="3"/>
      <c r="F90" s="3"/>
      <c r="G90" s="3"/>
      <c r="H90" s="3"/>
    </row>
    <row r="91" spans="1:14" x14ac:dyDescent="0.25">
      <c r="A91" s="13"/>
      <c r="B91" s="2"/>
      <c r="D91" s="5"/>
      <c r="E91" s="3"/>
      <c r="F91" s="3"/>
      <c r="G91" s="3"/>
      <c r="H91" s="3"/>
    </row>
    <row r="92" spans="1:14" x14ac:dyDescent="0.25">
      <c r="A92" s="9"/>
      <c r="B92" s="2"/>
      <c r="F92" s="3"/>
      <c r="G92" s="3"/>
      <c r="H92" s="3"/>
      <c r="K92" s="5"/>
      <c r="L92" s="5"/>
    </row>
    <row r="95" spans="1:14" x14ac:dyDescent="0.25">
      <c r="A95" s="11"/>
    </row>
    <row r="96" spans="1:14" x14ac:dyDescent="0.25">
      <c r="A96" s="9"/>
      <c r="B96" s="2"/>
      <c r="D96" s="5"/>
      <c r="E96" s="5"/>
      <c r="F96" s="5"/>
      <c r="G96" s="3"/>
      <c r="H96" s="3"/>
      <c r="I96" s="5"/>
      <c r="J96" s="5"/>
    </row>
    <row r="97" spans="1:14" x14ac:dyDescent="0.25">
      <c r="A97" s="9"/>
      <c r="B97" s="2"/>
      <c r="E97" s="5"/>
      <c r="F97" s="5"/>
      <c r="G97" s="3"/>
      <c r="H97" s="3"/>
      <c r="I97" s="5"/>
      <c r="J97" s="5"/>
    </row>
    <row r="98" spans="1:14" s="7" customFormat="1" x14ac:dyDescent="0.25">
      <c r="A98" s="13"/>
      <c r="B98" s="2"/>
      <c r="C98"/>
      <c r="D98"/>
      <c r="E98" s="3"/>
      <c r="F98"/>
      <c r="G98" s="3"/>
      <c r="H98" s="3"/>
      <c r="I98"/>
      <c r="J98"/>
      <c r="K98"/>
      <c r="L98"/>
      <c r="N98"/>
    </row>
    <row r="99" spans="1:14" s="7" customFormat="1" x14ac:dyDescent="0.25">
      <c r="A99" s="9"/>
      <c r="B99" s="2"/>
      <c r="C99"/>
      <c r="D99"/>
      <c r="E99"/>
      <c r="F99"/>
      <c r="G99" s="3"/>
      <c r="H99" s="3"/>
      <c r="I99"/>
      <c r="J99"/>
      <c r="K99"/>
      <c r="L99"/>
      <c r="N99"/>
    </row>
    <row r="100" spans="1:14" s="7" customFormat="1" x14ac:dyDescent="0.25">
      <c r="A100" s="9"/>
      <c r="B100" s="2"/>
      <c r="C100"/>
      <c r="D100" s="5"/>
      <c r="E100" s="5"/>
      <c r="F100"/>
      <c r="G100" s="3"/>
      <c r="H100" s="3"/>
      <c r="I100"/>
      <c r="J100"/>
      <c r="K100"/>
      <c r="L100"/>
      <c r="N100"/>
    </row>
    <row r="101" spans="1:14" s="7" customFormat="1" x14ac:dyDescent="0.25">
      <c r="A101" s="9"/>
      <c r="B101" s="2"/>
      <c r="C101" s="4"/>
      <c r="D101"/>
      <c r="E101" s="3"/>
      <c r="F101" s="6"/>
      <c r="G101" s="3"/>
      <c r="H101" s="3"/>
      <c r="I101"/>
      <c r="J101"/>
      <c r="K101"/>
      <c r="L101"/>
      <c r="N101"/>
    </row>
    <row r="102" spans="1:14" s="7" customFormat="1" x14ac:dyDescent="0.25">
      <c r="A102" s="11"/>
      <c r="B102"/>
      <c r="C102"/>
      <c r="D102"/>
      <c r="E102"/>
      <c r="F102"/>
      <c r="G102"/>
      <c r="H102"/>
      <c r="I102"/>
      <c r="J102"/>
      <c r="K102"/>
      <c r="L102"/>
      <c r="N102"/>
    </row>
    <row r="103" spans="1:14" s="7" customFormat="1" x14ac:dyDescent="0.25">
      <c r="A103" s="9"/>
      <c r="B103" s="2"/>
      <c r="C103"/>
      <c r="D103" s="5"/>
      <c r="E103" s="5"/>
      <c r="F103"/>
      <c r="G103" s="3"/>
      <c r="H103" s="3"/>
      <c r="I103" s="5"/>
      <c r="J103" s="5"/>
      <c r="K103"/>
      <c r="L103"/>
      <c r="N103"/>
    </row>
    <row r="104" spans="1:14" s="7" customFormat="1" x14ac:dyDescent="0.25">
      <c r="A104" s="9"/>
      <c r="B104" s="2"/>
      <c r="C104"/>
      <c r="D104"/>
      <c r="E104" s="3"/>
      <c r="F104" s="3"/>
      <c r="G104" s="3"/>
      <c r="H104" s="3"/>
      <c r="I104"/>
      <c r="J104"/>
      <c r="K104"/>
      <c r="L104"/>
      <c r="N104"/>
    </row>
    <row r="105" spans="1:14" s="7" customFormat="1" x14ac:dyDescent="0.25">
      <c r="A105" s="9"/>
      <c r="B105" s="2"/>
      <c r="C105"/>
      <c r="D105"/>
      <c r="E105" s="3"/>
      <c r="F105" s="3"/>
      <c r="G105" s="3"/>
      <c r="H105" s="3"/>
      <c r="I105"/>
      <c r="J105"/>
      <c r="K105"/>
      <c r="L105"/>
      <c r="N105"/>
    </row>
    <row r="106" spans="1:14" s="7" customFormat="1" x14ac:dyDescent="0.25">
      <c r="A106" s="9"/>
      <c r="B106" s="2"/>
      <c r="C106"/>
      <c r="D106"/>
      <c r="E106" s="3"/>
      <c r="F106"/>
      <c r="G106" s="3"/>
      <c r="H106" s="3"/>
      <c r="I106"/>
      <c r="J106"/>
      <c r="K106" s="5"/>
      <c r="L106" s="5"/>
      <c r="N106"/>
    </row>
    <row r="107" spans="1:14" s="7" customFormat="1" x14ac:dyDescent="0.25">
      <c r="A107" s="13"/>
      <c r="B107" s="2"/>
      <c r="C107"/>
      <c r="D107"/>
      <c r="E107"/>
      <c r="F107"/>
      <c r="G107" s="3"/>
      <c r="H107" s="3"/>
      <c r="I107"/>
      <c r="J107"/>
      <c r="K107"/>
      <c r="L107"/>
      <c r="N107"/>
    </row>
    <row r="108" spans="1:14" s="7" customForma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N108"/>
    </row>
    <row r="109" spans="1:14" s="7" customFormat="1" x14ac:dyDescent="0.25">
      <c r="A109" s="11"/>
      <c r="B109"/>
      <c r="C109"/>
      <c r="D109"/>
      <c r="E109"/>
      <c r="F109"/>
      <c r="G109"/>
      <c r="H109"/>
      <c r="I109"/>
      <c r="J109"/>
      <c r="K109"/>
      <c r="L109"/>
      <c r="N109"/>
    </row>
    <row r="110" spans="1:14" s="7" customFormat="1" x14ac:dyDescent="0.25">
      <c r="A110" s="9"/>
      <c r="B110" s="2"/>
      <c r="C110"/>
      <c r="D110" s="5"/>
      <c r="E110" s="5"/>
      <c r="F110"/>
      <c r="G110" s="3"/>
      <c r="H110" s="3"/>
      <c r="I110" s="5"/>
      <c r="J110" s="5"/>
      <c r="K110"/>
      <c r="L110"/>
      <c r="N110"/>
    </row>
    <row r="111" spans="1:14" s="7" customFormat="1" x14ac:dyDescent="0.25">
      <c r="A111" s="9"/>
      <c r="B111" s="2"/>
      <c r="C111"/>
      <c r="D111"/>
      <c r="E111" s="3"/>
      <c r="F111" s="3"/>
      <c r="G111" s="3"/>
      <c r="H111" s="3"/>
      <c r="I111"/>
      <c r="J111"/>
      <c r="K111"/>
      <c r="L111"/>
      <c r="N111"/>
    </row>
    <row r="112" spans="1:14" s="7" customFormat="1" x14ac:dyDescent="0.25">
      <c r="A112" s="13"/>
      <c r="B112" s="2"/>
      <c r="C112"/>
      <c r="D112"/>
      <c r="E112" s="3"/>
      <c r="F112" s="3"/>
      <c r="G112" s="3"/>
      <c r="H112" s="3"/>
      <c r="I112"/>
      <c r="J112"/>
      <c r="K112"/>
      <c r="L112"/>
      <c r="N112"/>
    </row>
    <row r="113" spans="1:14" s="7" customFormat="1" x14ac:dyDescent="0.25">
      <c r="A113" s="9"/>
      <c r="B113" s="2"/>
      <c r="C113"/>
      <c r="D113" s="5"/>
      <c r="E113" s="5"/>
      <c r="F113"/>
      <c r="G113" s="3"/>
      <c r="H113" s="3"/>
      <c r="I113"/>
      <c r="J113"/>
      <c r="K113"/>
      <c r="L113"/>
      <c r="N113"/>
    </row>
    <row r="114" spans="1:14" s="7" customFormat="1" x14ac:dyDescent="0.25">
      <c r="A114" s="9"/>
      <c r="B114" s="2"/>
      <c r="C114"/>
      <c r="D114" s="5"/>
      <c r="E114" s="5"/>
      <c r="F114"/>
      <c r="G114" s="3"/>
      <c r="H114" s="3"/>
      <c r="I114"/>
      <c r="J114"/>
      <c r="K114"/>
      <c r="L114"/>
      <c r="N114"/>
    </row>
    <row r="115" spans="1:14" s="7" customFormat="1" x14ac:dyDescent="0.25">
      <c r="A115" s="11"/>
      <c r="B115"/>
      <c r="C115"/>
      <c r="D115"/>
      <c r="E115"/>
      <c r="F115"/>
      <c r="G115"/>
      <c r="H115"/>
      <c r="I115"/>
      <c r="J115"/>
      <c r="K115"/>
      <c r="L115"/>
      <c r="N115"/>
    </row>
    <row r="116" spans="1:14" s="7" customFormat="1" x14ac:dyDescent="0.25">
      <c r="A116" s="9"/>
      <c r="B116" s="2"/>
      <c r="C116"/>
      <c r="D116" s="5"/>
      <c r="E116" s="5"/>
      <c r="F116"/>
      <c r="G116" s="3"/>
      <c r="H116" s="3"/>
      <c r="I116" s="5"/>
      <c r="J116" s="5"/>
      <c r="K116"/>
      <c r="L116"/>
      <c r="N116"/>
    </row>
    <row r="117" spans="1:14" s="7" customFormat="1" x14ac:dyDescent="0.25">
      <c r="A117" s="9"/>
      <c r="B117" s="2"/>
      <c r="C117"/>
      <c r="D117"/>
      <c r="E117" s="3"/>
      <c r="F117" s="3"/>
      <c r="G117" s="3"/>
      <c r="H117" s="3"/>
      <c r="I117"/>
      <c r="J117"/>
      <c r="K117"/>
      <c r="L117"/>
      <c r="N117"/>
    </row>
    <row r="118" spans="1:14" s="7" customFormat="1" x14ac:dyDescent="0.25">
      <c r="A118" s="13"/>
      <c r="B118" s="2"/>
      <c r="C118"/>
      <c r="D118"/>
      <c r="E118" s="3"/>
      <c r="F118" s="3"/>
      <c r="G118" s="3"/>
      <c r="H118" s="3"/>
      <c r="I118"/>
      <c r="J118"/>
      <c r="K118"/>
      <c r="L118"/>
      <c r="N118"/>
    </row>
    <row r="119" spans="1:14" s="7" customFormat="1" x14ac:dyDescent="0.25">
      <c r="A119" s="9"/>
      <c r="B119" s="2"/>
      <c r="C119"/>
      <c r="D119"/>
      <c r="E119"/>
      <c r="F119" s="3"/>
      <c r="G119" s="3"/>
      <c r="H119" s="3"/>
      <c r="I119"/>
      <c r="J119"/>
      <c r="K119" s="5"/>
      <c r="L119" s="5"/>
      <c r="N119"/>
    </row>
    <row r="120" spans="1:14" s="7" customForma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N120"/>
    </row>
    <row r="121" spans="1:14" s="7" customForma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N121"/>
    </row>
    <row r="122" spans="1:14" s="7" customFormat="1" x14ac:dyDescent="0.25">
      <c r="A122" s="9"/>
      <c r="B122" s="2"/>
      <c r="C122" s="4"/>
      <c r="D122"/>
      <c r="E122" s="3"/>
      <c r="F122" s="6"/>
      <c r="G122" s="3"/>
      <c r="H122" s="3"/>
      <c r="I122"/>
      <c r="J122"/>
      <c r="K122"/>
      <c r="L122"/>
      <c r="N122"/>
    </row>
  </sheetData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21"/>
  <sheetViews>
    <sheetView workbookViewId="0">
      <pane xSplit="1" topLeftCell="B1" activePane="topRight" state="frozen"/>
      <selection activeCell="A10" sqref="A10"/>
      <selection pane="topRight" activeCell="M10" sqref="M10"/>
    </sheetView>
  </sheetViews>
  <sheetFormatPr defaultRowHeight="15" x14ac:dyDescent="0.25"/>
  <cols>
    <col min="1" max="1" width="16.42578125" customWidth="1"/>
    <col min="2" max="2" width="12" customWidth="1"/>
    <col min="4" max="4" width="12.42578125" bestFit="1" customWidth="1"/>
    <col min="5" max="5" width="10.140625" customWidth="1"/>
    <col min="6" max="6" width="15.28515625" bestFit="1" customWidth="1"/>
    <col min="9" max="9" width="9.5703125" bestFit="1" customWidth="1"/>
    <col min="10" max="10" width="24.7109375" bestFit="1" customWidth="1"/>
    <col min="11" max="11" width="9.140625" style="7"/>
  </cols>
  <sheetData>
    <row r="1" spans="1:10" x14ac:dyDescent="0.25">
      <c r="A1" t="s">
        <v>1</v>
      </c>
    </row>
    <row r="2" spans="1:10" x14ac:dyDescent="0.25">
      <c r="A2" t="s">
        <v>17</v>
      </c>
      <c r="B2" s="10" t="s">
        <v>14</v>
      </c>
      <c r="E2" t="s">
        <v>18</v>
      </c>
    </row>
    <row r="3" spans="1:10" x14ac:dyDescent="0.25">
      <c r="A3" t="s">
        <v>7</v>
      </c>
      <c r="E3" t="s">
        <v>21</v>
      </c>
    </row>
    <row r="4" spans="1:10" x14ac:dyDescent="0.25">
      <c r="D4" t="s">
        <v>32</v>
      </c>
      <c r="E4" s="8" t="s">
        <v>33</v>
      </c>
    </row>
    <row r="5" spans="1:10" x14ac:dyDescent="0.25">
      <c r="A5" s="1" t="s">
        <v>2</v>
      </c>
    </row>
    <row r="6" spans="1:10" x14ac:dyDescent="0.25">
      <c r="A6" s="1" t="s">
        <v>16</v>
      </c>
      <c r="F6" t="s">
        <v>6</v>
      </c>
    </row>
    <row r="7" spans="1:10" x14ac:dyDescent="0.25">
      <c r="A7" s="29" t="s">
        <v>10</v>
      </c>
      <c r="B7" s="29" t="s">
        <v>3</v>
      </c>
      <c r="C7" s="30" t="s">
        <v>4</v>
      </c>
      <c r="D7" s="30" t="s">
        <v>5</v>
      </c>
      <c r="E7" s="29" t="s">
        <v>0</v>
      </c>
      <c r="F7" s="29" t="s">
        <v>35</v>
      </c>
      <c r="G7" s="29" t="s">
        <v>5</v>
      </c>
      <c r="H7" s="28" t="s">
        <v>0</v>
      </c>
    </row>
    <row r="8" spans="1:10" x14ac:dyDescent="0.25">
      <c r="A8" s="33" t="s">
        <v>9</v>
      </c>
      <c r="B8" s="21">
        <v>43944</v>
      </c>
      <c r="C8" s="22">
        <v>13.97</v>
      </c>
      <c r="D8" s="24">
        <f>AVERAGE(C8:C15)</f>
        <v>19.511999999999997</v>
      </c>
      <c r="E8" s="27">
        <f>STDEV(C8:C16)/SQRT(COUNT(C8:C16))</f>
        <v>1.6859015392365033</v>
      </c>
      <c r="F8" s="26">
        <v>101.7</v>
      </c>
      <c r="G8" s="27">
        <f>AVERAGE(F8:F13)</f>
        <v>91.623999999999995</v>
      </c>
      <c r="H8" s="5">
        <f>STDEV(F8:F12)/SQRT(COUNT(F8:F12))</f>
        <v>5.8919594363844539</v>
      </c>
      <c r="I8" s="5"/>
      <c r="J8" s="18"/>
    </row>
    <row r="9" spans="1:10" x14ac:dyDescent="0.25">
      <c r="A9" s="33" t="s">
        <v>9</v>
      </c>
      <c r="B9" s="21">
        <v>43951</v>
      </c>
      <c r="C9" s="22">
        <v>17.989999999999998</v>
      </c>
      <c r="D9" s="22"/>
      <c r="E9" s="27"/>
      <c r="F9" s="20">
        <v>76.489999999999995</v>
      </c>
      <c r="G9" s="27"/>
      <c r="H9" s="5"/>
    </row>
    <row r="10" spans="1:10" x14ac:dyDescent="0.25">
      <c r="A10" s="33" t="s">
        <v>9</v>
      </c>
      <c r="B10" s="21">
        <v>43951</v>
      </c>
      <c r="C10" s="22">
        <v>20.149999999999999</v>
      </c>
      <c r="D10" s="22"/>
      <c r="E10" s="27"/>
      <c r="F10" s="20">
        <v>91.11</v>
      </c>
      <c r="G10" s="27"/>
      <c r="H10" s="5"/>
    </row>
    <row r="11" spans="1:10" x14ac:dyDescent="0.25">
      <c r="A11" s="33" t="s">
        <v>9</v>
      </c>
      <c r="B11" s="21">
        <v>43965</v>
      </c>
      <c r="C11" s="23">
        <v>23.9</v>
      </c>
      <c r="D11" s="22"/>
      <c r="E11" s="27"/>
      <c r="F11" s="36">
        <v>81.22</v>
      </c>
      <c r="G11" s="27"/>
      <c r="H11" s="5"/>
    </row>
    <row r="12" spans="1:10" x14ac:dyDescent="0.25">
      <c r="A12" s="33" t="s">
        <v>9</v>
      </c>
      <c r="B12" s="21">
        <v>43965</v>
      </c>
      <c r="C12" s="22">
        <v>21.55</v>
      </c>
      <c r="D12" s="22"/>
      <c r="E12" s="27"/>
      <c r="F12" s="20">
        <v>107.6</v>
      </c>
      <c r="G12" s="27"/>
      <c r="H12" s="5"/>
    </row>
    <row r="13" spans="1:10" x14ac:dyDescent="0.25">
      <c r="A13" s="31"/>
      <c r="B13" s="21"/>
      <c r="C13" s="22"/>
      <c r="D13" s="22"/>
      <c r="E13" s="27"/>
      <c r="F13" s="20"/>
      <c r="G13" s="27"/>
      <c r="H13" s="5"/>
    </row>
    <row r="14" spans="1:10" x14ac:dyDescent="0.25">
      <c r="A14" s="31"/>
      <c r="B14" s="21"/>
      <c r="C14" s="22"/>
      <c r="D14" s="22"/>
      <c r="E14" s="27"/>
      <c r="F14" s="20"/>
      <c r="G14" s="27"/>
      <c r="H14" s="5"/>
    </row>
    <row r="15" spans="1:10" x14ac:dyDescent="0.25">
      <c r="A15" s="31"/>
      <c r="B15" s="21"/>
      <c r="C15" s="22"/>
      <c r="D15" s="22"/>
      <c r="E15" s="27"/>
      <c r="F15" s="20"/>
      <c r="G15" s="27"/>
      <c r="H15" s="5"/>
    </row>
    <row r="16" spans="1:10" x14ac:dyDescent="0.25">
      <c r="A16" s="9"/>
      <c r="B16" s="2"/>
      <c r="E16" s="5"/>
      <c r="G16" s="5"/>
      <c r="H16" s="5"/>
    </row>
    <row r="17" spans="1:11" x14ac:dyDescent="0.25">
      <c r="A17" s="9"/>
      <c r="B17" s="2"/>
      <c r="E17" s="34">
        <f>(E8/D8)</f>
        <v>8.6403317919049996E-2</v>
      </c>
      <c r="F17" t="s">
        <v>15</v>
      </c>
      <c r="G17" s="5"/>
      <c r="H17" s="5"/>
    </row>
    <row r="18" spans="1:11" x14ac:dyDescent="0.25">
      <c r="A18" s="9"/>
      <c r="B18" s="2"/>
      <c r="C18" s="4"/>
      <c r="E18" s="5"/>
      <c r="F18" s="6"/>
      <c r="I18" s="5"/>
      <c r="J18" s="5"/>
    </row>
    <row r="19" spans="1:11" x14ac:dyDescent="0.25">
      <c r="A19" s="1"/>
      <c r="B19" s="2"/>
      <c r="C19" s="4"/>
      <c r="F19" s="6"/>
      <c r="I19" s="5"/>
      <c r="J19" s="5"/>
    </row>
    <row r="20" spans="1:11" x14ac:dyDescent="0.25">
      <c r="A20" s="32" t="s">
        <v>24</v>
      </c>
      <c r="B20" s="29" t="s">
        <v>3</v>
      </c>
      <c r="C20" s="30" t="s">
        <v>4</v>
      </c>
      <c r="D20" s="30" t="s">
        <v>5</v>
      </c>
      <c r="E20" s="28" t="s">
        <v>0</v>
      </c>
      <c r="F20" s="29" t="s">
        <v>6</v>
      </c>
      <c r="G20" s="29" t="s">
        <v>5</v>
      </c>
      <c r="H20" s="28" t="s">
        <v>0</v>
      </c>
    </row>
    <row r="21" spans="1:11" x14ac:dyDescent="0.25">
      <c r="A21" s="31" t="s">
        <v>26</v>
      </c>
      <c r="B21" s="21">
        <v>43965</v>
      </c>
      <c r="C21" s="23" t="s">
        <v>28</v>
      </c>
      <c r="D21" s="25" t="e">
        <f>AVERAGE(C21:C22)</f>
        <v>#DIV/0!</v>
      </c>
      <c r="E21" s="3" t="e">
        <f>STDEV(#REF!,#REF!,#REF!,#REF!)/SQRT(COUNT(#REF!,#REF!,#REF!,#REF!))</f>
        <v>#REF!</v>
      </c>
      <c r="F21" s="26">
        <v>0</v>
      </c>
      <c r="G21" s="27">
        <f>AVERAGE(F21:F26)</f>
        <v>0</v>
      </c>
      <c r="H21" s="5">
        <f>STDEV(F21:F25)/SQRT(COUNT(F21:F25))</f>
        <v>0</v>
      </c>
      <c r="J21" s="18"/>
    </row>
    <row r="22" spans="1:11" x14ac:dyDescent="0.25">
      <c r="A22" s="31" t="s">
        <v>26</v>
      </c>
      <c r="B22" s="21">
        <v>43965</v>
      </c>
      <c r="C22" s="23" t="s">
        <v>28</v>
      </c>
      <c r="D22" s="22"/>
      <c r="E22" s="5"/>
      <c r="F22" s="26">
        <v>0</v>
      </c>
      <c r="G22" s="27"/>
      <c r="H22" s="5"/>
      <c r="J22" s="18"/>
    </row>
    <row r="23" spans="1:11" x14ac:dyDescent="0.25">
      <c r="A23" s="9"/>
      <c r="B23" s="2"/>
      <c r="C23" s="4"/>
      <c r="E23" s="19"/>
      <c r="F23" s="6"/>
    </row>
    <row r="24" spans="1:11" x14ac:dyDescent="0.25">
      <c r="A24" s="9"/>
      <c r="B24" s="2"/>
      <c r="C24" s="4"/>
      <c r="E24" s="3"/>
      <c r="F24" s="6"/>
    </row>
    <row r="25" spans="1:11" x14ac:dyDescent="0.25">
      <c r="C25" s="7"/>
      <c r="K25"/>
    </row>
    <row r="26" spans="1:11" x14ac:dyDescent="0.25">
      <c r="C26" s="7"/>
      <c r="K26"/>
    </row>
    <row r="27" spans="1:11" x14ac:dyDescent="0.25">
      <c r="A27" s="32" t="s">
        <v>25</v>
      </c>
      <c r="B27" s="29" t="s">
        <v>3</v>
      </c>
      <c r="C27" s="30" t="s">
        <v>4</v>
      </c>
      <c r="D27" s="30" t="s">
        <v>5</v>
      </c>
      <c r="E27" s="28" t="s">
        <v>0</v>
      </c>
      <c r="F27" s="29" t="s">
        <v>6</v>
      </c>
      <c r="G27" s="29" t="s">
        <v>5</v>
      </c>
      <c r="H27" s="28" t="s">
        <v>0</v>
      </c>
      <c r="K27"/>
    </row>
    <row r="28" spans="1:11" x14ac:dyDescent="0.25">
      <c r="A28" s="31" t="s">
        <v>26</v>
      </c>
      <c r="B28" s="21">
        <v>43965</v>
      </c>
      <c r="C28" s="23" t="s">
        <v>28</v>
      </c>
      <c r="D28" s="25" t="e">
        <f>AVERAGE(C28:C29)</f>
        <v>#DIV/0!</v>
      </c>
      <c r="E28" s="3"/>
      <c r="F28" s="26">
        <v>0</v>
      </c>
      <c r="G28" s="27">
        <f>AVERAGE(F28:F33)</f>
        <v>12.71</v>
      </c>
      <c r="H28" s="5">
        <f>STDEV(F28:F32)/SQRT(COUNT(F28:F32))</f>
        <v>12.71</v>
      </c>
      <c r="K28"/>
    </row>
    <row r="29" spans="1:11" x14ac:dyDescent="0.25">
      <c r="A29" s="31" t="s">
        <v>26</v>
      </c>
      <c r="B29" s="21">
        <v>43965</v>
      </c>
      <c r="C29" s="23" t="s">
        <v>28</v>
      </c>
      <c r="D29" s="22"/>
      <c r="E29" s="5"/>
      <c r="F29" s="26">
        <v>25.42</v>
      </c>
      <c r="G29" s="27"/>
      <c r="H29" s="5"/>
      <c r="K29"/>
    </row>
    <row r="30" spans="1:11" x14ac:dyDescent="0.25">
      <c r="A30" s="9"/>
      <c r="B30" s="2"/>
      <c r="C30" s="4"/>
      <c r="E30" s="19"/>
      <c r="F30" s="6"/>
      <c r="K30"/>
    </row>
    <row r="31" spans="1:11" x14ac:dyDescent="0.25">
      <c r="C31" s="7"/>
      <c r="K31"/>
    </row>
    <row r="32" spans="1:11" x14ac:dyDescent="0.25">
      <c r="C32" s="7"/>
      <c r="K32"/>
    </row>
    <row r="33" spans="1:11" x14ac:dyDescent="0.25">
      <c r="C33" s="7"/>
      <c r="K33"/>
    </row>
    <row r="34" spans="1:11" x14ac:dyDescent="0.25">
      <c r="C34" s="7"/>
      <c r="K34"/>
    </row>
    <row r="35" spans="1:11" x14ac:dyDescent="0.25">
      <c r="C35" s="7"/>
      <c r="K35"/>
    </row>
    <row r="36" spans="1:11" x14ac:dyDescent="0.25">
      <c r="C36" s="7"/>
      <c r="K36"/>
    </row>
    <row r="37" spans="1:11" x14ac:dyDescent="0.25">
      <c r="C37" s="7"/>
      <c r="K37"/>
    </row>
    <row r="38" spans="1:11" x14ac:dyDescent="0.25">
      <c r="C38" s="7"/>
      <c r="K38"/>
    </row>
    <row r="39" spans="1:11" x14ac:dyDescent="0.25">
      <c r="C39" s="7"/>
      <c r="K39"/>
    </row>
    <row r="40" spans="1:11" x14ac:dyDescent="0.25">
      <c r="C40" s="7"/>
      <c r="K40"/>
    </row>
    <row r="41" spans="1:11" x14ac:dyDescent="0.25">
      <c r="A41" s="5"/>
      <c r="B41" s="5"/>
      <c r="C41" s="7"/>
      <c r="K41"/>
    </row>
    <row r="42" spans="1:11" x14ac:dyDescent="0.25">
      <c r="A42" s="5"/>
      <c r="B42" s="5"/>
      <c r="C42" s="7"/>
      <c r="K42"/>
    </row>
    <row r="43" spans="1:11" x14ac:dyDescent="0.25">
      <c r="A43" s="5"/>
      <c r="B43" s="5"/>
      <c r="C43" s="7"/>
      <c r="K43"/>
    </row>
    <row r="44" spans="1:11" x14ac:dyDescent="0.25">
      <c r="A44" s="5"/>
      <c r="B44" s="5"/>
      <c r="C44" s="7"/>
      <c r="K44"/>
    </row>
    <row r="45" spans="1:11" x14ac:dyDescent="0.25">
      <c r="A45" s="5"/>
      <c r="B45" s="5"/>
      <c r="C45" s="7"/>
      <c r="K45"/>
    </row>
    <row r="46" spans="1:11" x14ac:dyDescent="0.25">
      <c r="A46" s="5"/>
      <c r="B46" s="5"/>
      <c r="C46" s="7"/>
      <c r="K46"/>
    </row>
    <row r="47" spans="1:11" x14ac:dyDescent="0.25">
      <c r="C47" s="7"/>
      <c r="K47"/>
    </row>
    <row r="48" spans="1:11" x14ac:dyDescent="0.25">
      <c r="C48" s="7"/>
      <c r="K48"/>
    </row>
    <row r="49" spans="1:11" x14ac:dyDescent="0.25">
      <c r="C49" s="7"/>
      <c r="K49"/>
    </row>
    <row r="50" spans="1:11" x14ac:dyDescent="0.25">
      <c r="C50" s="7"/>
      <c r="K50"/>
    </row>
    <row r="51" spans="1:11" x14ac:dyDescent="0.25">
      <c r="C51" s="7"/>
      <c r="K51"/>
    </row>
    <row r="52" spans="1:11" x14ac:dyDescent="0.25">
      <c r="A52" s="11"/>
    </row>
    <row r="53" spans="1:11" x14ac:dyDescent="0.25">
      <c r="A53" s="17"/>
      <c r="B53" s="2"/>
      <c r="D53" s="5"/>
      <c r="E53" s="5"/>
      <c r="G53" s="5"/>
      <c r="H53" s="5"/>
    </row>
    <row r="54" spans="1:11" x14ac:dyDescent="0.25">
      <c r="A54" s="17"/>
      <c r="B54" s="2"/>
      <c r="C54" s="18"/>
      <c r="D54" s="5"/>
      <c r="E54" s="5"/>
      <c r="F54" s="18"/>
      <c r="G54" s="5"/>
      <c r="H54" s="5"/>
    </row>
    <row r="55" spans="1:11" x14ac:dyDescent="0.25">
      <c r="A55" s="11"/>
    </row>
    <row r="56" spans="1:11" x14ac:dyDescent="0.25">
      <c r="A56" s="9"/>
      <c r="B56" s="2"/>
      <c r="D56" s="5"/>
      <c r="E56" s="5"/>
      <c r="F56" s="5"/>
      <c r="G56" s="5"/>
      <c r="H56" s="5"/>
    </row>
    <row r="57" spans="1:11" x14ac:dyDescent="0.25">
      <c r="A57" s="9"/>
      <c r="B57" s="2"/>
      <c r="E57" s="5"/>
      <c r="F57" s="5"/>
      <c r="G57" s="5"/>
      <c r="H57" s="5"/>
    </row>
    <row r="58" spans="1:11" x14ac:dyDescent="0.25">
      <c r="A58" s="9"/>
      <c r="B58" s="2"/>
      <c r="E58" s="3"/>
    </row>
    <row r="59" spans="1:11" x14ac:dyDescent="0.25">
      <c r="A59" s="13"/>
      <c r="B59" s="2"/>
      <c r="E59" s="3"/>
    </row>
    <row r="60" spans="1:11" x14ac:dyDescent="0.25">
      <c r="A60" s="9"/>
      <c r="B60" s="2"/>
    </row>
    <row r="61" spans="1:11" x14ac:dyDescent="0.25">
      <c r="A61" s="9"/>
      <c r="B61" s="14"/>
      <c r="C61" s="15"/>
      <c r="D61" s="15"/>
      <c r="E61" s="16"/>
      <c r="F61" s="15"/>
    </row>
    <row r="62" spans="1:11" x14ac:dyDescent="0.25">
      <c r="A62" s="9"/>
      <c r="B62" s="2"/>
      <c r="D62" s="5"/>
      <c r="E62" s="5"/>
    </row>
    <row r="63" spans="1:11" x14ac:dyDescent="0.25">
      <c r="A63" s="11"/>
    </row>
    <row r="64" spans="1:11" x14ac:dyDescent="0.25">
      <c r="A64" s="9"/>
      <c r="B64" s="2"/>
      <c r="D64" s="5"/>
      <c r="E64" s="5"/>
      <c r="F64" s="5"/>
      <c r="G64" s="5"/>
      <c r="H64" s="5"/>
    </row>
    <row r="65" spans="1:8" x14ac:dyDescent="0.25">
      <c r="A65" s="9"/>
      <c r="B65" s="2"/>
      <c r="E65" s="5"/>
      <c r="F65" s="5"/>
      <c r="G65" s="5"/>
      <c r="H65" s="5"/>
    </row>
    <row r="66" spans="1:8" x14ac:dyDescent="0.25">
      <c r="A66" s="13"/>
      <c r="B66" s="2"/>
      <c r="E66" s="3"/>
    </row>
    <row r="67" spans="1:8" x14ac:dyDescent="0.25">
      <c r="A67" s="9"/>
      <c r="B67" s="2"/>
    </row>
    <row r="68" spans="1:8" x14ac:dyDescent="0.25">
      <c r="A68" s="9"/>
      <c r="B68" s="2"/>
      <c r="D68" s="5"/>
      <c r="E68" s="5"/>
    </row>
    <row r="69" spans="1:8" x14ac:dyDescent="0.25">
      <c r="A69" s="9"/>
      <c r="B69" s="2"/>
      <c r="C69" s="4"/>
      <c r="E69" s="3"/>
      <c r="F69" s="6"/>
    </row>
    <row r="70" spans="1:8" x14ac:dyDescent="0.25">
      <c r="A70" s="9"/>
      <c r="B70" s="2"/>
      <c r="C70" s="4"/>
      <c r="E70" s="3"/>
      <c r="F70" s="6"/>
    </row>
    <row r="71" spans="1:8" x14ac:dyDescent="0.25">
      <c r="A71" s="9"/>
      <c r="B71" s="2"/>
      <c r="C71" s="4"/>
      <c r="E71" s="3"/>
      <c r="F71" s="6"/>
    </row>
    <row r="72" spans="1:8" x14ac:dyDescent="0.25">
      <c r="A72" s="9"/>
      <c r="B72" s="2"/>
      <c r="C72" s="4"/>
      <c r="E72" s="3"/>
      <c r="F72" s="6"/>
    </row>
    <row r="73" spans="1:8" x14ac:dyDescent="0.25">
      <c r="A73" s="9"/>
      <c r="B73" s="2"/>
      <c r="C73" s="4"/>
      <c r="E73" s="3"/>
      <c r="F73" s="6"/>
    </row>
    <row r="74" spans="1:8" x14ac:dyDescent="0.25">
      <c r="A74" s="9"/>
      <c r="B74" s="2"/>
      <c r="C74" s="4"/>
      <c r="E74" s="3"/>
      <c r="F74" s="6"/>
    </row>
    <row r="75" spans="1:8" x14ac:dyDescent="0.25">
      <c r="A75" s="11"/>
    </row>
    <row r="76" spans="1:8" x14ac:dyDescent="0.25">
      <c r="A76" s="9"/>
      <c r="B76" s="2"/>
      <c r="D76" s="5"/>
      <c r="E76" s="5"/>
      <c r="G76" s="5"/>
      <c r="H76" s="5"/>
    </row>
    <row r="77" spans="1:8" x14ac:dyDescent="0.25">
      <c r="A77" s="9"/>
      <c r="B77" s="2"/>
      <c r="E77" s="3"/>
      <c r="F77" s="3"/>
    </row>
    <row r="78" spans="1:8" x14ac:dyDescent="0.25">
      <c r="A78" s="13"/>
      <c r="B78" s="2"/>
      <c r="E78" s="3"/>
      <c r="F78" s="3"/>
    </row>
    <row r="79" spans="1:8" x14ac:dyDescent="0.25">
      <c r="A79" s="9"/>
      <c r="B79" s="2"/>
      <c r="F79" s="3"/>
    </row>
    <row r="80" spans="1:8" x14ac:dyDescent="0.25">
      <c r="A80" s="9"/>
      <c r="B80" s="2"/>
      <c r="D80" s="5"/>
      <c r="E80" s="5"/>
      <c r="F80" s="3"/>
      <c r="G80" s="5"/>
      <c r="H80" s="5"/>
    </row>
    <row r="81" spans="1:10" x14ac:dyDescent="0.25">
      <c r="A81" s="11"/>
    </row>
    <row r="82" spans="1:10" x14ac:dyDescent="0.25">
      <c r="A82" s="9"/>
      <c r="B82" s="2"/>
      <c r="D82" s="12"/>
      <c r="E82" s="12"/>
      <c r="G82" s="5"/>
      <c r="H82" s="5"/>
    </row>
    <row r="83" spans="1:10" x14ac:dyDescent="0.25">
      <c r="A83" s="9"/>
      <c r="B83" s="2"/>
      <c r="E83" s="3"/>
      <c r="F83" s="3"/>
    </row>
    <row r="84" spans="1:10" x14ac:dyDescent="0.25">
      <c r="A84" s="13"/>
      <c r="B84" s="2"/>
      <c r="E84" s="3"/>
      <c r="F84" s="3"/>
    </row>
    <row r="85" spans="1:10" x14ac:dyDescent="0.25">
      <c r="A85" s="9"/>
      <c r="B85" s="2"/>
      <c r="C85" s="4"/>
      <c r="E85" s="3"/>
      <c r="F85" s="6"/>
    </row>
    <row r="86" spans="1:10" x14ac:dyDescent="0.25">
      <c r="A86" s="9"/>
      <c r="B86" s="2"/>
      <c r="D86" s="5"/>
      <c r="E86" s="5"/>
    </row>
    <row r="87" spans="1:10" x14ac:dyDescent="0.25">
      <c r="A87" s="11"/>
    </row>
    <row r="88" spans="1:10" x14ac:dyDescent="0.25">
      <c r="A88" s="9"/>
      <c r="B88" s="2"/>
      <c r="D88" s="5"/>
      <c r="E88" s="5"/>
      <c r="G88" s="5"/>
      <c r="H88" s="5"/>
    </row>
    <row r="89" spans="1:10" x14ac:dyDescent="0.25">
      <c r="A89" s="9"/>
      <c r="B89" s="2"/>
      <c r="E89" s="3"/>
      <c r="F89" s="3"/>
    </row>
    <row r="90" spans="1:10" x14ac:dyDescent="0.25">
      <c r="A90" s="13"/>
      <c r="B90" s="2"/>
      <c r="D90" s="5"/>
      <c r="E90" s="3"/>
      <c r="F90" s="3"/>
    </row>
    <row r="91" spans="1:10" x14ac:dyDescent="0.25">
      <c r="A91" s="9"/>
      <c r="B91" s="2"/>
      <c r="F91" s="3"/>
      <c r="I91" s="5"/>
      <c r="J91" s="5"/>
    </row>
    <row r="94" spans="1:10" x14ac:dyDescent="0.25">
      <c r="A94" s="11"/>
    </row>
    <row r="95" spans="1:10" x14ac:dyDescent="0.25">
      <c r="A95" s="9"/>
      <c r="B95" s="2"/>
      <c r="D95" s="5"/>
      <c r="E95" s="5"/>
      <c r="F95" s="5"/>
      <c r="G95" s="5"/>
      <c r="H95" s="5"/>
    </row>
    <row r="96" spans="1:10" x14ac:dyDescent="0.25">
      <c r="A96" s="9"/>
      <c r="B96" s="2"/>
      <c r="E96" s="5"/>
      <c r="F96" s="5"/>
      <c r="G96" s="5"/>
      <c r="H96" s="5"/>
    </row>
    <row r="97" spans="1:10" x14ac:dyDescent="0.25">
      <c r="A97" s="13"/>
      <c r="B97" s="2"/>
      <c r="E97" s="3"/>
    </row>
    <row r="98" spans="1:10" x14ac:dyDescent="0.25">
      <c r="A98" s="9"/>
      <c r="B98" s="2"/>
    </row>
    <row r="99" spans="1:10" x14ac:dyDescent="0.25">
      <c r="A99" s="9"/>
      <c r="B99" s="2"/>
      <c r="D99" s="5"/>
      <c r="E99" s="5"/>
    </row>
    <row r="100" spans="1:10" x14ac:dyDescent="0.25">
      <c r="A100" s="9"/>
      <c r="B100" s="2"/>
      <c r="C100" s="4"/>
      <c r="E100" s="3"/>
      <c r="F100" s="6"/>
    </row>
    <row r="101" spans="1:10" x14ac:dyDescent="0.25">
      <c r="A101" s="11"/>
    </row>
    <row r="102" spans="1:10" x14ac:dyDescent="0.25">
      <c r="A102" s="9"/>
      <c r="B102" s="2"/>
      <c r="D102" s="5"/>
      <c r="E102" s="5"/>
      <c r="G102" s="5"/>
      <c r="H102" s="5"/>
    </row>
    <row r="103" spans="1:10" x14ac:dyDescent="0.25">
      <c r="A103" s="9"/>
      <c r="B103" s="2"/>
      <c r="E103" s="3"/>
      <c r="F103" s="3"/>
    </row>
    <row r="104" spans="1:10" x14ac:dyDescent="0.25">
      <c r="A104" s="9"/>
      <c r="B104" s="2"/>
      <c r="E104" s="3"/>
      <c r="F104" s="3"/>
    </row>
    <row r="105" spans="1:10" x14ac:dyDescent="0.25">
      <c r="A105" s="9"/>
      <c r="B105" s="2"/>
      <c r="E105" s="3"/>
      <c r="I105" s="5"/>
      <c r="J105" s="5"/>
    </row>
    <row r="106" spans="1:10" x14ac:dyDescent="0.25">
      <c r="A106" s="13"/>
      <c r="B106" s="2"/>
    </row>
    <row r="108" spans="1:10" x14ac:dyDescent="0.25">
      <c r="A108" s="11"/>
    </row>
    <row r="109" spans="1:10" x14ac:dyDescent="0.25">
      <c r="A109" s="9"/>
      <c r="B109" s="2"/>
      <c r="D109" s="5"/>
      <c r="E109" s="5"/>
      <c r="G109" s="5"/>
      <c r="H109" s="5"/>
    </row>
    <row r="110" spans="1:10" x14ac:dyDescent="0.25">
      <c r="A110" s="9"/>
      <c r="B110" s="2"/>
      <c r="E110" s="3"/>
      <c r="F110" s="3"/>
    </row>
    <row r="111" spans="1:10" x14ac:dyDescent="0.25">
      <c r="A111" s="13"/>
      <c r="B111" s="2"/>
      <c r="E111" s="3"/>
      <c r="F111" s="3"/>
    </row>
    <row r="112" spans="1:10" x14ac:dyDescent="0.25">
      <c r="A112" s="9"/>
      <c r="B112" s="2"/>
      <c r="D112" s="5"/>
      <c r="E112" s="5"/>
    </row>
    <row r="113" spans="1:10" x14ac:dyDescent="0.25">
      <c r="A113" s="9"/>
      <c r="B113" s="2"/>
      <c r="D113" s="5"/>
      <c r="E113" s="5"/>
    </row>
    <row r="114" spans="1:10" x14ac:dyDescent="0.25">
      <c r="A114" s="11"/>
    </row>
    <row r="115" spans="1:10" x14ac:dyDescent="0.25">
      <c r="A115" s="9"/>
      <c r="B115" s="2"/>
      <c r="D115" s="5"/>
      <c r="E115" s="5"/>
      <c r="G115" s="5"/>
      <c r="H115" s="5"/>
    </row>
    <row r="116" spans="1:10" x14ac:dyDescent="0.25">
      <c r="A116" s="9"/>
      <c r="B116" s="2"/>
      <c r="E116" s="3"/>
      <c r="F116" s="3"/>
    </row>
    <row r="117" spans="1:10" x14ac:dyDescent="0.25">
      <c r="A117" s="13"/>
      <c r="B117" s="2"/>
      <c r="E117" s="3"/>
      <c r="F117" s="3"/>
    </row>
    <row r="118" spans="1:10" x14ac:dyDescent="0.25">
      <c r="A118" s="9"/>
      <c r="B118" s="2"/>
      <c r="F118" s="3"/>
      <c r="I118" s="5"/>
      <c r="J118" s="5"/>
    </row>
    <row r="121" spans="1:10" x14ac:dyDescent="0.25">
      <c r="A121" s="9"/>
      <c r="B121" s="2"/>
      <c r="C121" s="4"/>
      <c r="E121" s="3"/>
      <c r="F121" s="6"/>
    </row>
  </sheetData>
  <pageMargins left="0.7" right="0.7" top="0.75" bottom="0.75" header="0.3" footer="0.3"/>
  <pageSetup scale="96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16"/>
  <sheetViews>
    <sheetView workbookViewId="0">
      <selection activeCell="F32" sqref="F32"/>
    </sheetView>
  </sheetViews>
  <sheetFormatPr defaultRowHeight="15" x14ac:dyDescent="0.25"/>
  <cols>
    <col min="1" max="1" width="16.42578125" customWidth="1"/>
    <col min="2" max="2" width="12" customWidth="1"/>
    <col min="4" max="4" width="12.42578125" bestFit="1" customWidth="1"/>
    <col min="5" max="5" width="10.140625" customWidth="1"/>
    <col min="6" max="6" width="15.28515625" bestFit="1" customWidth="1"/>
    <col min="9" max="9" width="9.5703125" bestFit="1" customWidth="1"/>
    <col min="10" max="10" width="9.5703125" customWidth="1"/>
    <col min="11" max="11" width="9.140625" style="7"/>
  </cols>
  <sheetData>
    <row r="1" spans="1:10" x14ac:dyDescent="0.25">
      <c r="A1" t="s">
        <v>1</v>
      </c>
    </row>
    <row r="2" spans="1:10" x14ac:dyDescent="0.25">
      <c r="A2" t="s">
        <v>30</v>
      </c>
      <c r="B2" s="35" t="s">
        <v>29</v>
      </c>
      <c r="E2" t="s">
        <v>20</v>
      </c>
    </row>
    <row r="3" spans="1:10" x14ac:dyDescent="0.25">
      <c r="A3" t="s">
        <v>7</v>
      </c>
      <c r="E3" t="s">
        <v>21</v>
      </c>
    </row>
    <row r="4" spans="1:10" x14ac:dyDescent="0.25">
      <c r="D4" t="s">
        <v>34</v>
      </c>
      <c r="E4" s="8"/>
    </row>
    <row r="5" spans="1:10" x14ac:dyDescent="0.25">
      <c r="A5" s="1" t="s">
        <v>22</v>
      </c>
    </row>
    <row r="7" spans="1:10" x14ac:dyDescent="0.25">
      <c r="A7" s="29" t="s">
        <v>19</v>
      </c>
      <c r="B7" s="29" t="s">
        <v>3</v>
      </c>
      <c r="C7" s="29" t="s">
        <v>4</v>
      </c>
      <c r="D7" s="29" t="s">
        <v>5</v>
      </c>
      <c r="E7" s="29" t="s">
        <v>0</v>
      </c>
      <c r="F7" s="37" t="s">
        <v>36</v>
      </c>
      <c r="G7" s="29" t="s">
        <v>5</v>
      </c>
      <c r="H7" s="28" t="s">
        <v>0</v>
      </c>
    </row>
    <row r="8" spans="1:10" x14ac:dyDescent="0.25">
      <c r="A8" s="31" t="s">
        <v>9</v>
      </c>
      <c r="B8" s="21">
        <v>43958</v>
      </c>
      <c r="C8">
        <v>4.7990000000000004</v>
      </c>
      <c r="D8">
        <f>AVERAGE(C8:C11)</f>
        <v>3.8980000000000001</v>
      </c>
      <c r="E8" s="27">
        <f>STDEV(C8:C11)/SQRT(COUNT(C8:C11))</f>
        <v>0.52311423226672082</v>
      </c>
      <c r="F8" s="3">
        <v>98.9</v>
      </c>
      <c r="G8" s="5">
        <f>AVERAGE(F8:F11)</f>
        <v>98.35499999999999</v>
      </c>
      <c r="H8" s="5">
        <f>STDEV(F8:F11)/SQRT(COUNT(F8:F11))</f>
        <v>0.25769814382981654</v>
      </c>
    </row>
    <row r="9" spans="1:10" x14ac:dyDescent="0.25">
      <c r="A9" s="31" t="s">
        <v>9</v>
      </c>
      <c r="B9" s="21">
        <v>43958</v>
      </c>
      <c r="C9">
        <v>3.53</v>
      </c>
      <c r="E9" s="5"/>
      <c r="F9" s="3">
        <v>97.93</v>
      </c>
      <c r="G9" s="5"/>
      <c r="H9" s="5"/>
    </row>
    <row r="10" spans="1:10" x14ac:dyDescent="0.25">
      <c r="A10" s="31" t="s">
        <v>9</v>
      </c>
      <c r="B10" s="21">
        <v>43958</v>
      </c>
      <c r="C10">
        <v>4.6790000000000003</v>
      </c>
      <c r="E10" s="5"/>
      <c r="F10" s="3">
        <v>98.69</v>
      </c>
      <c r="G10" s="5"/>
      <c r="H10" s="5"/>
    </row>
    <row r="11" spans="1:10" x14ac:dyDescent="0.25">
      <c r="A11" s="31" t="s">
        <v>9</v>
      </c>
      <c r="B11" s="2">
        <v>43965</v>
      </c>
      <c r="C11">
        <v>2.5840000000000001</v>
      </c>
      <c r="E11" s="5"/>
      <c r="F11" s="3">
        <v>97.9</v>
      </c>
      <c r="G11" s="5"/>
      <c r="H11" s="5"/>
    </row>
    <row r="12" spans="1:10" x14ac:dyDescent="0.25">
      <c r="A12" s="9"/>
      <c r="B12" s="2"/>
      <c r="E12" s="34">
        <f>E8/D8</f>
        <v>0.13420067528648558</v>
      </c>
      <c r="F12" s="3" t="s">
        <v>15</v>
      </c>
      <c r="I12" s="5"/>
      <c r="J12" s="5"/>
    </row>
    <row r="13" spans="1:10" x14ac:dyDescent="0.25">
      <c r="A13" s="1"/>
      <c r="B13" s="2"/>
      <c r="C13" s="4"/>
      <c r="F13" s="6"/>
      <c r="I13" s="5"/>
      <c r="J13" s="5"/>
    </row>
    <row r="14" spans="1:10" x14ac:dyDescent="0.25">
      <c r="A14" s="32" t="s">
        <v>24</v>
      </c>
      <c r="B14" s="29" t="s">
        <v>3</v>
      </c>
      <c r="C14" s="29" t="s">
        <v>4</v>
      </c>
      <c r="D14" s="29" t="s">
        <v>5</v>
      </c>
      <c r="E14" s="29" t="s">
        <v>0</v>
      </c>
      <c r="F14" s="37" t="s">
        <v>36</v>
      </c>
      <c r="G14" s="29" t="s">
        <v>5</v>
      </c>
      <c r="H14" s="28" t="s">
        <v>0</v>
      </c>
    </row>
    <row r="15" spans="1:10" x14ac:dyDescent="0.25">
      <c r="A15" s="31" t="s">
        <v>26</v>
      </c>
      <c r="B15" s="21">
        <v>43958</v>
      </c>
      <c r="C15" s="20">
        <v>17230</v>
      </c>
      <c r="D15" s="27">
        <f>AVERAGE(C15:C19)</f>
        <v>26998</v>
      </c>
      <c r="E15" s="27">
        <f>STDEV(C15:C19)/SQRT(COUNT(C15:C19))</f>
        <v>5548.4082402072754</v>
      </c>
      <c r="F15" s="26">
        <v>77.38</v>
      </c>
      <c r="G15" s="5">
        <f>AVERAGE(F15:F19)</f>
        <v>65.49199999999999</v>
      </c>
      <c r="H15" s="5">
        <f>STDEV(F15:F19)/SQRT(COUNT(F15:F19))</f>
        <v>4.0310574295090369</v>
      </c>
    </row>
    <row r="16" spans="1:10" x14ac:dyDescent="0.25">
      <c r="A16" s="31" t="s">
        <v>26</v>
      </c>
      <c r="B16" s="21">
        <v>43958</v>
      </c>
      <c r="C16" s="20">
        <v>36940</v>
      </c>
      <c r="D16" s="20"/>
      <c r="E16" s="27"/>
      <c r="F16" s="26">
        <v>60</v>
      </c>
      <c r="G16" s="27"/>
      <c r="H16" s="5"/>
      <c r="I16" s="5"/>
      <c r="J16" s="5"/>
    </row>
    <row r="17" spans="1:12" x14ac:dyDescent="0.25">
      <c r="A17" s="31" t="s">
        <v>31</v>
      </c>
      <c r="B17" s="21">
        <v>43965</v>
      </c>
      <c r="C17" s="20">
        <v>38210</v>
      </c>
      <c r="D17" s="20"/>
      <c r="E17" s="27"/>
      <c r="F17" s="26">
        <v>72.88</v>
      </c>
      <c r="G17" s="27"/>
      <c r="H17" s="5"/>
      <c r="I17" s="5"/>
      <c r="J17" s="5"/>
    </row>
    <row r="18" spans="1:12" x14ac:dyDescent="0.25">
      <c r="A18" s="31" t="s">
        <v>31</v>
      </c>
      <c r="B18" s="21">
        <v>43965</v>
      </c>
      <c r="C18">
        <v>32050</v>
      </c>
      <c r="E18" s="5"/>
      <c r="F18" s="5">
        <v>60</v>
      </c>
      <c r="G18" s="5"/>
      <c r="H18" s="5"/>
      <c r="I18" s="5"/>
      <c r="J18" s="5"/>
    </row>
    <row r="19" spans="1:12" x14ac:dyDescent="0.25">
      <c r="A19" s="31" t="s">
        <v>31</v>
      </c>
      <c r="B19" s="21">
        <v>43965</v>
      </c>
      <c r="C19">
        <v>10560</v>
      </c>
      <c r="E19" s="34">
        <f>E15/D15</f>
        <v>0.20551182458727593</v>
      </c>
      <c r="F19" s="3">
        <v>57.2</v>
      </c>
    </row>
    <row r="20" spans="1:12" x14ac:dyDescent="0.25">
      <c r="A20" s="9"/>
      <c r="B20" s="2"/>
      <c r="C20" s="4"/>
      <c r="E20" s="3"/>
      <c r="F20" s="6"/>
    </row>
    <row r="21" spans="1:12" x14ac:dyDescent="0.25">
      <c r="A21" s="11"/>
      <c r="H21" t="s">
        <v>0</v>
      </c>
    </row>
    <row r="22" spans="1:12" x14ac:dyDescent="0.25">
      <c r="A22" s="17"/>
      <c r="B22" s="2"/>
      <c r="D22" s="5"/>
      <c r="E22" s="5"/>
      <c r="G22" s="5"/>
      <c r="H22" s="5"/>
    </row>
    <row r="23" spans="1:12" x14ac:dyDescent="0.25">
      <c r="A23" s="32" t="s">
        <v>25</v>
      </c>
      <c r="B23" s="29" t="s">
        <v>3</v>
      </c>
      <c r="C23" s="29" t="s">
        <v>4</v>
      </c>
      <c r="D23" s="29" t="s">
        <v>5</v>
      </c>
      <c r="E23" s="29" t="s">
        <v>0</v>
      </c>
      <c r="F23" s="37" t="s">
        <v>36</v>
      </c>
      <c r="G23" s="29" t="s">
        <v>5</v>
      </c>
      <c r="H23" s="28" t="s">
        <v>0</v>
      </c>
      <c r="I23" s="18"/>
    </row>
    <row r="24" spans="1:12" x14ac:dyDescent="0.25">
      <c r="A24" s="31" t="s">
        <v>27</v>
      </c>
      <c r="B24" s="21">
        <v>43958</v>
      </c>
      <c r="C24" s="20" t="s">
        <v>28</v>
      </c>
      <c r="D24" s="27" t="e">
        <f>AVERAGE(C24:C28)</f>
        <v>#DIV/0!</v>
      </c>
      <c r="E24" s="27" t="e">
        <f>STDEV(C24:C28)/SQRT(COUNT(C24:C28))</f>
        <v>#DIV/0!</v>
      </c>
      <c r="F24" s="26">
        <f>100-AVERAGE(90.83,82.66,99.39)</f>
        <v>9.0400000000000063</v>
      </c>
      <c r="G24" s="5">
        <f>AVERAGE(F24:F28)</f>
        <v>4.5200000000000031</v>
      </c>
      <c r="H24" s="5">
        <f>STDEV(F24:F28)/SQRT(COUNT(F24:F28))</f>
        <v>4.5200000000000031</v>
      </c>
    </row>
    <row r="25" spans="1:12" x14ac:dyDescent="0.25">
      <c r="A25" s="31" t="s">
        <v>27</v>
      </c>
      <c r="B25" s="21">
        <v>43958</v>
      </c>
      <c r="C25" s="20" t="s">
        <v>28</v>
      </c>
      <c r="D25" s="20"/>
      <c r="E25" s="27"/>
      <c r="F25" s="26">
        <v>0</v>
      </c>
      <c r="G25" s="27"/>
      <c r="H25" s="5"/>
    </row>
    <row r="26" spans="1:12" x14ac:dyDescent="0.25">
      <c r="A26" s="33"/>
      <c r="B26" s="21"/>
      <c r="C26" s="20"/>
      <c r="D26" s="20"/>
      <c r="E26" s="27"/>
      <c r="F26" s="26"/>
      <c r="G26" s="27"/>
      <c r="H26" s="5"/>
    </row>
    <row r="27" spans="1:12" x14ac:dyDescent="0.25">
      <c r="A27" s="9"/>
      <c r="B27" s="2"/>
      <c r="E27" s="5"/>
      <c r="F27" s="5"/>
      <c r="G27" s="5"/>
      <c r="H27" s="5"/>
    </row>
    <row r="28" spans="1:12" s="7" customFormat="1" x14ac:dyDescent="0.25">
      <c r="A28" s="13"/>
      <c r="B28" s="2"/>
      <c r="C28"/>
      <c r="D28"/>
      <c r="E28" s="34" t="e">
        <f>E24/D24</f>
        <v>#DIV/0!</v>
      </c>
      <c r="F28" s="3"/>
      <c r="G28"/>
      <c r="H28"/>
      <c r="I28"/>
      <c r="J28"/>
      <c r="L28"/>
    </row>
    <row r="29" spans="1:12" s="7" customFormat="1" x14ac:dyDescent="0.25">
      <c r="A29" s="9"/>
      <c r="B29" s="2"/>
      <c r="C29"/>
      <c r="D29"/>
      <c r="E29" s="3"/>
      <c r="F29"/>
      <c r="G29"/>
      <c r="H29"/>
      <c r="I29"/>
      <c r="J29"/>
      <c r="L29"/>
    </row>
    <row r="30" spans="1:12" s="7" customFormat="1" x14ac:dyDescent="0.25">
      <c r="A30"/>
      <c r="B30" s="2"/>
      <c r="C30"/>
      <c r="D30"/>
      <c r="E30"/>
      <c r="F30"/>
      <c r="G30"/>
      <c r="H30"/>
      <c r="I30"/>
      <c r="J30"/>
      <c r="L30"/>
    </row>
    <row r="32" spans="1:12" s="7" customFormat="1" x14ac:dyDescent="0.25">
      <c r="A32" s="11"/>
      <c r="B32"/>
      <c r="C32"/>
      <c r="D32"/>
      <c r="E32"/>
      <c r="F32"/>
      <c r="G32"/>
      <c r="H32"/>
      <c r="I32"/>
      <c r="J32"/>
      <c r="L32"/>
    </row>
    <row r="33" spans="1:12" s="7" customFormat="1" x14ac:dyDescent="0.25">
      <c r="A33" s="9"/>
      <c r="B33" s="2"/>
      <c r="C33"/>
      <c r="D33" s="5"/>
      <c r="E33" s="5"/>
      <c r="F33"/>
      <c r="G33" s="5"/>
      <c r="H33" s="5"/>
      <c r="I33"/>
      <c r="J33"/>
      <c r="L33"/>
    </row>
    <row r="34" spans="1:12" s="7" customFormat="1" x14ac:dyDescent="0.25">
      <c r="A34" s="9"/>
      <c r="B34" s="2"/>
      <c r="C34"/>
      <c r="D34"/>
      <c r="E34" s="3"/>
      <c r="F34" s="3"/>
      <c r="G34"/>
      <c r="H34"/>
      <c r="I34"/>
      <c r="J34"/>
      <c r="L34"/>
    </row>
    <row r="35" spans="1:12" s="7" customFormat="1" x14ac:dyDescent="0.25">
      <c r="A35" s="13"/>
      <c r="B35" s="2"/>
      <c r="C35"/>
      <c r="D35"/>
      <c r="E35" s="3"/>
      <c r="F35" s="3"/>
      <c r="G35"/>
      <c r="H35"/>
      <c r="I35"/>
      <c r="J35"/>
      <c r="L35"/>
    </row>
    <row r="36" spans="1:12" s="7" customFormat="1" x14ac:dyDescent="0.25">
      <c r="A36" s="9"/>
      <c r="B36" s="2"/>
      <c r="C36" s="4"/>
      <c r="D36"/>
      <c r="E36" s="3"/>
      <c r="F36" s="6"/>
      <c r="G36"/>
      <c r="H36"/>
      <c r="I36" s="5"/>
      <c r="J36" s="5"/>
      <c r="L36"/>
    </row>
    <row r="37" spans="1:12" s="7" customFormat="1" x14ac:dyDescent="0.25">
      <c r="A37" s="9"/>
      <c r="B37" s="2"/>
      <c r="C37" s="4"/>
      <c r="D37"/>
      <c r="E37" s="3"/>
      <c r="F37" s="6"/>
      <c r="G37"/>
      <c r="H37"/>
      <c r="I37" s="5"/>
      <c r="J37" s="5"/>
      <c r="L37"/>
    </row>
    <row r="38" spans="1:12" s="7" customFormat="1" x14ac:dyDescent="0.25">
      <c r="A38" s="9"/>
      <c r="B38" s="2"/>
      <c r="C38" s="4"/>
      <c r="D38"/>
      <c r="E38" s="3"/>
      <c r="F38" s="6"/>
      <c r="G38"/>
      <c r="H38"/>
      <c r="I38" s="5"/>
      <c r="J38" s="5"/>
      <c r="L38"/>
    </row>
    <row r="39" spans="1:12" s="7" customFormat="1" x14ac:dyDescent="0.25">
      <c r="A39" s="9"/>
      <c r="B39" s="2"/>
      <c r="C39" s="4"/>
      <c r="D39"/>
      <c r="E39" s="3"/>
      <c r="F39" s="6"/>
      <c r="G39"/>
      <c r="H39"/>
      <c r="I39" s="5"/>
      <c r="J39" s="5"/>
      <c r="L39"/>
    </row>
    <row r="40" spans="1:12" s="7" customFormat="1" x14ac:dyDescent="0.25">
      <c r="A40" s="9"/>
      <c r="B40" s="2"/>
      <c r="C40" s="4"/>
      <c r="D40"/>
      <c r="E40" s="3"/>
      <c r="F40" s="6"/>
      <c r="G40"/>
      <c r="H40"/>
      <c r="I40" s="5"/>
      <c r="J40" s="5"/>
      <c r="L40"/>
    </row>
    <row r="41" spans="1:12" s="7" customFormat="1" x14ac:dyDescent="0.25">
      <c r="A41" s="9"/>
      <c r="B41" s="2"/>
      <c r="C41" s="4"/>
      <c r="D41"/>
      <c r="E41" s="3"/>
      <c r="F41" s="6"/>
      <c r="G41"/>
      <c r="H41"/>
      <c r="I41" s="5"/>
      <c r="J41" s="5"/>
      <c r="L41"/>
    </row>
    <row r="42" spans="1:12" s="7" customFormat="1" x14ac:dyDescent="0.25">
      <c r="A42" s="9"/>
      <c r="B42" s="2"/>
      <c r="C42" s="4"/>
      <c r="D42"/>
      <c r="E42" s="3"/>
      <c r="F42" s="6"/>
      <c r="G42"/>
      <c r="H42"/>
      <c r="I42"/>
      <c r="J42"/>
      <c r="L42"/>
    </row>
    <row r="43" spans="1:12" s="7" customFormat="1" x14ac:dyDescent="0.25">
      <c r="A43"/>
      <c r="B43"/>
      <c r="C43"/>
      <c r="D43"/>
      <c r="E43"/>
      <c r="F43"/>
      <c r="G43"/>
      <c r="H43"/>
      <c r="I43"/>
      <c r="J43"/>
      <c r="L43"/>
    </row>
    <row r="44" spans="1:12" x14ac:dyDescent="0.25">
      <c r="A44" s="11"/>
    </row>
    <row r="45" spans="1:12" x14ac:dyDescent="0.25">
      <c r="A45" s="9"/>
      <c r="B45" s="2"/>
      <c r="D45" s="5"/>
      <c r="E45" s="5"/>
      <c r="G45" s="5"/>
      <c r="H45" s="5"/>
    </row>
    <row r="46" spans="1:12" x14ac:dyDescent="0.25">
      <c r="A46" s="9"/>
      <c r="B46" s="2"/>
      <c r="E46" s="3"/>
      <c r="F46" s="3"/>
    </row>
    <row r="47" spans="1:12" x14ac:dyDescent="0.25">
      <c r="A47" s="9"/>
      <c r="B47" s="2"/>
      <c r="E47" s="3"/>
      <c r="F47" s="3"/>
    </row>
    <row r="48" spans="1:12" x14ac:dyDescent="0.25">
      <c r="A48" s="9"/>
      <c r="B48" s="2"/>
      <c r="D48" s="5"/>
      <c r="E48" s="5"/>
    </row>
    <row r="49" spans="1:12" x14ac:dyDescent="0.25">
      <c r="A49" s="9"/>
      <c r="B49" s="2"/>
      <c r="D49" s="5"/>
      <c r="E49" s="5"/>
    </row>
    <row r="50" spans="1:12" x14ac:dyDescent="0.25">
      <c r="A50" s="11"/>
    </row>
    <row r="51" spans="1:12" x14ac:dyDescent="0.25">
      <c r="A51" s="9"/>
      <c r="B51" s="2"/>
      <c r="D51" s="5"/>
      <c r="E51" s="5"/>
      <c r="F51" s="5"/>
      <c r="G51" s="5"/>
      <c r="H51" s="5"/>
    </row>
    <row r="52" spans="1:12" x14ac:dyDescent="0.25">
      <c r="A52" s="9"/>
      <c r="B52" s="2"/>
      <c r="E52" s="5"/>
      <c r="F52" s="5"/>
      <c r="G52" s="5"/>
      <c r="H52" s="5"/>
    </row>
    <row r="53" spans="1:12" x14ac:dyDescent="0.25">
      <c r="A53" s="9"/>
      <c r="B53" s="2"/>
      <c r="E53" s="3"/>
    </row>
    <row r="54" spans="1:12" x14ac:dyDescent="0.25">
      <c r="A54" s="13"/>
      <c r="B54" s="2"/>
      <c r="E54" s="3"/>
    </row>
    <row r="55" spans="1:12" x14ac:dyDescent="0.25">
      <c r="A55" s="9"/>
      <c r="B55" s="2"/>
    </row>
    <row r="56" spans="1:12" x14ac:dyDescent="0.25">
      <c r="A56" s="9"/>
      <c r="B56" s="14"/>
      <c r="C56" s="15"/>
      <c r="D56" s="15"/>
      <c r="E56" s="16"/>
      <c r="F56" s="15"/>
    </row>
    <row r="57" spans="1:12" x14ac:dyDescent="0.25">
      <c r="A57" s="9"/>
      <c r="B57" s="2"/>
      <c r="D57" s="5"/>
      <c r="E57" s="5"/>
    </row>
    <row r="58" spans="1:12" x14ac:dyDescent="0.25">
      <c r="A58" s="11"/>
    </row>
    <row r="59" spans="1:12" x14ac:dyDescent="0.25">
      <c r="A59" s="9"/>
      <c r="B59" s="2"/>
      <c r="D59" s="5"/>
      <c r="E59" s="5"/>
      <c r="F59" s="5"/>
      <c r="G59" s="5"/>
      <c r="H59" s="5"/>
    </row>
    <row r="60" spans="1:12" s="7" customFormat="1" x14ac:dyDescent="0.25">
      <c r="A60" s="9"/>
      <c r="B60" s="2"/>
      <c r="C60"/>
      <c r="D60"/>
      <c r="E60" s="5"/>
      <c r="F60" s="5"/>
      <c r="G60" s="5"/>
      <c r="H60" s="5"/>
      <c r="I60"/>
      <c r="J60"/>
      <c r="L60"/>
    </row>
    <row r="61" spans="1:12" s="7" customFormat="1" x14ac:dyDescent="0.25">
      <c r="A61" s="13"/>
      <c r="B61" s="2"/>
      <c r="C61"/>
      <c r="D61"/>
      <c r="E61" s="3"/>
      <c r="F61"/>
      <c r="G61"/>
      <c r="H61"/>
      <c r="I61"/>
      <c r="J61"/>
      <c r="L61"/>
    </row>
    <row r="62" spans="1:12" s="7" customFormat="1" x14ac:dyDescent="0.25">
      <c r="A62" s="9"/>
      <c r="B62" s="2"/>
      <c r="C62"/>
      <c r="D62"/>
      <c r="E62"/>
      <c r="F62"/>
      <c r="G62"/>
      <c r="H62"/>
      <c r="I62"/>
      <c r="J62"/>
      <c r="L62"/>
    </row>
    <row r="63" spans="1:12" s="7" customFormat="1" x14ac:dyDescent="0.25">
      <c r="A63" s="9"/>
      <c r="B63" s="2"/>
      <c r="C63"/>
      <c r="D63" s="5"/>
      <c r="E63" s="5"/>
      <c r="F63"/>
      <c r="G63"/>
      <c r="H63"/>
      <c r="I63"/>
      <c r="J63"/>
      <c r="L63"/>
    </row>
    <row r="64" spans="1:12" s="7" customFormat="1" x14ac:dyDescent="0.25">
      <c r="A64" s="9"/>
      <c r="B64" s="2"/>
      <c r="C64" s="4"/>
      <c r="D64"/>
      <c r="E64" s="3"/>
      <c r="F64" s="6"/>
      <c r="G64"/>
      <c r="H64"/>
      <c r="I64"/>
      <c r="J64"/>
      <c r="L64"/>
    </row>
    <row r="65" spans="1:12" s="7" customFormat="1" x14ac:dyDescent="0.25">
      <c r="A65" s="9"/>
      <c r="B65" s="2"/>
      <c r="C65" s="4"/>
      <c r="D65"/>
      <c r="E65" s="3"/>
      <c r="F65" s="6"/>
      <c r="G65"/>
      <c r="H65"/>
      <c r="I65"/>
      <c r="J65"/>
      <c r="L65"/>
    </row>
    <row r="66" spans="1:12" s="7" customFormat="1" x14ac:dyDescent="0.25">
      <c r="A66" s="9"/>
      <c r="B66" s="2"/>
      <c r="C66" s="4"/>
      <c r="D66"/>
      <c r="E66" s="3"/>
      <c r="F66" s="6"/>
      <c r="G66"/>
      <c r="H66"/>
      <c r="I66"/>
      <c r="J66"/>
      <c r="L66"/>
    </row>
    <row r="67" spans="1:12" s="7" customFormat="1" x14ac:dyDescent="0.25">
      <c r="A67" s="9"/>
      <c r="B67" s="2"/>
      <c r="C67" s="4"/>
      <c r="D67"/>
      <c r="E67" s="3"/>
      <c r="F67" s="6"/>
      <c r="G67"/>
      <c r="H67"/>
      <c r="I67"/>
      <c r="J67"/>
      <c r="L67"/>
    </row>
    <row r="68" spans="1:12" s="7" customFormat="1" x14ac:dyDescent="0.25">
      <c r="A68" s="9"/>
      <c r="B68" s="2"/>
      <c r="C68" s="4"/>
      <c r="D68"/>
      <c r="E68" s="3"/>
      <c r="F68" s="6"/>
      <c r="G68"/>
      <c r="H68"/>
      <c r="I68"/>
      <c r="J68"/>
      <c r="L68"/>
    </row>
    <row r="69" spans="1:12" s="7" customFormat="1" x14ac:dyDescent="0.25">
      <c r="A69" s="9"/>
      <c r="B69" s="2"/>
      <c r="C69" s="4"/>
      <c r="D69"/>
      <c r="E69" s="3"/>
      <c r="F69" s="6"/>
      <c r="G69"/>
      <c r="H69"/>
      <c r="I69"/>
      <c r="J69"/>
      <c r="L69"/>
    </row>
    <row r="70" spans="1:12" s="7" customFormat="1" x14ac:dyDescent="0.25">
      <c r="A70" s="11"/>
      <c r="B70"/>
      <c r="C70"/>
      <c r="D70"/>
      <c r="E70"/>
      <c r="F70"/>
      <c r="G70"/>
      <c r="H70"/>
      <c r="I70"/>
      <c r="J70"/>
      <c r="L70"/>
    </row>
    <row r="71" spans="1:12" s="7" customFormat="1" x14ac:dyDescent="0.25">
      <c r="A71" s="9"/>
      <c r="B71" s="2"/>
      <c r="C71"/>
      <c r="D71" s="5"/>
      <c r="E71" s="5"/>
      <c r="F71"/>
      <c r="G71" s="5"/>
      <c r="H71" s="5"/>
      <c r="I71"/>
      <c r="J71"/>
      <c r="L71"/>
    </row>
    <row r="72" spans="1:12" s="7" customFormat="1" x14ac:dyDescent="0.25">
      <c r="A72" s="9"/>
      <c r="B72" s="2"/>
      <c r="C72"/>
      <c r="D72"/>
      <c r="E72" s="3"/>
      <c r="F72" s="3"/>
      <c r="G72"/>
      <c r="H72"/>
      <c r="I72"/>
      <c r="J72"/>
      <c r="L72"/>
    </row>
    <row r="73" spans="1:12" s="7" customFormat="1" x14ac:dyDescent="0.25">
      <c r="A73" s="13"/>
      <c r="B73" s="2"/>
      <c r="C73"/>
      <c r="D73"/>
      <c r="E73" s="3"/>
      <c r="F73" s="3"/>
      <c r="G73"/>
      <c r="H73"/>
      <c r="I73"/>
      <c r="J73"/>
      <c r="L73"/>
    </row>
    <row r="74" spans="1:12" s="7" customFormat="1" x14ac:dyDescent="0.25">
      <c r="A74" s="9"/>
      <c r="B74" s="2"/>
      <c r="C74"/>
      <c r="D74"/>
      <c r="E74"/>
      <c r="F74" s="3"/>
      <c r="G74"/>
      <c r="H74"/>
      <c r="I74"/>
      <c r="J74"/>
      <c r="L74"/>
    </row>
    <row r="75" spans="1:12" s="7" customFormat="1" x14ac:dyDescent="0.25">
      <c r="A75" s="9"/>
      <c r="B75" s="2"/>
      <c r="C75"/>
      <c r="D75" s="5"/>
      <c r="E75" s="5"/>
      <c r="F75" s="3"/>
      <c r="G75" s="5"/>
      <c r="H75" s="5"/>
      <c r="I75"/>
      <c r="J75"/>
      <c r="L75"/>
    </row>
    <row r="76" spans="1:12" x14ac:dyDescent="0.25">
      <c r="A76" s="11"/>
    </row>
    <row r="77" spans="1:12" x14ac:dyDescent="0.25">
      <c r="A77" s="9"/>
      <c r="B77" s="2"/>
      <c r="D77" s="12"/>
      <c r="E77" s="12"/>
      <c r="G77" s="5"/>
      <c r="H77" s="5"/>
    </row>
    <row r="78" spans="1:12" x14ac:dyDescent="0.25">
      <c r="A78" s="9"/>
      <c r="B78" s="2"/>
      <c r="E78" s="3"/>
      <c r="F78" s="3"/>
    </row>
    <row r="79" spans="1:12" x14ac:dyDescent="0.25">
      <c r="A79" s="13"/>
      <c r="B79" s="2"/>
      <c r="E79" s="3"/>
      <c r="F79" s="3"/>
    </row>
    <row r="80" spans="1:12" x14ac:dyDescent="0.25">
      <c r="A80" s="9"/>
      <c r="B80" s="2"/>
      <c r="C80" s="4"/>
      <c r="E80" s="3"/>
      <c r="F80" s="6"/>
    </row>
    <row r="81" spans="1:12" x14ac:dyDescent="0.25">
      <c r="A81" s="9"/>
      <c r="B81" s="2"/>
      <c r="D81" s="5"/>
      <c r="E81" s="5"/>
    </row>
    <row r="82" spans="1:12" x14ac:dyDescent="0.25">
      <c r="A82" s="11"/>
    </row>
    <row r="83" spans="1:12" x14ac:dyDescent="0.25">
      <c r="A83" s="9"/>
      <c r="B83" s="2"/>
      <c r="D83" s="5"/>
      <c r="E83" s="5"/>
      <c r="G83" s="5"/>
      <c r="H83" s="5"/>
    </row>
    <row r="84" spans="1:12" x14ac:dyDescent="0.25">
      <c r="A84" s="9"/>
      <c r="B84" s="2"/>
      <c r="E84" s="3"/>
      <c r="F84" s="3"/>
    </row>
    <row r="85" spans="1:12" x14ac:dyDescent="0.25">
      <c r="A85" s="13"/>
      <c r="B85" s="2"/>
      <c r="D85" s="5"/>
      <c r="E85" s="3"/>
      <c r="F85" s="3"/>
    </row>
    <row r="86" spans="1:12" x14ac:dyDescent="0.25">
      <c r="A86" s="9"/>
      <c r="B86" s="2"/>
      <c r="F86" s="3"/>
      <c r="I86" s="5"/>
      <c r="J86" s="5"/>
    </row>
    <row r="89" spans="1:12" x14ac:dyDescent="0.25">
      <c r="A89" s="11"/>
    </row>
    <row r="90" spans="1:12" x14ac:dyDescent="0.25">
      <c r="A90" s="9"/>
      <c r="B90" s="2"/>
      <c r="D90" s="5"/>
      <c r="E90" s="5"/>
      <c r="F90" s="5"/>
      <c r="G90" s="5"/>
      <c r="H90" s="5"/>
    </row>
    <row r="91" spans="1:12" x14ac:dyDescent="0.25">
      <c r="A91" s="9"/>
      <c r="B91" s="2"/>
      <c r="E91" s="5"/>
      <c r="F91" s="5"/>
      <c r="G91" s="5"/>
      <c r="H91" s="5"/>
    </row>
    <row r="92" spans="1:12" s="7" customFormat="1" x14ac:dyDescent="0.25">
      <c r="A92" s="13"/>
      <c r="B92" s="2"/>
      <c r="C92"/>
      <c r="D92"/>
      <c r="E92" s="3"/>
      <c r="F92"/>
      <c r="G92"/>
      <c r="H92"/>
      <c r="I92"/>
      <c r="J92"/>
      <c r="L92"/>
    </row>
    <row r="93" spans="1:12" s="7" customFormat="1" x14ac:dyDescent="0.25">
      <c r="A93" s="9"/>
      <c r="B93" s="2"/>
      <c r="C93"/>
      <c r="D93"/>
      <c r="E93"/>
      <c r="F93"/>
      <c r="G93"/>
      <c r="H93"/>
      <c r="I93"/>
      <c r="J93"/>
      <c r="L93"/>
    </row>
    <row r="94" spans="1:12" s="7" customFormat="1" x14ac:dyDescent="0.25">
      <c r="A94" s="9"/>
      <c r="B94" s="2"/>
      <c r="C94"/>
      <c r="D94" s="5"/>
      <c r="E94" s="5"/>
      <c r="F94"/>
      <c r="G94"/>
      <c r="H94"/>
      <c r="I94"/>
      <c r="J94"/>
      <c r="L94"/>
    </row>
    <row r="95" spans="1:12" s="7" customFormat="1" x14ac:dyDescent="0.25">
      <c r="A95" s="9"/>
      <c r="B95" s="2"/>
      <c r="C95" s="4"/>
      <c r="D95"/>
      <c r="E95" s="3"/>
      <c r="F95" s="6"/>
      <c r="G95"/>
      <c r="H95"/>
      <c r="I95"/>
      <c r="J95"/>
      <c r="L95"/>
    </row>
    <row r="96" spans="1:12" s="7" customFormat="1" x14ac:dyDescent="0.25">
      <c r="A96" s="11"/>
      <c r="B96"/>
      <c r="C96"/>
      <c r="D96"/>
      <c r="E96"/>
      <c r="F96"/>
      <c r="G96"/>
      <c r="H96"/>
      <c r="I96"/>
      <c r="J96"/>
      <c r="L96"/>
    </row>
    <row r="97" spans="1:12" s="7" customFormat="1" x14ac:dyDescent="0.25">
      <c r="A97" s="9"/>
      <c r="B97" s="2"/>
      <c r="C97"/>
      <c r="D97" s="5"/>
      <c r="E97" s="5"/>
      <c r="F97"/>
      <c r="G97" s="5"/>
      <c r="H97" s="5"/>
      <c r="I97"/>
      <c r="J97"/>
      <c r="L97"/>
    </row>
    <row r="98" spans="1:12" s="7" customFormat="1" x14ac:dyDescent="0.25">
      <c r="A98" s="9"/>
      <c r="B98" s="2"/>
      <c r="C98"/>
      <c r="D98"/>
      <c r="E98" s="3"/>
      <c r="F98" s="3"/>
      <c r="G98"/>
      <c r="H98"/>
      <c r="I98"/>
      <c r="J98"/>
      <c r="L98"/>
    </row>
    <row r="99" spans="1:12" s="7" customFormat="1" x14ac:dyDescent="0.25">
      <c r="A99" s="9"/>
      <c r="B99" s="2"/>
      <c r="C99"/>
      <c r="D99"/>
      <c r="E99" s="3"/>
      <c r="F99" s="3"/>
      <c r="G99"/>
      <c r="H99"/>
      <c r="I99"/>
      <c r="J99"/>
      <c r="L99"/>
    </row>
    <row r="100" spans="1:12" s="7" customFormat="1" x14ac:dyDescent="0.25">
      <c r="A100" s="9"/>
      <c r="B100" s="2"/>
      <c r="C100"/>
      <c r="D100"/>
      <c r="E100" s="3"/>
      <c r="F100"/>
      <c r="G100"/>
      <c r="H100"/>
      <c r="I100" s="5"/>
      <c r="J100" s="5"/>
      <c r="L100"/>
    </row>
    <row r="101" spans="1:12" s="7" customFormat="1" x14ac:dyDescent="0.25">
      <c r="A101" s="13"/>
      <c r="B101" s="2"/>
      <c r="C101"/>
      <c r="D101"/>
      <c r="E101"/>
      <c r="F101"/>
      <c r="G101"/>
      <c r="H101"/>
      <c r="I101"/>
      <c r="J101"/>
      <c r="L101"/>
    </row>
    <row r="102" spans="1:12" s="7" customFormat="1" x14ac:dyDescent="0.25">
      <c r="A102"/>
      <c r="B102"/>
      <c r="C102"/>
      <c r="D102"/>
      <c r="E102"/>
      <c r="F102"/>
      <c r="G102"/>
      <c r="H102"/>
      <c r="I102"/>
      <c r="J102"/>
      <c r="L102"/>
    </row>
    <row r="103" spans="1:12" s="7" customFormat="1" x14ac:dyDescent="0.25">
      <c r="A103" s="11"/>
      <c r="B103"/>
      <c r="C103"/>
      <c r="D103"/>
      <c r="E103"/>
      <c r="F103"/>
      <c r="G103"/>
      <c r="H103"/>
      <c r="I103"/>
      <c r="J103"/>
      <c r="L103"/>
    </row>
    <row r="104" spans="1:12" s="7" customFormat="1" x14ac:dyDescent="0.25">
      <c r="A104" s="9"/>
      <c r="B104" s="2"/>
      <c r="C104"/>
      <c r="D104" s="5"/>
      <c r="E104" s="5"/>
      <c r="F104"/>
      <c r="G104" s="5"/>
      <c r="H104" s="5"/>
      <c r="I104"/>
      <c r="J104"/>
      <c r="L104"/>
    </row>
    <row r="105" spans="1:12" s="7" customFormat="1" x14ac:dyDescent="0.25">
      <c r="A105" s="9"/>
      <c r="B105" s="2"/>
      <c r="C105"/>
      <c r="D105"/>
      <c r="E105" s="3"/>
      <c r="F105" s="3"/>
      <c r="G105"/>
      <c r="H105"/>
      <c r="I105"/>
      <c r="J105"/>
      <c r="L105"/>
    </row>
    <row r="106" spans="1:12" s="7" customFormat="1" x14ac:dyDescent="0.25">
      <c r="A106" s="13"/>
      <c r="B106" s="2"/>
      <c r="C106"/>
      <c r="D106"/>
      <c r="E106" s="3"/>
      <c r="F106" s="3"/>
      <c r="G106"/>
      <c r="H106"/>
      <c r="I106"/>
      <c r="J106"/>
      <c r="L106"/>
    </row>
    <row r="107" spans="1:12" s="7" customFormat="1" x14ac:dyDescent="0.25">
      <c r="A107" s="9"/>
      <c r="B107" s="2"/>
      <c r="C107"/>
      <c r="D107" s="5"/>
      <c r="E107" s="5"/>
      <c r="F107"/>
      <c r="G107"/>
      <c r="H107"/>
      <c r="I107"/>
      <c r="J107"/>
      <c r="L107"/>
    </row>
    <row r="108" spans="1:12" s="7" customFormat="1" x14ac:dyDescent="0.25">
      <c r="A108" s="9"/>
      <c r="B108" s="2"/>
      <c r="C108"/>
      <c r="D108" s="5"/>
      <c r="E108" s="5"/>
      <c r="F108"/>
      <c r="G108"/>
      <c r="H108"/>
      <c r="I108"/>
      <c r="J108"/>
      <c r="L108"/>
    </row>
    <row r="109" spans="1:12" s="7" customFormat="1" x14ac:dyDescent="0.25">
      <c r="A109" s="11"/>
      <c r="B109"/>
      <c r="C109"/>
      <c r="D109"/>
      <c r="E109"/>
      <c r="F109"/>
      <c r="G109"/>
      <c r="H109"/>
      <c r="I109"/>
      <c r="J109"/>
      <c r="L109"/>
    </row>
    <row r="110" spans="1:12" s="7" customFormat="1" x14ac:dyDescent="0.25">
      <c r="A110" s="9"/>
      <c r="B110" s="2"/>
      <c r="C110"/>
      <c r="D110" s="5"/>
      <c r="E110" s="5"/>
      <c r="F110"/>
      <c r="G110" s="5"/>
      <c r="H110" s="5"/>
      <c r="I110"/>
      <c r="J110"/>
      <c r="L110"/>
    </row>
    <row r="111" spans="1:12" s="7" customFormat="1" x14ac:dyDescent="0.25">
      <c r="A111" s="9"/>
      <c r="B111" s="2"/>
      <c r="C111"/>
      <c r="D111"/>
      <c r="E111" s="3"/>
      <c r="F111" s="3"/>
      <c r="G111"/>
      <c r="H111"/>
      <c r="I111"/>
      <c r="J111"/>
      <c r="L111"/>
    </row>
    <row r="112" spans="1:12" s="7" customFormat="1" x14ac:dyDescent="0.25">
      <c r="A112" s="13"/>
      <c r="B112" s="2"/>
      <c r="C112"/>
      <c r="D112"/>
      <c r="E112" s="3"/>
      <c r="F112" s="3"/>
      <c r="G112"/>
      <c r="H112"/>
      <c r="I112"/>
      <c r="J112"/>
      <c r="L112"/>
    </row>
    <row r="113" spans="1:12" s="7" customFormat="1" x14ac:dyDescent="0.25">
      <c r="A113" s="9"/>
      <c r="B113" s="2"/>
      <c r="C113"/>
      <c r="D113"/>
      <c r="E113"/>
      <c r="F113" s="3"/>
      <c r="G113"/>
      <c r="H113"/>
      <c r="I113" s="5"/>
      <c r="J113" s="5"/>
      <c r="L113"/>
    </row>
    <row r="114" spans="1:12" s="7" customFormat="1" x14ac:dyDescent="0.25">
      <c r="A114"/>
      <c r="B114"/>
      <c r="C114"/>
      <c r="D114"/>
      <c r="E114"/>
      <c r="F114"/>
      <c r="G114"/>
      <c r="H114"/>
      <c r="I114"/>
      <c r="J114"/>
      <c r="L114"/>
    </row>
    <row r="115" spans="1:12" s="7" customFormat="1" x14ac:dyDescent="0.25">
      <c r="A115"/>
      <c r="B115"/>
      <c r="C115"/>
      <c r="D115"/>
      <c r="E115"/>
      <c r="F115"/>
      <c r="G115"/>
      <c r="H115"/>
      <c r="I115"/>
      <c r="J115"/>
      <c r="L115"/>
    </row>
    <row r="116" spans="1:12" s="7" customFormat="1" x14ac:dyDescent="0.25">
      <c r="A116" s="9"/>
      <c r="B116" s="2"/>
      <c r="C116" s="4"/>
      <c r="D116"/>
      <c r="E116" s="3"/>
      <c r="F116" s="6"/>
      <c r="G116"/>
      <c r="H116"/>
      <c r="I116"/>
      <c r="J116"/>
      <c r="L116"/>
    </row>
  </sheetData>
  <pageMargins left="0.7" right="0.7" top="0.75" bottom="0.75" header="0.3" footer="0.3"/>
  <pageSetup scale="96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 xsi:nil="true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126702-57D4-4766-ACA7-265472EE775E}">
  <ds:schemaRefs>
    <ds:schemaRef ds:uri="http://schemas.microsoft.com/office/2006/metadata/properties"/>
    <ds:schemaRef ds:uri="http://schemas.microsoft.com/office/infopath/2007/PartnerControls"/>
    <ds:schemaRef ds:uri="8cafe7d8-4bd4-4378-b54d-cfdec05ca8b5"/>
    <ds:schemaRef ds:uri="1a253495-b0d9-40a4-8e1c-242bf5431677"/>
  </ds:schemaRefs>
</ds:datastoreItem>
</file>

<file path=customXml/itemProps2.xml><?xml version="1.0" encoding="utf-8"?>
<ds:datastoreItem xmlns:ds="http://schemas.openxmlformats.org/officeDocument/2006/customXml" ds:itemID="{567288B8-0D02-464E-B34A-512BCA47F1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4931AE-0854-4AAB-AB59-61356455A6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53495-b0d9-40a4-8e1c-242bf5431677"/>
    <ds:schemaRef ds:uri="8cafe7d8-4bd4-4378-b54d-cfdec05ca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NIDA June 2024 Agonists</vt:lpstr>
      <vt:lpstr>NIDA June 2024 Antagonists</vt:lpstr>
      <vt:lpstr>Agonists-Fentanyl &amp; Morphine</vt:lpstr>
      <vt:lpstr>Antagonists-Fentanyl &amp; Morphine</vt:lpstr>
      <vt:lpstr>'NIDA June 2024 Agonists'!Print_Area</vt:lpstr>
      <vt:lpstr>'NIDA June 2024 Antagonists'!Print_Area</vt:lpstr>
    </vt:vector>
  </TitlesOfParts>
  <Company>OHSU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Eshleman</dc:creator>
  <cp:lastModifiedBy>Laura Kozell</cp:lastModifiedBy>
  <cp:lastPrinted>2024-10-11T21:50:37Z</cp:lastPrinted>
  <dcterms:created xsi:type="dcterms:W3CDTF">2013-05-13T18:51:33Z</dcterms:created>
  <dcterms:modified xsi:type="dcterms:W3CDTF">2024-10-11T21:57:18Z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0x010100D7AC21113D08CA4AA11B94D049CCA957</vt:lpwstr>
  </property>
  <property fmtid="{D5CDD505-2E9C-101B-9397-08002B2CF9AE}" pid="3" name="Order">
    <vt:r8>8400</vt:r8>
  </property>
  <property fmtid="{D5CDD505-2E9C-101B-9397-08002B2CF9AE}" pid="4" name="MediaServiceImageTags">
    <vt:lpwstr/>
  </property>
</Properties>
</file>