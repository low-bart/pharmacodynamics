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5th contract/Fiscal 2024/34485-94 DA 5HT Jan 2024/Data/"/>
    </mc:Choice>
  </mc:AlternateContent>
  <xr:revisionPtr revIDLastSave="2493" documentId="11_5946F5E8991078A24C329E8753EEFDDDDE4B6458" xr6:coauthVersionLast="47" xr6:coauthVersionMax="47" xr10:uidLastSave="{3213BD9B-007C-4441-A6D6-06416AD60BA0}"/>
  <bookViews>
    <workbookView xWindow="135" yWindow="1035" windowWidth="28665" windowHeight="15165" tabRatio="500" activeTab="1" xr2:uid="{00000000-000D-0000-FFFF-FFFF00000000}"/>
  </bookViews>
  <sheets>
    <sheet name="2A ag-antag" sheetId="6" r:id="rId1"/>
    <sheet name="2B ag-antag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56" i="7" l="1"/>
  <c r="H156" i="7"/>
  <c r="H148" i="7"/>
  <c r="G148" i="7"/>
  <c r="H141" i="7"/>
  <c r="G141" i="7"/>
  <c r="H134" i="7"/>
  <c r="G134" i="7"/>
  <c r="G92" i="6"/>
  <c r="D92" i="6"/>
  <c r="D82" i="6"/>
  <c r="D70" i="6"/>
  <c r="D60" i="6"/>
  <c r="D50" i="6"/>
  <c r="I208" i="6"/>
  <c r="I164" i="6"/>
  <c r="I163" i="6"/>
  <c r="I151" i="6"/>
  <c r="I161" i="6"/>
  <c r="I162" i="6"/>
  <c r="H155" i="6"/>
  <c r="G155" i="6"/>
  <c r="E155" i="6"/>
  <c r="D155" i="6"/>
  <c r="H143" i="6"/>
  <c r="G143" i="6"/>
  <c r="E143" i="6"/>
  <c r="D143" i="6"/>
  <c r="I149" i="6"/>
  <c r="I150" i="6"/>
  <c r="E202" i="6"/>
  <c r="D202" i="6"/>
  <c r="H202" i="6"/>
  <c r="G202" i="6"/>
  <c r="E157" i="6" l="1"/>
  <c r="I207" i="6" l="1"/>
  <c r="I148" i="6"/>
  <c r="I147" i="6"/>
  <c r="I160" i="6"/>
  <c r="I159" i="6"/>
  <c r="G70" i="6"/>
  <c r="I78" i="6"/>
  <c r="I77" i="6"/>
  <c r="G72" i="7"/>
  <c r="D72" i="7"/>
  <c r="I79" i="7"/>
  <c r="I78" i="7"/>
  <c r="D183" i="6"/>
  <c r="D176" i="6"/>
  <c r="D168" i="6"/>
  <c r="D136" i="6"/>
  <c r="D128" i="6"/>
  <c r="D120" i="6"/>
  <c r="D189" i="6"/>
  <c r="H195" i="6"/>
  <c r="G195" i="6"/>
  <c r="H176" i="6"/>
  <c r="G176" i="6"/>
  <c r="H82" i="6"/>
  <c r="G82" i="6"/>
  <c r="E82" i="6"/>
  <c r="I88" i="6"/>
  <c r="I87" i="6"/>
  <c r="H70" i="6"/>
  <c r="E70" i="6"/>
  <c r="I76" i="6"/>
  <c r="I75" i="6"/>
  <c r="G60" i="6"/>
  <c r="I66" i="6"/>
  <c r="I56" i="6"/>
  <c r="G27" i="6"/>
  <c r="D27" i="6"/>
  <c r="I34" i="6"/>
  <c r="I33" i="6"/>
  <c r="I22" i="6"/>
  <c r="I23" i="6"/>
  <c r="H16" i="6"/>
  <c r="G16" i="6"/>
  <c r="E16" i="6"/>
  <c r="D16" i="6"/>
  <c r="D6" i="6"/>
  <c r="I12" i="6"/>
  <c r="H105" i="6"/>
  <c r="G105" i="6"/>
  <c r="E105" i="6"/>
  <c r="D105" i="6"/>
  <c r="I115" i="6"/>
  <c r="I114" i="6"/>
  <c r="E195" i="6"/>
  <c r="D195" i="6"/>
  <c r="E176" i="6"/>
  <c r="I133" i="6"/>
  <c r="I132" i="6"/>
  <c r="I199" i="6"/>
  <c r="I125" i="6"/>
  <c r="I180" i="6"/>
  <c r="I172" i="6"/>
  <c r="E168" i="6"/>
  <c r="E84" i="6" l="1"/>
  <c r="E72" i="6"/>
  <c r="H6" i="6"/>
  <c r="G6" i="6"/>
  <c r="E6" i="6"/>
  <c r="G126" i="7" l="1"/>
  <c r="D126" i="7"/>
  <c r="G83" i="7"/>
  <c r="D83" i="7"/>
  <c r="I130" i="7"/>
  <c r="I88" i="7"/>
  <c r="I77" i="7"/>
  <c r="I76" i="7"/>
  <c r="H72" i="7"/>
  <c r="E72" i="7"/>
  <c r="E74" i="7" s="1"/>
  <c r="I113" i="6"/>
  <c r="I96" i="6"/>
  <c r="I95" i="6"/>
  <c r="I86" i="6"/>
  <c r="I65" i="6"/>
  <c r="I55" i="6"/>
  <c r="I32" i="6"/>
  <c r="I21" i="6"/>
  <c r="I11" i="6"/>
  <c r="H128" i="6"/>
  <c r="G128" i="6"/>
  <c r="E128" i="6"/>
  <c r="I124" i="6"/>
  <c r="H120" i="6"/>
  <c r="G120" i="6"/>
  <c r="E120" i="6"/>
  <c r="G183" i="6"/>
  <c r="G189" i="6"/>
  <c r="H168" i="6"/>
  <c r="G168" i="6"/>
  <c r="E145" i="6"/>
  <c r="H136" i="6"/>
  <c r="G136" i="6"/>
  <c r="E136" i="6"/>
  <c r="I140" i="6"/>
  <c r="I206" i="6"/>
  <c r="I205" i="6" l="1"/>
  <c r="D111" i="7"/>
  <c r="I151" i="7"/>
  <c r="I144" i="7"/>
  <c r="I137" i="7"/>
  <c r="I129" i="7"/>
  <c r="I122" i="7"/>
  <c r="I115" i="7"/>
  <c r="I87" i="7"/>
  <c r="I160" i="7"/>
  <c r="D99" i="7" l="1"/>
  <c r="H60" i="6"/>
  <c r="E60" i="6"/>
  <c r="H50" i="6"/>
  <c r="G50" i="6"/>
  <c r="E50" i="6"/>
  <c r="E52" i="6" s="1"/>
  <c r="E27" i="6"/>
  <c r="H27" i="6"/>
  <c r="D105" i="7" l="1"/>
  <c r="D92" i="7"/>
  <c r="I114" i="7"/>
  <c r="I95" i="7"/>
  <c r="I94" i="7"/>
  <c r="I86" i="7"/>
  <c r="E156" i="7"/>
  <c r="D156" i="7"/>
  <c r="I159" i="7"/>
  <c r="I94" i="6"/>
  <c r="I85" i="6"/>
  <c r="I73" i="6"/>
  <c r="I64" i="6"/>
  <c r="I54" i="6"/>
  <c r="I31" i="6"/>
  <c r="I20" i="6"/>
  <c r="I112" i="6"/>
  <c r="I63" i="6"/>
  <c r="I111" i="6" l="1"/>
  <c r="I75" i="7"/>
  <c r="H38" i="6" l="1"/>
  <c r="G38" i="6"/>
  <c r="H44" i="6"/>
  <c r="G44" i="6"/>
  <c r="H92" i="6"/>
  <c r="I110" i="6"/>
  <c r="I92" i="7"/>
  <c r="I93" i="7"/>
  <c r="I109" i="6" l="1"/>
  <c r="I108" i="6" l="1"/>
  <c r="I141" i="7"/>
  <c r="I148" i="7"/>
  <c r="I157" i="7"/>
  <c r="I158" i="7"/>
  <c r="I156" i="7"/>
  <c r="D148" i="7"/>
  <c r="I150" i="7"/>
  <c r="I149" i="7"/>
  <c r="E148" i="7"/>
  <c r="I143" i="7"/>
  <c r="I142" i="7"/>
  <c r="E141" i="7"/>
  <c r="D141" i="7"/>
  <c r="I136" i="7"/>
  <c r="I135" i="7"/>
  <c r="I134" i="7"/>
  <c r="E134" i="7"/>
  <c r="D134" i="7"/>
  <c r="I128" i="7"/>
  <c r="I127" i="7"/>
  <c r="I126" i="7"/>
  <c r="H126" i="7"/>
  <c r="E126" i="7"/>
  <c r="I121" i="7"/>
  <c r="I120" i="7"/>
  <c r="I119" i="7"/>
  <c r="H119" i="7"/>
  <c r="G119" i="7"/>
  <c r="E119" i="7"/>
  <c r="D119" i="7"/>
  <c r="I113" i="7"/>
  <c r="I112" i="7"/>
  <c r="I111" i="7"/>
  <c r="H111" i="7"/>
  <c r="G111" i="7"/>
  <c r="E111" i="7"/>
  <c r="E113" i="7" s="1"/>
  <c r="I108" i="7"/>
  <c r="I107" i="7"/>
  <c r="I106" i="7"/>
  <c r="I105" i="7"/>
  <c r="H105" i="7"/>
  <c r="G105" i="7"/>
  <c r="E105" i="7"/>
  <c r="I101" i="7"/>
  <c r="I100" i="7"/>
  <c r="I99" i="7"/>
  <c r="H99" i="7"/>
  <c r="G99" i="7"/>
  <c r="E99" i="7"/>
  <c r="H92" i="7"/>
  <c r="G92" i="7"/>
  <c r="E92" i="7"/>
  <c r="I85" i="7"/>
  <c r="I84" i="7"/>
  <c r="I83" i="7"/>
  <c r="H83" i="7"/>
  <c r="E83" i="7"/>
  <c r="I198" i="6"/>
  <c r="I197" i="6"/>
  <c r="I196" i="6"/>
  <c r="I195" i="6"/>
  <c r="I191" i="6"/>
  <c r="I190" i="6"/>
  <c r="I189" i="6"/>
  <c r="H189" i="6"/>
  <c r="E189" i="6"/>
  <c r="I185" i="6"/>
  <c r="I184" i="6"/>
  <c r="I183" i="6"/>
  <c r="H183" i="6"/>
  <c r="E183" i="6"/>
  <c r="I179" i="6"/>
  <c r="I178" i="6"/>
  <c r="I177" i="6"/>
  <c r="I176" i="6"/>
  <c r="I171" i="6"/>
  <c r="I170" i="6"/>
  <c r="I169" i="6"/>
  <c r="I168" i="6"/>
  <c r="I158" i="6"/>
  <c r="I157" i="6"/>
  <c r="I156" i="6"/>
  <c r="I155" i="6"/>
  <c r="I146" i="6"/>
  <c r="I145" i="6"/>
  <c r="I144" i="6"/>
  <c r="I143" i="6"/>
  <c r="I139" i="6"/>
  <c r="I138" i="6"/>
  <c r="I137" i="6"/>
  <c r="I136" i="6"/>
  <c r="I131" i="6"/>
  <c r="I130" i="6"/>
  <c r="I129" i="6"/>
  <c r="I128" i="6"/>
  <c r="I123" i="6"/>
  <c r="I122" i="6"/>
  <c r="I121" i="6"/>
  <c r="I120" i="6"/>
  <c r="I63" i="7"/>
  <c r="I62" i="7"/>
  <c r="I61" i="7"/>
  <c r="I60" i="7"/>
  <c r="H60" i="7"/>
  <c r="G60" i="7"/>
  <c r="E60" i="7"/>
  <c r="D60" i="7"/>
  <c r="I57" i="7"/>
  <c r="I56" i="7"/>
  <c r="I55" i="7"/>
  <c r="I54" i="7"/>
  <c r="H54" i="7"/>
  <c r="G54" i="7"/>
  <c r="E54" i="7"/>
  <c r="D54" i="7"/>
  <c r="I51" i="7"/>
  <c r="I50" i="7"/>
  <c r="I49" i="7"/>
  <c r="I48" i="7"/>
  <c r="H48" i="7"/>
  <c r="G48" i="7"/>
  <c r="E48" i="7"/>
  <c r="D48" i="7"/>
  <c r="I45" i="7"/>
  <c r="I44" i="7"/>
  <c r="I43" i="7"/>
  <c r="I42" i="7"/>
  <c r="H42" i="7"/>
  <c r="G42" i="7"/>
  <c r="E42" i="7"/>
  <c r="D42" i="7"/>
  <c r="I39" i="7"/>
  <c r="I38" i="7"/>
  <c r="I37" i="7"/>
  <c r="I36" i="7"/>
  <c r="H36" i="7"/>
  <c r="G36" i="7"/>
  <c r="E36" i="7"/>
  <c r="D36" i="7"/>
  <c r="I33" i="7"/>
  <c r="I32" i="7"/>
  <c r="I31" i="7"/>
  <c r="I30" i="7"/>
  <c r="H30" i="7"/>
  <c r="G30" i="7"/>
  <c r="E30" i="7"/>
  <c r="D30" i="7"/>
  <c r="I27" i="7"/>
  <c r="I26" i="7"/>
  <c r="I25" i="7"/>
  <c r="I24" i="7"/>
  <c r="H24" i="7"/>
  <c r="G24" i="7"/>
  <c r="E24" i="7"/>
  <c r="D24" i="7"/>
  <c r="I21" i="7"/>
  <c r="I20" i="7"/>
  <c r="I19" i="7"/>
  <c r="I18" i="7"/>
  <c r="H18" i="7"/>
  <c r="G18" i="7"/>
  <c r="E18" i="7"/>
  <c r="D18" i="7"/>
  <c r="I15" i="7"/>
  <c r="I14" i="7"/>
  <c r="I13" i="7"/>
  <c r="I12" i="7"/>
  <c r="H12" i="7"/>
  <c r="G12" i="7"/>
  <c r="E12" i="7"/>
  <c r="D12" i="7"/>
  <c r="I9" i="7"/>
  <c r="I8" i="7"/>
  <c r="I7" i="7"/>
  <c r="I6" i="7"/>
  <c r="H6" i="7"/>
  <c r="G6" i="7"/>
  <c r="E6" i="7"/>
  <c r="D6" i="7"/>
  <c r="I97" i="6"/>
  <c r="I93" i="6"/>
  <c r="I92" i="6"/>
  <c r="E92" i="6"/>
  <c r="I84" i="6"/>
  <c r="I83" i="6"/>
  <c r="I82" i="6"/>
  <c r="I74" i="6"/>
  <c r="I72" i="6"/>
  <c r="I71" i="6"/>
  <c r="I70" i="6"/>
  <c r="I62" i="6"/>
  <c r="I61" i="6"/>
  <c r="I60" i="6"/>
  <c r="I53" i="6"/>
  <c r="I52" i="6"/>
  <c r="I51" i="6"/>
  <c r="I50" i="6"/>
  <c r="I45" i="6"/>
  <c r="I44" i="6"/>
  <c r="E44" i="6"/>
  <c r="D44" i="6"/>
  <c r="I39" i="6"/>
  <c r="I38" i="6"/>
  <c r="E38" i="6"/>
  <c r="D38" i="6"/>
  <c r="I30" i="6"/>
  <c r="I29" i="6"/>
  <c r="I28" i="6"/>
  <c r="I27" i="6"/>
  <c r="I18" i="6"/>
  <c r="I17" i="6"/>
  <c r="I16" i="6"/>
  <c r="I10" i="6"/>
  <c r="I74" i="7"/>
  <c r="I73" i="7"/>
  <c r="I72" i="7"/>
  <c r="I202" i="6"/>
  <c r="I204" i="6"/>
  <c r="I203" i="6"/>
  <c r="I107" i="6"/>
  <c r="I106" i="6"/>
  <c r="I105" i="6"/>
  <c r="E107" i="6"/>
  <c r="I8" i="6"/>
  <c r="I7" i="6"/>
  <c r="I6" i="6"/>
  <c r="E94" i="6" l="1"/>
  <c r="E107" i="7"/>
  <c r="E8" i="6"/>
  <c r="E121" i="7"/>
  <c r="E62" i="6"/>
  <c r="E197" i="6"/>
  <c r="E191" i="6"/>
  <c r="E185" i="6"/>
  <c r="E178" i="6"/>
  <c r="E138" i="6"/>
  <c r="E130" i="6"/>
  <c r="E122" i="6"/>
  <c r="E29" i="6"/>
  <c r="E40" i="6"/>
  <c r="E46" i="6"/>
  <c r="E18" i="6"/>
  <c r="E94" i="7"/>
  <c r="E85" i="7"/>
  <c r="E8" i="7"/>
  <c r="E14" i="7"/>
  <c r="E26" i="7"/>
  <c r="E32" i="7"/>
  <c r="E44" i="7"/>
  <c r="E150" i="7"/>
  <c r="E143" i="7"/>
  <c r="E101" i="7"/>
  <c r="E128" i="7"/>
  <c r="E136" i="7"/>
  <c r="E170" i="6"/>
  <c r="E62" i="7"/>
  <c r="E56" i="7"/>
  <c r="E50" i="7"/>
  <c r="E20" i="7"/>
  <c r="E38" i="7"/>
  <c r="E158" i="7"/>
  <c r="E204" i="6"/>
</calcChain>
</file>

<file path=xl/sharedStrings.xml><?xml version="1.0" encoding="utf-8"?>
<sst xmlns="http://schemas.openxmlformats.org/spreadsheetml/2006/main" count="937" uniqueCount="126">
  <si>
    <t>HEK-h5HT2A #20</t>
  </si>
  <si>
    <t>Passage#:</t>
  </si>
  <si>
    <t>IP1 Functional assay</t>
  </si>
  <si>
    <t>Agonists</t>
  </si>
  <si>
    <t>date</t>
  </si>
  <si>
    <t>5HT EC50</t>
  </si>
  <si>
    <t>ave</t>
  </si>
  <si>
    <t>sem</t>
  </si>
  <si>
    <t>5HT % max</t>
  </si>
  <si>
    <t>ave %</t>
  </si>
  <si>
    <t>log EC50</t>
  </si>
  <si>
    <t>N=</t>
  </si>
  <si>
    <t>&gt;10000</t>
  </si>
  <si>
    <t>constrain top to 25</t>
  </si>
  <si>
    <t>Standards</t>
  </si>
  <si>
    <t>5HT</t>
  </si>
  <si>
    <t>-6 to -10</t>
  </si>
  <si>
    <t>Antagonists</t>
  </si>
  <si>
    <t>IC50</t>
  </si>
  <si>
    <t>log IC50</t>
  </si>
  <si>
    <t>Ketanserin</t>
  </si>
  <si>
    <t>5HT IC50</t>
  </si>
  <si>
    <t>HEK-h5HT2B #1</t>
  </si>
  <si>
    <t>not constrained</t>
  </si>
  <si>
    <t>RS127445</t>
  </si>
  <si>
    <t>-5 to -9</t>
  </si>
  <si>
    <t>5 point 2nd curve</t>
  </si>
  <si>
    <t>KS</t>
  </si>
  <si>
    <t>N=2 Done</t>
  </si>
  <si>
    <t>5 pt</t>
  </si>
  <si>
    <t>15.75*</t>
  </si>
  <si>
    <t>5 pt curve</t>
  </si>
  <si>
    <t>%max inh</t>
  </si>
  <si>
    <t>flat line over 100%</t>
  </si>
  <si>
    <t>JS</t>
  </si>
  <si>
    <t>Flat line at 0</t>
  </si>
  <si>
    <t>-5, -7, -9</t>
  </si>
  <si>
    <t>-6 to -11</t>
  </si>
  <si>
    <t>Grubbs outlier</t>
  </si>
  <si>
    <t>180.6*</t>
  </si>
  <si>
    <t>100*</t>
  </si>
  <si>
    <t>flat line</t>
  </si>
  <si>
    <t>8/21/24 - bad std curve</t>
  </si>
  <si>
    <t>11450*</t>
  </si>
  <si>
    <t>3298*</t>
  </si>
  <si>
    <t>6937*</t>
  </si>
  <si>
    <t>87.68*</t>
  </si>
  <si>
    <t>73.9*</t>
  </si>
  <si>
    <t>78.51*</t>
  </si>
  <si>
    <t>375.8*</t>
  </si>
  <si>
    <t>76.16*</t>
  </si>
  <si>
    <t>25.23*</t>
  </si>
  <si>
    <t>3.225*</t>
  </si>
  <si>
    <t>428.7*</t>
  </si>
  <si>
    <t>5.553*</t>
  </si>
  <si>
    <t>&gt;10,000</t>
  </si>
  <si>
    <t>3 pt/EC50 is not accurate</t>
  </si>
  <si>
    <t>78.75*</t>
  </si>
  <si>
    <t>82.03*</t>
  </si>
  <si>
    <t>1.493*</t>
  </si>
  <si>
    <t>0.9887*</t>
  </si>
  <si>
    <t>8.208*</t>
  </si>
  <si>
    <t>N=3, Done</t>
  </si>
  <si>
    <t>N=4, Done</t>
  </si>
  <si>
    <t>N=4</t>
  </si>
  <si>
    <t>74.82*</t>
  </si>
  <si>
    <t>66.19*</t>
  </si>
  <si>
    <t>168.7*</t>
  </si>
  <si>
    <t>149.6*</t>
  </si>
  <si>
    <t>216.4*</t>
  </si>
  <si>
    <t>2781*</t>
  </si>
  <si>
    <t>7704*</t>
  </si>
  <si>
    <t>7200*</t>
  </si>
  <si>
    <t>152.6*</t>
  </si>
  <si>
    <t>109.2*</t>
  </si>
  <si>
    <t>N=3</t>
  </si>
  <si>
    <t>70.67*</t>
  </si>
  <si>
    <t>98.36*</t>
  </si>
  <si>
    <t>99.57*</t>
  </si>
  <si>
    <t>81.92*</t>
  </si>
  <si>
    <t>64.58*</t>
  </si>
  <si>
    <t>Problem with the assay. All data on this date excluded</t>
  </si>
  <si>
    <t>constrain top to 12.  Curve is flat until -5.</t>
  </si>
  <si>
    <t>problems with assay</t>
  </si>
  <si>
    <t>54.93*</t>
  </si>
  <si>
    <t>25.91*</t>
  </si>
  <si>
    <t>EC50 ~20</t>
  </si>
  <si>
    <t>Constrain to 25</t>
  </si>
  <si>
    <t>&gt;4000</t>
  </si>
  <si>
    <t>8, 9, 11</t>
  </si>
  <si>
    <t>Exclude - no curve</t>
  </si>
  <si>
    <t>Problem with 5HT stimulation on plate, EC50 looks ok but max is not</t>
  </si>
  <si>
    <t>47.82*</t>
  </si>
  <si>
    <t>21.87*</t>
  </si>
  <si>
    <t>778.1*</t>
  </si>
  <si>
    <t>Grubbs</t>
  </si>
  <si>
    <t>27.22*</t>
  </si>
  <si>
    <t>20.05*</t>
  </si>
  <si>
    <t>ROUT &amp; Grubb</t>
  </si>
  <si>
    <t>20.37*</t>
  </si>
  <si>
    <t>45.5*</t>
  </si>
  <si>
    <t>19,  13</t>
  </si>
  <si>
    <t>695.2*</t>
  </si>
  <si>
    <t>Grubbs Outlier</t>
  </si>
  <si>
    <t>1487*</t>
  </si>
  <si>
    <t>22.61*</t>
  </si>
  <si>
    <t>2330*</t>
  </si>
  <si>
    <t>18.69*</t>
  </si>
  <si>
    <t>3549*</t>
  </si>
  <si>
    <t>21.08*</t>
  </si>
  <si>
    <t>N=7</t>
  </si>
  <si>
    <t>N=5</t>
  </si>
  <si>
    <t>17, 8, 9, 10, 11</t>
  </si>
  <si>
    <t>166.5*</t>
  </si>
  <si>
    <t>Problem with assay</t>
  </si>
  <si>
    <t>477.2*</t>
  </si>
  <si>
    <t>335.3*</t>
  </si>
  <si>
    <t>92.28*</t>
  </si>
  <si>
    <t>82.88*</t>
  </si>
  <si>
    <t>29.39*</t>
  </si>
  <si>
    <t>106*</t>
  </si>
  <si>
    <t>bad assay</t>
  </si>
  <si>
    <t>658.9*</t>
  </si>
  <si>
    <t>609.2*</t>
  </si>
  <si>
    <t>NIDA Jan 2024</t>
  </si>
  <si>
    <t>34485-34494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</si>
</sst>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m/d/yy;@"/>
    <numFmt numFmtId="167" formatCode="0.00000"/>
    <numFmt numFmtId="168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/>
    </xf>
    <xf numFmtId="17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0" fontId="8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7" fillId="0" borderId="0" xfId="0" applyFont="1"/>
    <xf numFmtId="0" fontId="3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7" fontId="4" fillId="0" borderId="0" xfId="0" applyNumberFormat="1" applyFont="1" applyAlignment="1">
      <alignment horizontal="left" wrapText="1"/>
    </xf>
    <xf numFmtId="0" fontId="4" fillId="0" borderId="0" xfId="0" quotePrefix="1" applyFont="1" applyAlignment="1">
      <alignment horizontal="left"/>
    </xf>
    <xf numFmtId="2" fontId="7" fillId="0" borderId="0" xfId="0" applyNumberFormat="1" applyFont="1" applyAlignment="1">
      <alignment horizontal="center"/>
    </xf>
    <xf numFmtId="0" fontId="2" fillId="0" borderId="0" xfId="0" applyFont="1"/>
    <xf numFmtId="165" fontId="4" fillId="0" borderId="0" xfId="0" applyNumberFormat="1" applyFont="1" applyAlignment="1">
      <alignment horizontal="center"/>
    </xf>
    <xf numFmtId="167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" fillId="0" borderId="0" xfId="0" applyFont="1"/>
    <xf numFmtId="166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1" xfId="0" applyFont="1" applyBorder="1"/>
    <xf numFmtId="0" fontId="10" fillId="0" borderId="0" xfId="0" applyFont="1" applyAlignment="1">
      <alignment horizontal="left"/>
    </xf>
    <xf numFmtId="9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0" xfId="0" quotePrefix="1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" fontId="9" fillId="0" borderId="0" xfId="0" applyNumberFormat="1" applyFont="1" applyAlignment="1">
      <alignment horizontal="left" wrapText="1"/>
    </xf>
    <xf numFmtId="164" fontId="10" fillId="0" borderId="0" xfId="0" applyNumberFormat="1" applyFont="1" applyAlignment="1">
      <alignment horizontal="center"/>
    </xf>
    <xf numFmtId="14" fontId="10" fillId="0" borderId="0" xfId="0" applyNumberFormat="1" applyFont="1"/>
    <xf numFmtId="14" fontId="11" fillId="0" borderId="0" xfId="0" applyNumberFormat="1" applyFont="1" applyAlignment="1">
      <alignment horizontal="center"/>
    </xf>
    <xf numFmtId="0" fontId="10" fillId="0" borderId="0" xfId="0" quotePrefix="1" applyFont="1" applyAlignment="1">
      <alignment horizontal="left"/>
    </xf>
    <xf numFmtId="165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2" fillId="0" borderId="0" xfId="0" applyFont="1"/>
    <xf numFmtId="0" fontId="7" fillId="0" borderId="2" xfId="0" applyFont="1" applyBorder="1"/>
    <xf numFmtId="10" fontId="9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left"/>
    </xf>
    <xf numFmtId="167" fontId="10" fillId="0" borderId="0" xfId="0" applyNumberFormat="1" applyFont="1" applyAlignment="1">
      <alignment horizontal="left" wrapText="1"/>
    </xf>
    <xf numFmtId="0" fontId="10" fillId="0" borderId="0" xfId="0" applyFont="1"/>
    <xf numFmtId="10" fontId="5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2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4" fontId="7" fillId="0" borderId="1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7" fillId="0" borderId="0" xfId="0" applyNumberFormat="1" applyFont="1"/>
    <xf numFmtId="14" fontId="14" fillId="0" borderId="0" xfId="0" applyNumberFormat="1" applyFont="1"/>
    <xf numFmtId="0" fontId="15" fillId="0" borderId="0" xfId="0" quotePrefix="1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opLeftCell="A167" workbookViewId="0">
      <selection activeCell="D195" sqref="D195"/>
    </sheetView>
  </sheetViews>
  <sheetFormatPr defaultColWidth="9.140625" defaultRowHeight="14.25" x14ac:dyDescent="0.2"/>
  <cols>
    <col min="1" max="1" width="30.7109375" style="21" customWidth="1"/>
    <col min="2" max="2" width="10.28515625" style="21" bestFit="1" customWidth="1"/>
    <col min="3" max="3" width="10.85546875" style="21" customWidth="1"/>
    <col min="4" max="4" width="12" style="21" customWidth="1"/>
    <col min="5" max="5" width="9.28515625" style="21" bestFit="1" customWidth="1"/>
    <col min="6" max="6" width="15.7109375" style="21" customWidth="1"/>
    <col min="7" max="8" width="8.140625" style="21" customWidth="1"/>
    <col min="9" max="9" width="8.5703125" style="73" customWidth="1"/>
    <col min="10" max="10" width="4.5703125" style="43" customWidth="1"/>
    <col min="11" max="16384" width="9.140625" style="21"/>
  </cols>
  <sheetData>
    <row r="1" spans="1:13" ht="15" x14ac:dyDescent="0.25">
      <c r="A1" s="7" t="s">
        <v>124</v>
      </c>
      <c r="B1" s="2"/>
      <c r="C1" s="3" t="s">
        <v>0</v>
      </c>
      <c r="D1" s="2"/>
      <c r="E1" s="2"/>
      <c r="F1" s="2" t="s">
        <v>1</v>
      </c>
      <c r="G1" s="2" t="s">
        <v>101</v>
      </c>
      <c r="H1" s="5"/>
      <c r="I1" s="57"/>
      <c r="J1" s="61"/>
      <c r="K1" s="6"/>
      <c r="L1" s="2"/>
    </row>
    <row r="2" spans="1:13" ht="15" x14ac:dyDescent="0.25">
      <c r="A2" s="7" t="s">
        <v>125</v>
      </c>
      <c r="B2" s="2"/>
      <c r="C2" s="3" t="s">
        <v>2</v>
      </c>
      <c r="D2" s="2"/>
      <c r="E2" s="2"/>
      <c r="F2" s="2"/>
      <c r="G2" s="2"/>
      <c r="H2" s="2"/>
      <c r="I2" s="57"/>
      <c r="J2" s="61"/>
      <c r="K2" s="6"/>
      <c r="L2" s="2"/>
    </row>
    <row r="3" spans="1:13" ht="15" x14ac:dyDescent="0.25">
      <c r="A3" s="7"/>
      <c r="B3" s="2"/>
      <c r="C3" s="3"/>
      <c r="D3" s="2"/>
      <c r="E3" s="2"/>
      <c r="F3" s="2"/>
      <c r="G3" s="2"/>
      <c r="H3" s="2"/>
      <c r="I3" s="57"/>
      <c r="J3" s="61"/>
      <c r="K3" s="6"/>
      <c r="L3" s="2"/>
    </row>
    <row r="4" spans="1:13" ht="15" x14ac:dyDescent="0.25">
      <c r="A4" s="8" t="s">
        <v>3</v>
      </c>
      <c r="B4" s="2"/>
      <c r="C4" s="3"/>
      <c r="D4" s="2"/>
      <c r="E4" s="2"/>
      <c r="F4" s="2"/>
      <c r="G4" s="2"/>
      <c r="H4" s="2"/>
      <c r="I4" s="57"/>
      <c r="J4" s="61"/>
      <c r="K4" s="6"/>
      <c r="L4" s="2"/>
    </row>
    <row r="5" spans="1:13" ht="15" x14ac:dyDescent="0.25">
      <c r="A5" s="51">
        <v>34485</v>
      </c>
      <c r="B5" s="2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7</v>
      </c>
      <c r="I5" s="29" t="s">
        <v>10</v>
      </c>
      <c r="K5" s="6"/>
      <c r="L5" s="2"/>
      <c r="M5" s="6"/>
    </row>
    <row r="6" spans="1:13" x14ac:dyDescent="0.2">
      <c r="A6" s="28" t="s">
        <v>25</v>
      </c>
      <c r="B6" s="54">
        <v>45435</v>
      </c>
      <c r="C6" s="2" t="s">
        <v>55</v>
      </c>
      <c r="D6" s="38">
        <f>AVERAGE(C6:C13)</f>
        <v>95.217500000000001</v>
      </c>
      <c r="E6" s="38">
        <f>STDEV(C6:C14)/SQRT(COUNT(C6:C14))</f>
        <v>24.525752579346744</v>
      </c>
      <c r="F6" s="2"/>
      <c r="G6" s="29">
        <f>AVERAGE(F6:F13)</f>
        <v>19.7075</v>
      </c>
      <c r="H6" s="29">
        <f>STDEV(F6:F14)/SQRT(COUNT(F6:F14))</f>
        <v>4.5991473394532623</v>
      </c>
      <c r="I6" s="29" t="e">
        <f t="shared" ref="I6:I7" si="0">LOG(C6*0.000000001)</f>
        <v>#VALUE!</v>
      </c>
      <c r="J6" s="43" t="s">
        <v>34</v>
      </c>
      <c r="K6" s="28" t="s">
        <v>82</v>
      </c>
      <c r="L6" s="40"/>
    </row>
    <row r="7" spans="1:13" x14ac:dyDescent="0.2">
      <c r="A7" s="28" t="s">
        <v>36</v>
      </c>
      <c r="B7" s="12">
        <v>45498</v>
      </c>
      <c r="C7" s="2">
        <v>101.4</v>
      </c>
      <c r="D7" s="10"/>
      <c r="E7" s="10"/>
      <c r="F7" s="2">
        <v>17.54</v>
      </c>
      <c r="G7" s="10"/>
      <c r="H7" s="10"/>
      <c r="I7" s="29">
        <f t="shared" si="0"/>
        <v>-6.9939620450026831</v>
      </c>
      <c r="J7" s="43" t="s">
        <v>27</v>
      </c>
      <c r="K7" s="28" t="s">
        <v>56</v>
      </c>
      <c r="L7" s="2"/>
    </row>
    <row r="8" spans="1:13" ht="15" x14ac:dyDescent="0.25">
      <c r="A8" s="28" t="s">
        <v>25</v>
      </c>
      <c r="B8" s="12">
        <v>45505</v>
      </c>
      <c r="C8" s="2">
        <v>162.1</v>
      </c>
      <c r="D8" s="10"/>
      <c r="E8" s="17">
        <f>E6/D6</f>
        <v>0.25757610291539629</v>
      </c>
      <c r="F8" s="2">
        <v>12.83</v>
      </c>
      <c r="G8" s="10"/>
      <c r="H8" s="10"/>
      <c r="I8" s="29">
        <f>LOG(C8*0.000000001)</f>
        <v>-6.7902169851514849</v>
      </c>
      <c r="J8" s="43" t="s">
        <v>27</v>
      </c>
      <c r="K8" s="10" t="s">
        <v>29</v>
      </c>
      <c r="L8" s="2"/>
    </row>
    <row r="9" spans="1:13" ht="15" x14ac:dyDescent="0.25">
      <c r="B9" s="44">
        <v>45560</v>
      </c>
      <c r="C9" s="2"/>
      <c r="D9" s="10"/>
      <c r="E9" s="17"/>
      <c r="G9" s="2">
        <v>-8.875</v>
      </c>
      <c r="H9" s="10"/>
      <c r="I9" s="29"/>
      <c r="J9" s="43" t="s">
        <v>27</v>
      </c>
      <c r="K9" s="49" t="s">
        <v>83</v>
      </c>
      <c r="L9" s="2"/>
    </row>
    <row r="10" spans="1:13" ht="15" x14ac:dyDescent="0.25">
      <c r="A10" s="45"/>
      <c r="B10" s="44">
        <v>45562</v>
      </c>
      <c r="C10" s="2"/>
      <c r="D10" s="10"/>
      <c r="E10" s="17"/>
      <c r="G10" s="2">
        <v>-11.3</v>
      </c>
      <c r="H10" s="10"/>
      <c r="I10" s="29" t="e">
        <f>LOG(C10*0.000000001)</f>
        <v>#NUM!</v>
      </c>
      <c r="J10" s="43" t="s">
        <v>27</v>
      </c>
      <c r="K10" s="49" t="s">
        <v>83</v>
      </c>
      <c r="L10" s="2"/>
    </row>
    <row r="11" spans="1:13" ht="15" x14ac:dyDescent="0.25">
      <c r="B11" s="18">
        <v>45568</v>
      </c>
      <c r="C11" s="2">
        <v>54.36</v>
      </c>
      <c r="D11" s="10"/>
      <c r="E11" s="17"/>
      <c r="F11" s="2">
        <v>33.200000000000003</v>
      </c>
      <c r="G11" s="10"/>
      <c r="H11" s="10"/>
      <c r="I11" s="29">
        <f>LOG(C11*0.000000001)</f>
        <v>-7.2647205519395435</v>
      </c>
      <c r="J11" s="43" t="s">
        <v>27</v>
      </c>
      <c r="K11" s="61"/>
      <c r="L11" s="2"/>
    </row>
    <row r="12" spans="1:13" ht="15" x14ac:dyDescent="0.25">
      <c r="A12" s="28" t="s">
        <v>25</v>
      </c>
      <c r="B12" s="18">
        <v>45569</v>
      </c>
      <c r="C12" s="2">
        <v>63.01</v>
      </c>
      <c r="D12" s="10"/>
      <c r="E12" s="17"/>
      <c r="F12" s="2">
        <v>15.26</v>
      </c>
      <c r="G12" s="10"/>
      <c r="H12" s="10"/>
      <c r="I12" s="29">
        <f>LOG(C12*0.000000001)</f>
        <v>-7.200590520384873</v>
      </c>
      <c r="J12" s="43" t="s">
        <v>34</v>
      </c>
      <c r="K12" s="61"/>
      <c r="L12" s="2"/>
    </row>
    <row r="13" spans="1:13" ht="15" x14ac:dyDescent="0.25">
      <c r="A13" s="11" t="s">
        <v>64</v>
      </c>
      <c r="B13" s="18"/>
      <c r="C13" s="2"/>
      <c r="D13" s="10"/>
      <c r="E13" s="17"/>
      <c r="F13" s="2"/>
      <c r="G13" s="10"/>
      <c r="H13" s="10"/>
      <c r="I13" s="29"/>
      <c r="K13" s="61"/>
      <c r="L13" s="2"/>
    </row>
    <row r="14" spans="1:13" ht="15" x14ac:dyDescent="0.25">
      <c r="A14" s="45"/>
      <c r="B14" s="12"/>
      <c r="C14" s="2"/>
      <c r="D14" s="10"/>
      <c r="E14" s="17"/>
      <c r="F14" s="2"/>
      <c r="G14" s="10"/>
      <c r="H14" s="10"/>
      <c r="I14" s="29"/>
      <c r="K14" s="6"/>
      <c r="L14" s="2"/>
    </row>
    <row r="15" spans="1:13" ht="15" x14ac:dyDescent="0.25">
      <c r="A15" s="51">
        <v>34486</v>
      </c>
      <c r="B15" s="2" t="s">
        <v>4</v>
      </c>
      <c r="C15" s="10" t="s">
        <v>5</v>
      </c>
      <c r="D15" s="10" t="s">
        <v>6</v>
      </c>
      <c r="E15" s="10" t="s">
        <v>7</v>
      </c>
      <c r="F15" s="10" t="s">
        <v>8</v>
      </c>
      <c r="G15" s="10" t="s">
        <v>9</v>
      </c>
      <c r="H15" s="10" t="s">
        <v>7</v>
      </c>
      <c r="I15" s="29" t="s">
        <v>10</v>
      </c>
      <c r="K15" s="10"/>
      <c r="L15" s="2"/>
    </row>
    <row r="16" spans="1:13" x14ac:dyDescent="0.2">
      <c r="A16" s="28" t="s">
        <v>25</v>
      </c>
      <c r="B16" s="44">
        <v>45435</v>
      </c>
      <c r="C16" s="42" t="s">
        <v>102</v>
      </c>
      <c r="D16" s="56">
        <f>AVERAGE(C16:C25)</f>
        <v>39.024999999999999</v>
      </c>
      <c r="E16" s="56">
        <f>STDEV(C16:C25)/SQRT(COUNT(C16:C25))</f>
        <v>6.0391079639297747</v>
      </c>
      <c r="F16" s="42" t="s">
        <v>93</v>
      </c>
      <c r="G16" s="29">
        <f>AVERAGE(F16:F25)</f>
        <v>23.04</v>
      </c>
      <c r="H16" s="29">
        <f>STDEV(F16:F25)/SQRT(COUNT(F16:F25))</f>
        <v>6.2592185348225886</v>
      </c>
      <c r="I16" s="68" t="e">
        <f t="shared" ref="I16:I17" si="1">LOG(C16*0.000000001)</f>
        <v>#VALUE!</v>
      </c>
      <c r="J16" s="40" t="s">
        <v>34</v>
      </c>
      <c r="K16" s="55" t="s">
        <v>38</v>
      </c>
      <c r="L16" s="40"/>
    </row>
    <row r="17" spans="1:12" x14ac:dyDescent="0.2">
      <c r="A17" s="28" t="s">
        <v>36</v>
      </c>
      <c r="B17" s="12">
        <v>45498</v>
      </c>
      <c r="C17" s="2">
        <v>32.99</v>
      </c>
      <c r="D17" s="10"/>
      <c r="E17" s="10"/>
      <c r="F17" s="2">
        <v>18.989999999999998</v>
      </c>
      <c r="G17" s="10"/>
      <c r="H17" s="10"/>
      <c r="I17" s="29">
        <f t="shared" si="1"/>
        <v>-7.4816176844546565</v>
      </c>
      <c r="J17" s="43" t="s">
        <v>27</v>
      </c>
      <c r="K17" s="28" t="s">
        <v>56</v>
      </c>
      <c r="L17" s="2"/>
    </row>
    <row r="18" spans="1:12" ht="15" x14ac:dyDescent="0.25">
      <c r="A18" s="28" t="s">
        <v>25</v>
      </c>
      <c r="B18" s="44">
        <v>45505</v>
      </c>
      <c r="C18" s="42" t="s">
        <v>41</v>
      </c>
      <c r="D18" s="10"/>
      <c r="E18" s="17">
        <f>E16/D16</f>
        <v>0.15474972361126907</v>
      </c>
      <c r="F18" s="2" t="s">
        <v>30</v>
      </c>
      <c r="G18" s="10"/>
      <c r="H18" s="10"/>
      <c r="I18" s="29" t="e">
        <f>LOG(C18*0.000000001)</f>
        <v>#VALUE!</v>
      </c>
      <c r="J18" s="43" t="s">
        <v>27</v>
      </c>
      <c r="K18" s="43" t="s">
        <v>90</v>
      </c>
      <c r="L18" s="2"/>
    </row>
    <row r="19" spans="1:12" ht="15" x14ac:dyDescent="0.25">
      <c r="B19" s="44">
        <v>45560</v>
      </c>
      <c r="C19" s="2"/>
      <c r="D19" s="10"/>
      <c r="E19" s="17"/>
      <c r="G19" s="2">
        <v>-2.605</v>
      </c>
      <c r="H19" s="10"/>
      <c r="I19" s="29"/>
      <c r="K19" s="6" t="s">
        <v>41</v>
      </c>
      <c r="L19" s="2"/>
    </row>
    <row r="20" spans="1:12" ht="15" x14ac:dyDescent="0.25">
      <c r="A20" s="45"/>
      <c r="B20" s="44">
        <v>45562</v>
      </c>
      <c r="C20" s="2"/>
      <c r="D20" s="10"/>
      <c r="E20" s="17"/>
      <c r="G20" s="2">
        <v>-12.399999999999999</v>
      </c>
      <c r="H20" s="10"/>
      <c r="I20" s="29" t="e">
        <f>LOG(C20*0.000000001)</f>
        <v>#NUM!</v>
      </c>
      <c r="J20" s="43" t="s">
        <v>27</v>
      </c>
      <c r="K20" s="49" t="s">
        <v>83</v>
      </c>
      <c r="L20" s="2"/>
    </row>
    <row r="21" spans="1:12" ht="15" x14ac:dyDescent="0.25">
      <c r="A21" s="45"/>
      <c r="B21" s="44">
        <v>45568</v>
      </c>
      <c r="C21" s="2">
        <v>36.409999999999997</v>
      </c>
      <c r="D21" s="10"/>
      <c r="E21" s="17"/>
      <c r="F21" s="2">
        <v>41.66</v>
      </c>
      <c r="G21" s="10"/>
      <c r="H21" s="10"/>
      <c r="I21" s="29">
        <f t="shared" ref="I21:I23" si="2">LOG(C21*0.000000001)</f>
        <v>-7.4387793210660567</v>
      </c>
      <c r="J21" s="43" t="s">
        <v>27</v>
      </c>
      <c r="K21" s="49" t="s">
        <v>83</v>
      </c>
      <c r="L21" s="2"/>
    </row>
    <row r="22" spans="1:12" ht="15" x14ac:dyDescent="0.25">
      <c r="A22" s="28" t="s">
        <v>25</v>
      </c>
      <c r="B22" s="18">
        <v>45569</v>
      </c>
      <c r="C22" s="2">
        <v>29.99</v>
      </c>
      <c r="D22" s="10"/>
      <c r="E22" s="17"/>
      <c r="F22" s="2">
        <v>16.420000000000002</v>
      </c>
      <c r="G22" s="10"/>
      <c r="H22" s="10"/>
      <c r="I22" s="29">
        <f>LOG(C22*0.000000001)</f>
        <v>-7.5230235342404725</v>
      </c>
      <c r="J22" s="43" t="s">
        <v>34</v>
      </c>
      <c r="K22" s="49"/>
      <c r="L22" s="2"/>
    </row>
    <row r="23" spans="1:12" ht="15" x14ac:dyDescent="0.25">
      <c r="A23" s="28" t="s">
        <v>25</v>
      </c>
      <c r="B23" s="18">
        <v>45569</v>
      </c>
      <c r="C23" s="2">
        <v>56.71</v>
      </c>
      <c r="D23" s="10"/>
      <c r="E23" s="17"/>
      <c r="F23" s="2">
        <v>15.09</v>
      </c>
      <c r="G23" s="10"/>
      <c r="H23" s="10"/>
      <c r="I23" s="29">
        <f t="shared" si="2"/>
        <v>-7.2463403527140011</v>
      </c>
      <c r="J23" s="43" t="s">
        <v>34</v>
      </c>
      <c r="K23" s="49"/>
      <c r="L23" s="2"/>
    </row>
    <row r="24" spans="1:12" ht="15" x14ac:dyDescent="0.25">
      <c r="A24" s="11" t="s">
        <v>64</v>
      </c>
      <c r="B24" s="44"/>
      <c r="C24" s="2"/>
      <c r="D24" s="10"/>
      <c r="E24" s="17"/>
      <c r="F24" s="2"/>
      <c r="G24" s="10"/>
      <c r="H24" s="10"/>
      <c r="I24" s="29"/>
      <c r="K24" s="6"/>
      <c r="L24" s="2"/>
    </row>
    <row r="25" spans="1:12" ht="15" x14ac:dyDescent="0.25">
      <c r="A25" s="45"/>
      <c r="B25" s="12"/>
      <c r="C25" s="2"/>
      <c r="D25" s="10"/>
      <c r="E25" s="17"/>
      <c r="F25" s="2"/>
      <c r="G25" s="10"/>
      <c r="H25" s="10"/>
      <c r="I25" s="29"/>
      <c r="K25" s="6"/>
      <c r="L25" s="2"/>
    </row>
    <row r="26" spans="1:12" ht="15" x14ac:dyDescent="0.25">
      <c r="A26" s="51">
        <v>34487</v>
      </c>
      <c r="B26" s="2" t="s">
        <v>4</v>
      </c>
      <c r="C26" s="10" t="s">
        <v>5</v>
      </c>
      <c r="D26" s="10" t="s">
        <v>6</v>
      </c>
      <c r="E26" s="10" t="s">
        <v>7</v>
      </c>
      <c r="F26" s="10" t="s">
        <v>8</v>
      </c>
      <c r="G26" s="10" t="s">
        <v>9</v>
      </c>
      <c r="H26" s="10" t="s">
        <v>7</v>
      </c>
      <c r="I26" s="29" t="s">
        <v>10</v>
      </c>
      <c r="K26" s="6"/>
      <c r="L26" s="2"/>
    </row>
    <row r="27" spans="1:12" x14ac:dyDescent="0.2">
      <c r="A27" s="28" t="s">
        <v>25</v>
      </c>
      <c r="B27" s="44">
        <v>45435</v>
      </c>
      <c r="C27" s="42" t="s">
        <v>108</v>
      </c>
      <c r="D27" s="38">
        <f>AVERAGE(C27:C36)</f>
        <v>132.45500000000001</v>
      </c>
      <c r="E27" s="38">
        <f>STDEV(C27:C36)/SQRT(COUNT(C27:C36))</f>
        <v>41.89069039376966</v>
      </c>
      <c r="F27" s="42" t="s">
        <v>109</v>
      </c>
      <c r="G27" s="29">
        <f>AVERAGE(F27:F36)</f>
        <v>18.760000000000002</v>
      </c>
      <c r="H27" s="29">
        <f>STDEV(F27:F36)/SQRT(COUNT(F27:F36))</f>
        <v>5.6041680916974643</v>
      </c>
      <c r="I27" s="68" t="e">
        <f t="shared" ref="I27:I28" si="3">LOG(C27*0.000000001)</f>
        <v>#VALUE!</v>
      </c>
      <c r="J27" s="40" t="s">
        <v>34</v>
      </c>
      <c r="K27" s="55" t="s">
        <v>38</v>
      </c>
      <c r="L27" s="40"/>
    </row>
    <row r="28" spans="1:12" x14ac:dyDescent="0.2">
      <c r="A28" s="28" t="s">
        <v>36</v>
      </c>
      <c r="B28" s="12">
        <v>45504</v>
      </c>
      <c r="C28" s="2">
        <v>242.4</v>
      </c>
      <c r="D28" s="10"/>
      <c r="E28" s="10"/>
      <c r="F28" s="2">
        <v>12.77</v>
      </c>
      <c r="G28" s="10"/>
      <c r="H28" s="10"/>
      <c r="I28" s="29">
        <f t="shared" si="3"/>
        <v>-6.6154673845057514</v>
      </c>
      <c r="J28" s="43" t="s">
        <v>27</v>
      </c>
      <c r="K28" s="28" t="s">
        <v>56</v>
      </c>
      <c r="L28" s="2"/>
    </row>
    <row r="29" spans="1:12" ht="15" x14ac:dyDescent="0.25">
      <c r="A29" s="28" t="s">
        <v>25</v>
      </c>
      <c r="B29" s="44">
        <v>45525</v>
      </c>
      <c r="C29" s="42" t="s">
        <v>53</v>
      </c>
      <c r="D29" s="10"/>
      <c r="E29" s="17">
        <f>E27/D27</f>
        <v>0.31626356418232349</v>
      </c>
      <c r="F29" s="42" t="s">
        <v>54</v>
      </c>
      <c r="G29" s="10"/>
      <c r="H29" s="10"/>
      <c r="I29" s="29" t="e">
        <f>LOG(C29*0.000000001)</f>
        <v>#VALUE!</v>
      </c>
      <c r="J29" s="43" t="s">
        <v>27</v>
      </c>
      <c r="K29" s="15" t="s">
        <v>42</v>
      </c>
      <c r="L29" s="2"/>
    </row>
    <row r="30" spans="1:12" ht="15" x14ac:dyDescent="0.25">
      <c r="B30" s="44">
        <v>45560</v>
      </c>
      <c r="C30" s="2"/>
      <c r="D30" s="10"/>
      <c r="E30" s="17"/>
      <c r="G30" s="2">
        <v>-3.3550000000000004</v>
      </c>
      <c r="H30" s="10"/>
      <c r="I30" s="29" t="e">
        <f>LOG(C30*0.000000001)</f>
        <v>#NUM!</v>
      </c>
      <c r="K30" s="6" t="s">
        <v>41</v>
      </c>
      <c r="L30" s="2"/>
    </row>
    <row r="31" spans="1:12" ht="15" x14ac:dyDescent="0.25">
      <c r="A31" s="45"/>
      <c r="B31" s="44">
        <v>45562</v>
      </c>
      <c r="C31" s="2"/>
      <c r="D31" s="10"/>
      <c r="E31" s="17"/>
      <c r="G31" s="57">
        <v>-12.114999999999998</v>
      </c>
      <c r="H31" s="10"/>
      <c r="I31" s="29" t="e">
        <f>LOG(C31*0.000000001)</f>
        <v>#NUM!</v>
      </c>
      <c r="J31" s="43" t="s">
        <v>27</v>
      </c>
      <c r="K31" s="49" t="s">
        <v>83</v>
      </c>
      <c r="L31" s="2"/>
    </row>
    <row r="32" spans="1:12" ht="15" x14ac:dyDescent="0.25">
      <c r="A32" s="45"/>
      <c r="B32" s="12">
        <v>45568</v>
      </c>
      <c r="C32" s="2">
        <v>74.569999999999993</v>
      </c>
      <c r="D32" s="10"/>
      <c r="E32" s="17"/>
      <c r="F32" s="57">
        <v>35.35</v>
      </c>
      <c r="G32" s="10"/>
      <c r="H32" s="10"/>
      <c r="I32" s="29">
        <f t="shared" ref="I32:I34" si="4">LOG(C32*0.000000001)</f>
        <v>-7.1274358569093481</v>
      </c>
      <c r="J32" s="43" t="s">
        <v>27</v>
      </c>
      <c r="K32" s="49" t="s">
        <v>83</v>
      </c>
      <c r="L32" s="2"/>
    </row>
    <row r="33" spans="1:12" ht="15" x14ac:dyDescent="0.25">
      <c r="A33" s="28" t="s">
        <v>25</v>
      </c>
      <c r="B33" s="18">
        <v>45569</v>
      </c>
      <c r="C33" s="2">
        <v>60.25</v>
      </c>
      <c r="D33" s="10"/>
      <c r="E33" s="17"/>
      <c r="F33" s="57">
        <v>15.65</v>
      </c>
      <c r="G33" s="10"/>
      <c r="H33" s="10"/>
      <c r="I33" s="29">
        <f t="shared" si="4"/>
        <v>-7.2200429487530942</v>
      </c>
      <c r="J33" s="43" t="s">
        <v>34</v>
      </c>
      <c r="K33" s="49"/>
      <c r="L33" s="2"/>
    </row>
    <row r="34" spans="1:12" ht="15" x14ac:dyDescent="0.25">
      <c r="A34" s="28" t="s">
        <v>25</v>
      </c>
      <c r="B34" s="18">
        <v>45569</v>
      </c>
      <c r="C34" s="2">
        <v>152.6</v>
      </c>
      <c r="D34" s="10"/>
      <c r="E34" s="17"/>
      <c r="F34" s="57">
        <v>11.27</v>
      </c>
      <c r="G34" s="10"/>
      <c r="H34" s="10"/>
      <c r="I34" s="29">
        <f t="shared" si="4"/>
        <v>-6.816445466381138</v>
      </c>
      <c r="J34" s="43" t="s">
        <v>34</v>
      </c>
      <c r="K34" s="49"/>
      <c r="L34" s="2"/>
    </row>
    <row r="35" spans="1:12" ht="15" x14ac:dyDescent="0.25">
      <c r="A35" s="11" t="s">
        <v>64</v>
      </c>
      <c r="B35" s="12"/>
      <c r="C35" s="2"/>
      <c r="D35" s="10"/>
      <c r="E35" s="17"/>
      <c r="F35" s="57"/>
      <c r="G35" s="10"/>
      <c r="H35" s="10"/>
      <c r="I35" s="29"/>
      <c r="K35" s="49"/>
      <c r="L35" s="2"/>
    </row>
    <row r="36" spans="1:12" ht="15" x14ac:dyDescent="0.25">
      <c r="A36" s="45"/>
      <c r="B36" s="12"/>
      <c r="C36" s="2"/>
      <c r="D36" s="10"/>
      <c r="E36" s="17"/>
      <c r="F36" s="2"/>
      <c r="G36" s="10"/>
      <c r="H36" s="10"/>
      <c r="I36" s="29"/>
      <c r="K36" s="6"/>
      <c r="L36" s="2"/>
    </row>
    <row r="37" spans="1:12" ht="15" x14ac:dyDescent="0.25">
      <c r="A37" s="9">
        <v>34488</v>
      </c>
      <c r="B37" s="2" t="s">
        <v>4</v>
      </c>
      <c r="C37" s="10" t="s">
        <v>5</v>
      </c>
      <c r="D37" s="10" t="s">
        <v>6</v>
      </c>
      <c r="E37" s="10" t="s">
        <v>7</v>
      </c>
      <c r="F37" s="10" t="s">
        <v>8</v>
      </c>
      <c r="G37" s="10" t="s">
        <v>9</v>
      </c>
      <c r="H37" s="10" t="s">
        <v>7</v>
      </c>
      <c r="I37" s="29" t="s">
        <v>10</v>
      </c>
      <c r="K37" s="6"/>
      <c r="L37" s="2"/>
    </row>
    <row r="38" spans="1:12" x14ac:dyDescent="0.2">
      <c r="A38" s="28" t="s">
        <v>25</v>
      </c>
      <c r="B38" s="54">
        <v>45435</v>
      </c>
      <c r="C38" s="2" t="s">
        <v>12</v>
      </c>
      <c r="D38" s="13" t="e">
        <f>AVERAGE(C38:C41)</f>
        <v>#DIV/0!</v>
      </c>
      <c r="E38" s="13" t="e">
        <f>STDEV(C38:C41)/SQRT(COUNT(C38:C41))</f>
        <v>#DIV/0!</v>
      </c>
      <c r="F38" s="2">
        <v>-6.23</v>
      </c>
      <c r="G38" s="29">
        <f>AVERAGE(F38:F41)</f>
        <v>-4.62</v>
      </c>
      <c r="H38" s="29">
        <f>STDEV(F38:F41)/SQRT(COUNT(F38:F41))</f>
        <v>1.6100000000000005</v>
      </c>
      <c r="I38" s="29" t="e">
        <f t="shared" ref="I38:I39" si="5">LOG(C38*0.000000001)</f>
        <v>#VALUE!</v>
      </c>
      <c r="J38" s="43" t="s">
        <v>34</v>
      </c>
      <c r="K38" s="6"/>
      <c r="L38" s="40"/>
    </row>
    <row r="39" spans="1:12" x14ac:dyDescent="0.2">
      <c r="A39" s="28" t="s">
        <v>36</v>
      </c>
      <c r="B39" s="12">
        <v>45504</v>
      </c>
      <c r="C39" s="2" t="s">
        <v>12</v>
      </c>
      <c r="D39" s="10"/>
      <c r="E39" s="10"/>
      <c r="F39" s="2">
        <v>-3.01</v>
      </c>
      <c r="G39" s="10"/>
      <c r="H39" s="10"/>
      <c r="I39" s="29" t="e">
        <f t="shared" si="5"/>
        <v>#VALUE!</v>
      </c>
      <c r="J39" s="43" t="s">
        <v>27</v>
      </c>
      <c r="K39" s="36"/>
      <c r="L39" s="13"/>
    </row>
    <row r="40" spans="1:12" ht="15" x14ac:dyDescent="0.25">
      <c r="A40" s="45"/>
      <c r="B40" s="12"/>
      <c r="C40" s="2"/>
      <c r="D40" s="10"/>
      <c r="E40" s="17" t="e">
        <f>E38/D38</f>
        <v>#DIV/0!</v>
      </c>
      <c r="F40" s="2"/>
      <c r="G40" s="10"/>
      <c r="H40" s="10"/>
      <c r="I40" s="29"/>
      <c r="K40" s="36"/>
      <c r="L40" s="13"/>
    </row>
    <row r="41" spans="1:12" ht="15" x14ac:dyDescent="0.25">
      <c r="A41" s="45" t="s">
        <v>28</v>
      </c>
      <c r="B41" s="12"/>
      <c r="C41" s="2"/>
      <c r="D41" s="10"/>
      <c r="E41" s="17"/>
      <c r="F41" s="2"/>
      <c r="G41" s="10"/>
      <c r="H41" s="10"/>
      <c r="I41" s="29"/>
      <c r="K41" s="58"/>
      <c r="L41" s="2"/>
    </row>
    <row r="42" spans="1:12" ht="15" x14ac:dyDescent="0.25">
      <c r="A42" s="45"/>
      <c r="B42" s="12"/>
      <c r="C42" s="2"/>
      <c r="D42" s="10"/>
      <c r="E42" s="17"/>
      <c r="F42" s="2"/>
      <c r="G42" s="10"/>
      <c r="H42" s="10"/>
      <c r="I42" s="29"/>
      <c r="K42" s="58"/>
      <c r="L42" s="2"/>
    </row>
    <row r="43" spans="1:12" ht="15" x14ac:dyDescent="0.25">
      <c r="A43" s="9">
        <v>34489</v>
      </c>
      <c r="B43" s="2" t="s">
        <v>4</v>
      </c>
      <c r="C43" s="10" t="s">
        <v>5</v>
      </c>
      <c r="D43" s="10" t="s">
        <v>6</v>
      </c>
      <c r="E43" s="10" t="s">
        <v>7</v>
      </c>
      <c r="F43" s="10" t="s">
        <v>8</v>
      </c>
      <c r="G43" s="10" t="s">
        <v>9</v>
      </c>
      <c r="H43" s="10" t="s">
        <v>7</v>
      </c>
      <c r="I43" s="29" t="s">
        <v>10</v>
      </c>
      <c r="K43" s="58"/>
      <c r="L43" s="2"/>
    </row>
    <row r="44" spans="1:12" x14ac:dyDescent="0.2">
      <c r="A44" s="28" t="s">
        <v>25</v>
      </c>
      <c r="B44" s="54">
        <v>45435</v>
      </c>
      <c r="C44" s="2" t="s">
        <v>12</v>
      </c>
      <c r="D44" s="13" t="e">
        <f>AVERAGE(C44:C47)</f>
        <v>#DIV/0!</v>
      </c>
      <c r="E44" s="13" t="e">
        <f>STDEV(C44:C47)/SQRT(COUNT(C44:C47))</f>
        <v>#DIV/0!</v>
      </c>
      <c r="F44" s="2">
        <v>-6.57</v>
      </c>
      <c r="G44" s="29">
        <f>AVERAGE(F44:F47)</f>
        <v>-4.6500000000000004</v>
      </c>
      <c r="H44" s="29">
        <f>STDEV(F44:F47)/SQRT(COUNT(F44:F47))</f>
        <v>1.9199999999999997</v>
      </c>
      <c r="I44" s="29" t="e">
        <f t="shared" ref="I44:I45" si="6">LOG(C44*0.000000001)</f>
        <v>#VALUE!</v>
      </c>
      <c r="J44" s="43" t="s">
        <v>34</v>
      </c>
      <c r="K44" s="58"/>
      <c r="L44" s="40"/>
    </row>
    <row r="45" spans="1:12" x14ac:dyDescent="0.2">
      <c r="A45" s="28" t="s">
        <v>36</v>
      </c>
      <c r="B45" s="12">
        <v>45504</v>
      </c>
      <c r="C45" s="2" t="s">
        <v>12</v>
      </c>
      <c r="D45" s="10"/>
      <c r="E45" s="10"/>
      <c r="F45" s="2">
        <v>-2.73</v>
      </c>
      <c r="G45" s="10"/>
      <c r="H45" s="10"/>
      <c r="I45" s="29" t="e">
        <f t="shared" si="6"/>
        <v>#VALUE!</v>
      </c>
      <c r="J45" s="43" t="s">
        <v>27</v>
      </c>
      <c r="K45" s="6"/>
      <c r="L45" s="2"/>
    </row>
    <row r="46" spans="1:12" ht="15" x14ac:dyDescent="0.25">
      <c r="A46" s="45"/>
      <c r="B46" s="12"/>
      <c r="C46" s="2"/>
      <c r="D46" s="10"/>
      <c r="E46" s="17" t="e">
        <f>E44/D44</f>
        <v>#DIV/0!</v>
      </c>
      <c r="F46" s="2"/>
      <c r="G46" s="10"/>
      <c r="H46" s="10"/>
      <c r="I46" s="29"/>
      <c r="K46" s="6"/>
      <c r="L46" s="2"/>
    </row>
    <row r="47" spans="1:12" ht="15" x14ac:dyDescent="0.25">
      <c r="A47" s="45" t="s">
        <v>28</v>
      </c>
      <c r="B47" s="12"/>
      <c r="C47" s="2"/>
      <c r="D47" s="10"/>
      <c r="E47" s="17"/>
      <c r="F47" s="2"/>
      <c r="G47" s="10"/>
      <c r="H47" s="10"/>
      <c r="I47" s="29"/>
      <c r="K47" s="6"/>
      <c r="L47" s="2"/>
    </row>
    <row r="48" spans="1:12" ht="15" x14ac:dyDescent="0.25">
      <c r="A48" s="45"/>
      <c r="B48" s="12"/>
      <c r="C48" s="2"/>
      <c r="D48" s="10"/>
      <c r="E48" s="17"/>
      <c r="F48" s="2"/>
      <c r="G48" s="10"/>
      <c r="H48" s="10"/>
      <c r="I48" s="29"/>
      <c r="K48" s="6"/>
      <c r="L48" s="2"/>
    </row>
    <row r="49" spans="1:13" ht="15" x14ac:dyDescent="0.25">
      <c r="A49" s="51">
        <v>34490</v>
      </c>
      <c r="B49" s="2" t="s">
        <v>4</v>
      </c>
      <c r="C49" s="10" t="s">
        <v>5</v>
      </c>
      <c r="D49" s="10" t="s">
        <v>6</v>
      </c>
      <c r="E49" s="10" t="s">
        <v>7</v>
      </c>
      <c r="F49" s="10" t="s">
        <v>8</v>
      </c>
      <c r="G49" s="10" t="s">
        <v>9</v>
      </c>
      <c r="H49" s="10" t="s">
        <v>7</v>
      </c>
      <c r="I49" s="29" t="s">
        <v>10</v>
      </c>
      <c r="K49" s="6"/>
      <c r="L49" s="2"/>
    </row>
    <row r="50" spans="1:13" x14ac:dyDescent="0.2">
      <c r="A50" s="28" t="s">
        <v>25</v>
      </c>
      <c r="B50" s="54">
        <v>45435</v>
      </c>
      <c r="C50" s="2" t="s">
        <v>94</v>
      </c>
      <c r="D50" s="56">
        <f>AVERAGE(C50:C58)</f>
        <v>83.067499999999995</v>
      </c>
      <c r="E50" s="56">
        <f>STDEV(C50:C58)/SQRT(COUNT(C50:C58))</f>
        <v>14.434178983117381</v>
      </c>
      <c r="F50" s="2" t="s">
        <v>96</v>
      </c>
      <c r="G50" s="56">
        <f>AVERAGE(F50:F58)</f>
        <v>19.127500000000001</v>
      </c>
      <c r="H50" s="56">
        <f>STDEV(F50:F58)/SQRT(COUNT(F50:F58))</f>
        <v>3.0199458466447093</v>
      </c>
      <c r="I50" s="29" t="e">
        <f t="shared" ref="I50:I51" si="7">LOG(C50*0.000000001)</f>
        <v>#VALUE!</v>
      </c>
      <c r="J50" s="61" t="s">
        <v>34</v>
      </c>
      <c r="K50" s="21" t="s">
        <v>87</v>
      </c>
      <c r="L50" s="40"/>
      <c r="M50" s="63" t="s">
        <v>95</v>
      </c>
    </row>
    <row r="51" spans="1:13" x14ac:dyDescent="0.2">
      <c r="A51" s="28" t="s">
        <v>36</v>
      </c>
      <c r="B51" s="12">
        <v>45504</v>
      </c>
      <c r="C51" s="2">
        <v>84.33</v>
      </c>
      <c r="D51" s="10"/>
      <c r="E51" s="10"/>
      <c r="F51" s="2">
        <v>16.95</v>
      </c>
      <c r="G51" s="10"/>
      <c r="H51" s="10"/>
      <c r="I51" s="29">
        <f t="shared" si="7"/>
        <v>-7.0740178996728966</v>
      </c>
      <c r="J51" s="61" t="s">
        <v>27</v>
      </c>
      <c r="K51" s="28" t="s">
        <v>56</v>
      </c>
    </row>
    <row r="52" spans="1:13" ht="15" x14ac:dyDescent="0.25">
      <c r="A52" s="28" t="s">
        <v>25</v>
      </c>
      <c r="B52" s="12">
        <v>45505</v>
      </c>
      <c r="C52" s="2">
        <v>102.7</v>
      </c>
      <c r="D52" s="10"/>
      <c r="E52" s="17">
        <f>E50/D50</f>
        <v>0.17376445641336721</v>
      </c>
      <c r="F52" s="2">
        <v>13.57</v>
      </c>
      <c r="G52" s="10"/>
      <c r="H52" s="10"/>
      <c r="I52" s="29">
        <f>LOG(C52*0.000000001)</f>
        <v>-6.9884295564027221</v>
      </c>
      <c r="J52" s="61" t="s">
        <v>27</v>
      </c>
      <c r="K52" s="21" t="s">
        <v>31</v>
      </c>
    </row>
    <row r="53" spans="1:13" ht="15" x14ac:dyDescent="0.25">
      <c r="B53" s="44">
        <v>45560</v>
      </c>
      <c r="C53" s="42" t="s">
        <v>59</v>
      </c>
      <c r="D53" s="42"/>
      <c r="E53" s="60"/>
      <c r="G53" s="42" t="s">
        <v>58</v>
      </c>
      <c r="H53" s="10"/>
      <c r="I53" s="29" t="e">
        <f>LOG(C53*0.000000001)</f>
        <v>#VALUE!</v>
      </c>
      <c r="J53" s="61" t="s">
        <v>27</v>
      </c>
      <c r="K53" s="49" t="s">
        <v>83</v>
      </c>
      <c r="L53" s="2"/>
    </row>
    <row r="54" spans="1:13" ht="15" x14ac:dyDescent="0.25">
      <c r="A54" s="11"/>
      <c r="B54" s="12">
        <v>45562</v>
      </c>
      <c r="C54" s="2"/>
      <c r="D54" s="10"/>
      <c r="E54" s="17"/>
      <c r="G54" s="2">
        <v>-8.94</v>
      </c>
      <c r="H54" s="10"/>
      <c r="I54" s="29" t="e">
        <f>LOG(C54*0.000000001)</f>
        <v>#NUM!</v>
      </c>
      <c r="J54" s="43" t="s">
        <v>27</v>
      </c>
      <c r="K54" s="49" t="s">
        <v>83</v>
      </c>
      <c r="L54" s="2"/>
    </row>
    <row r="55" spans="1:13" ht="15" x14ac:dyDescent="0.25">
      <c r="A55" s="11"/>
      <c r="B55" s="12">
        <v>45568</v>
      </c>
      <c r="C55" s="2">
        <v>103.4</v>
      </c>
      <c r="D55" s="10"/>
      <c r="E55" s="17"/>
      <c r="F55" s="2">
        <v>27.68</v>
      </c>
      <c r="G55" s="10"/>
      <c r="H55" s="10"/>
      <c r="I55" s="29">
        <f>LOG(C55*0.000000001)</f>
        <v>-6.9854794612420763</v>
      </c>
      <c r="J55" s="43" t="s">
        <v>27</v>
      </c>
      <c r="K55" s="61"/>
      <c r="L55" s="2"/>
    </row>
    <row r="56" spans="1:13" ht="15" x14ac:dyDescent="0.25">
      <c r="A56" s="28" t="s">
        <v>25</v>
      </c>
      <c r="B56" s="18">
        <v>45569</v>
      </c>
      <c r="C56" s="2">
        <v>41.84</v>
      </c>
      <c r="D56" s="10"/>
      <c r="E56" s="17"/>
      <c r="F56" s="2">
        <v>18.309999999999999</v>
      </c>
      <c r="G56" s="10"/>
      <c r="H56" s="10"/>
      <c r="I56" s="29">
        <f>LOG(C56*0.000000001)</f>
        <v>-7.3784083241407821</v>
      </c>
      <c r="J56" s="61" t="s">
        <v>34</v>
      </c>
      <c r="K56" s="61"/>
      <c r="L56" s="2"/>
    </row>
    <row r="57" spans="1:13" ht="15" x14ac:dyDescent="0.25">
      <c r="A57" s="11" t="s">
        <v>64</v>
      </c>
      <c r="B57" s="18"/>
      <c r="C57" s="2"/>
      <c r="D57" s="10"/>
      <c r="E57" s="17"/>
      <c r="F57" s="2"/>
      <c r="G57" s="10"/>
      <c r="H57" s="10"/>
      <c r="I57" s="29"/>
      <c r="K57" s="61"/>
      <c r="L57" s="2"/>
    </row>
    <row r="58" spans="1:13" ht="15" x14ac:dyDescent="0.25">
      <c r="A58" s="45"/>
      <c r="B58" s="12"/>
      <c r="C58" s="2"/>
      <c r="D58" s="10"/>
      <c r="E58" s="17"/>
      <c r="F58" s="2"/>
      <c r="G58" s="10"/>
      <c r="H58" s="10"/>
      <c r="I58" s="29"/>
      <c r="J58" s="61"/>
      <c r="K58" s="6"/>
      <c r="L58" s="2"/>
    </row>
    <row r="59" spans="1:13" ht="15" x14ac:dyDescent="0.25">
      <c r="A59" s="51">
        <v>34491</v>
      </c>
      <c r="B59" s="2" t="s">
        <v>4</v>
      </c>
      <c r="C59" s="10" t="s">
        <v>5</v>
      </c>
      <c r="D59" s="10" t="s">
        <v>6</v>
      </c>
      <c r="E59" s="10" t="s">
        <v>7</v>
      </c>
      <c r="F59" s="10" t="s">
        <v>8</v>
      </c>
      <c r="G59" s="10" t="s">
        <v>9</v>
      </c>
      <c r="H59" s="10" t="s">
        <v>7</v>
      </c>
      <c r="I59" s="29" t="s">
        <v>10</v>
      </c>
      <c r="J59" s="61"/>
      <c r="K59" s="6"/>
      <c r="L59" s="2"/>
    </row>
    <row r="60" spans="1:13" x14ac:dyDescent="0.2">
      <c r="A60" s="28" t="s">
        <v>25</v>
      </c>
      <c r="B60" s="54">
        <v>45435</v>
      </c>
      <c r="C60" s="2" t="s">
        <v>88</v>
      </c>
      <c r="D60" s="56">
        <f>AVERAGE(C60:C68)</f>
        <v>104.4</v>
      </c>
      <c r="E60" s="56">
        <f>STDEV(C60:C68)/SQRT(COUNT(C60:C68))</f>
        <v>24.146076630928395</v>
      </c>
      <c r="F60" s="2" t="s">
        <v>97</v>
      </c>
      <c r="G60" s="29">
        <f>AVERAGE(F60:F68)</f>
        <v>18.445</v>
      </c>
      <c r="H60" s="29">
        <f>STDEV(F60:F68)/SQRT(COUNT(F60:F68))</f>
        <v>5.5877253869530845</v>
      </c>
      <c r="I60" s="29" t="e">
        <f t="shared" ref="I60:I61" si="8">LOG(C60*0.000000001)</f>
        <v>#VALUE!</v>
      </c>
      <c r="J60" s="61" t="s">
        <v>34</v>
      </c>
      <c r="K60" s="28" t="s">
        <v>13</v>
      </c>
      <c r="L60" s="40"/>
      <c r="M60" s="63" t="s">
        <v>95</v>
      </c>
    </row>
    <row r="61" spans="1:13" x14ac:dyDescent="0.2">
      <c r="A61" s="28" t="s">
        <v>36</v>
      </c>
      <c r="B61" s="12">
        <v>45504</v>
      </c>
      <c r="C61" s="2">
        <v>74.31</v>
      </c>
      <c r="D61" s="10"/>
      <c r="E61" s="10"/>
      <c r="F61" s="2">
        <v>9.32</v>
      </c>
      <c r="G61" s="10"/>
      <c r="H61" s="10"/>
      <c r="I61" s="29">
        <f t="shared" si="8"/>
        <v>-7.1289527386945002</v>
      </c>
      <c r="J61" s="61" t="s">
        <v>27</v>
      </c>
      <c r="K61" s="28" t="s">
        <v>56</v>
      </c>
      <c r="L61" s="2"/>
    </row>
    <row r="62" spans="1:13" ht="15" x14ac:dyDescent="0.25">
      <c r="A62" s="28" t="s">
        <v>25</v>
      </c>
      <c r="B62" s="12">
        <v>45505</v>
      </c>
      <c r="C62" s="2">
        <v>93.24</v>
      </c>
      <c r="D62" s="10"/>
      <c r="E62" s="17">
        <f>E60/D60</f>
        <v>0.23128425891693863</v>
      </c>
      <c r="F62" s="2">
        <v>12.43</v>
      </c>
      <c r="G62" s="10"/>
      <c r="H62" s="10"/>
      <c r="I62" s="29">
        <f>LOG(C62*0.000000001)</f>
        <v>-7.0303977351514613</v>
      </c>
      <c r="J62" s="61" t="s">
        <v>27</v>
      </c>
      <c r="L62" s="2"/>
    </row>
    <row r="63" spans="1:13" ht="15" x14ac:dyDescent="0.25">
      <c r="B63" s="44">
        <v>45560</v>
      </c>
      <c r="C63" s="2"/>
      <c r="D63" s="10"/>
      <c r="E63" s="17"/>
      <c r="G63" s="68">
        <v>5.4109999999999996</v>
      </c>
      <c r="H63" s="10"/>
      <c r="I63" s="29" t="e">
        <f>LOG(C63*0.000000001)</f>
        <v>#NUM!</v>
      </c>
      <c r="J63" s="43" t="s">
        <v>27</v>
      </c>
      <c r="K63" s="49" t="s">
        <v>83</v>
      </c>
      <c r="L63" s="2"/>
    </row>
    <row r="64" spans="1:13" ht="15" x14ac:dyDescent="0.25">
      <c r="A64" s="45"/>
      <c r="B64" s="44">
        <v>45562</v>
      </c>
      <c r="C64" s="2"/>
      <c r="D64" s="10"/>
      <c r="E64" s="17"/>
      <c r="G64" s="68">
        <v>-18.125</v>
      </c>
      <c r="H64" s="10"/>
      <c r="I64" s="29" t="e">
        <f>LOG(C64*0.000000001)</f>
        <v>#NUM!</v>
      </c>
      <c r="J64" s="43" t="s">
        <v>27</v>
      </c>
      <c r="K64" s="49" t="s">
        <v>83</v>
      </c>
      <c r="L64" s="2"/>
    </row>
    <row r="65" spans="1:12" ht="15" x14ac:dyDescent="0.25">
      <c r="A65" s="45"/>
      <c r="B65" s="18">
        <v>45568</v>
      </c>
      <c r="C65" s="2">
        <v>74.45</v>
      </c>
      <c r="D65" s="10"/>
      <c r="E65" s="17"/>
      <c r="F65" s="57">
        <v>34.4</v>
      </c>
      <c r="G65" s="10"/>
      <c r="H65" s="10"/>
      <c r="I65" s="29">
        <f>LOG(C65*0.000000001)</f>
        <v>-7.1281352979118049</v>
      </c>
      <c r="J65" s="43" t="s">
        <v>27</v>
      </c>
      <c r="K65" s="61"/>
      <c r="L65" s="2"/>
    </row>
    <row r="66" spans="1:12" ht="15" x14ac:dyDescent="0.25">
      <c r="A66" s="28" t="s">
        <v>25</v>
      </c>
      <c r="B66" s="18">
        <v>45569</v>
      </c>
      <c r="C66" s="2">
        <v>175.6</v>
      </c>
      <c r="D66" s="10"/>
      <c r="E66" s="17"/>
      <c r="F66" s="57">
        <v>17.63</v>
      </c>
      <c r="G66" s="10"/>
      <c r="H66" s="10"/>
      <c r="I66" s="29">
        <f>LOG(C66*0.000000001)</f>
        <v>-6.7554754884299166</v>
      </c>
      <c r="J66" s="61" t="s">
        <v>34</v>
      </c>
      <c r="K66" s="61"/>
      <c r="L66" s="2"/>
    </row>
    <row r="67" spans="1:12" ht="15" x14ac:dyDescent="0.25">
      <c r="A67" s="11" t="s">
        <v>64</v>
      </c>
      <c r="B67" s="18"/>
      <c r="C67" s="2"/>
      <c r="D67" s="10"/>
      <c r="E67" s="17"/>
      <c r="F67" s="57"/>
      <c r="G67" s="10"/>
      <c r="H67" s="10"/>
      <c r="I67" s="29"/>
      <c r="K67" s="61"/>
      <c r="L67" s="2"/>
    </row>
    <row r="68" spans="1:12" ht="15" x14ac:dyDescent="0.25">
      <c r="A68" s="45"/>
      <c r="B68" s="12"/>
      <c r="C68" s="2"/>
      <c r="D68" s="10"/>
      <c r="E68" s="17"/>
      <c r="F68" s="2"/>
      <c r="G68" s="10"/>
      <c r="H68" s="10"/>
      <c r="I68" s="29"/>
      <c r="K68" s="6"/>
      <c r="L68" s="2"/>
    </row>
    <row r="69" spans="1:12" ht="15" x14ac:dyDescent="0.25">
      <c r="A69" s="51">
        <v>34492</v>
      </c>
      <c r="B69" s="2" t="s">
        <v>4</v>
      </c>
      <c r="C69" s="10" t="s">
        <v>5</v>
      </c>
      <c r="D69" s="10" t="s">
        <v>6</v>
      </c>
      <c r="E69" s="10" t="s">
        <v>7</v>
      </c>
      <c r="F69" s="10" t="s">
        <v>8</v>
      </c>
      <c r="G69" s="10" t="s">
        <v>9</v>
      </c>
      <c r="H69" s="10" t="s">
        <v>7</v>
      </c>
      <c r="I69" s="29" t="s">
        <v>10</v>
      </c>
      <c r="J69" s="61"/>
      <c r="K69" s="6"/>
      <c r="L69" s="2"/>
    </row>
    <row r="70" spans="1:12" x14ac:dyDescent="0.2">
      <c r="A70" s="28" t="s">
        <v>25</v>
      </c>
      <c r="B70" s="54">
        <v>45435</v>
      </c>
      <c r="C70" s="2">
        <v>1016</v>
      </c>
      <c r="D70" s="38">
        <f>AVERAGE(C70:C80)</f>
        <v>381.96857142857141</v>
      </c>
      <c r="E70" s="38">
        <f>STDEV(C70:C80)/SQRT(COUNT(C70:C80))</f>
        <v>134.6266054408155</v>
      </c>
      <c r="F70" s="2">
        <v>22.92</v>
      </c>
      <c r="G70" s="56">
        <f>AVERAGE(F70:F80)</f>
        <v>18.370714285714286</v>
      </c>
      <c r="H70" s="56">
        <f>STDEV(F70:F80)/SQRT(COUNT(F70:F80))</f>
        <v>2.8048377485905251</v>
      </c>
      <c r="I70" s="29">
        <f t="shared" ref="I70:I71" si="9">LOG(C70*0.000000001)</f>
        <v>-5.9931062920520999</v>
      </c>
      <c r="J70" s="61" t="s">
        <v>34</v>
      </c>
      <c r="L70" s="40"/>
    </row>
    <row r="71" spans="1:12" x14ac:dyDescent="0.2">
      <c r="A71" s="28" t="s">
        <v>36</v>
      </c>
      <c r="B71" s="12">
        <v>45505</v>
      </c>
      <c r="C71" s="2">
        <v>755.4</v>
      </c>
      <c r="D71" s="10"/>
      <c r="E71" s="10"/>
      <c r="F71" s="2">
        <v>9.5150000000000006</v>
      </c>
      <c r="G71" s="10"/>
      <c r="H71" s="10"/>
      <c r="I71" s="29">
        <f t="shared" si="9"/>
        <v>-6.1218230195084935</v>
      </c>
      <c r="J71" s="61" t="s">
        <v>27</v>
      </c>
      <c r="L71" s="2"/>
    </row>
    <row r="72" spans="1:12" ht="15" x14ac:dyDescent="0.25">
      <c r="A72" s="45"/>
      <c r="B72" s="44">
        <v>45560</v>
      </c>
      <c r="C72" s="42" t="s">
        <v>61</v>
      </c>
      <c r="D72" s="10"/>
      <c r="E72" s="17">
        <f>E70/D70</f>
        <v>0.35245466645936036</v>
      </c>
      <c r="G72" s="42" t="s">
        <v>40</v>
      </c>
      <c r="H72" s="42"/>
      <c r="I72" s="68" t="e">
        <f t="shared" ref="I72:I78" si="10">LOG(C72*0.000000001)</f>
        <v>#VALUE!</v>
      </c>
      <c r="J72" s="49" t="s">
        <v>27</v>
      </c>
      <c r="K72" s="49" t="s">
        <v>83</v>
      </c>
    </row>
    <row r="73" spans="1:12" ht="15" x14ac:dyDescent="0.25">
      <c r="B73" s="12">
        <v>45562</v>
      </c>
      <c r="C73" s="2"/>
      <c r="D73" s="10"/>
      <c r="E73" s="17"/>
      <c r="G73" s="2">
        <v>-13.45</v>
      </c>
      <c r="H73" s="10"/>
      <c r="I73" s="29" t="e">
        <f t="shared" si="10"/>
        <v>#NUM!</v>
      </c>
      <c r="J73" s="43" t="s">
        <v>27</v>
      </c>
      <c r="K73" s="49" t="s">
        <v>83</v>
      </c>
      <c r="L73" s="2"/>
    </row>
    <row r="74" spans="1:12" ht="15" x14ac:dyDescent="0.25">
      <c r="A74" s="45"/>
      <c r="B74" s="12">
        <v>45568</v>
      </c>
      <c r="C74" s="2">
        <v>159.30000000000001</v>
      </c>
      <c r="D74" s="10"/>
      <c r="E74" s="17"/>
      <c r="F74" s="2">
        <v>30.05</v>
      </c>
      <c r="G74" s="10"/>
      <c r="H74" s="10"/>
      <c r="I74" s="29">
        <f t="shared" si="10"/>
        <v>-6.7977842241988684</v>
      </c>
      <c r="J74" s="61"/>
      <c r="L74" s="2"/>
    </row>
    <row r="75" spans="1:12" ht="15" x14ac:dyDescent="0.25">
      <c r="A75" s="28" t="s">
        <v>25</v>
      </c>
      <c r="B75" s="18">
        <v>45569</v>
      </c>
      <c r="C75" s="2">
        <v>88.78</v>
      </c>
      <c r="D75" s="10"/>
      <c r="E75" s="17"/>
      <c r="F75" s="2">
        <v>12.82</v>
      </c>
      <c r="G75" s="10"/>
      <c r="H75" s="10"/>
      <c r="I75" s="29">
        <f t="shared" si="10"/>
        <v>-7.0516848593106518</v>
      </c>
      <c r="J75" s="61" t="s">
        <v>34</v>
      </c>
      <c r="L75" s="2"/>
    </row>
    <row r="76" spans="1:12" ht="15" x14ac:dyDescent="0.25">
      <c r="A76" s="28" t="s">
        <v>25</v>
      </c>
      <c r="B76" s="18">
        <v>45569</v>
      </c>
      <c r="C76" s="2">
        <v>168.7</v>
      </c>
      <c r="D76" s="10"/>
      <c r="E76" s="17"/>
      <c r="F76" s="2">
        <v>11.35</v>
      </c>
      <c r="G76" s="10"/>
      <c r="H76" s="10"/>
      <c r="I76" s="29">
        <f t="shared" si="10"/>
        <v>-6.7728849174108747</v>
      </c>
      <c r="J76" s="61" t="s">
        <v>34</v>
      </c>
      <c r="L76" s="2"/>
    </row>
    <row r="77" spans="1:12" ht="15" x14ac:dyDescent="0.25">
      <c r="A77" s="28" t="s">
        <v>25</v>
      </c>
      <c r="B77" s="18">
        <v>45573</v>
      </c>
      <c r="C77" s="2">
        <v>240.1</v>
      </c>
      <c r="D77" s="10"/>
      <c r="E77" s="17"/>
      <c r="F77" s="2">
        <v>21.77</v>
      </c>
      <c r="G77" s="10"/>
      <c r="H77" s="10"/>
      <c r="I77" s="29">
        <f t="shared" si="10"/>
        <v>-6.6196078399429723</v>
      </c>
      <c r="J77" s="61" t="s">
        <v>34</v>
      </c>
      <c r="L77" s="2"/>
    </row>
    <row r="78" spans="1:12" ht="15" x14ac:dyDescent="0.25">
      <c r="A78" s="28" t="s">
        <v>25</v>
      </c>
      <c r="B78" s="18">
        <v>45573</v>
      </c>
      <c r="C78" s="2">
        <v>245.5</v>
      </c>
      <c r="D78" s="10"/>
      <c r="E78" s="17"/>
      <c r="F78" s="2">
        <v>20.170000000000002</v>
      </c>
      <c r="G78" s="10"/>
      <c r="H78" s="10"/>
      <c r="I78" s="29">
        <f t="shared" si="10"/>
        <v>-6.6099485035410126</v>
      </c>
      <c r="J78" s="61" t="s">
        <v>34</v>
      </c>
      <c r="L78" s="2"/>
    </row>
    <row r="79" spans="1:12" ht="15" x14ac:dyDescent="0.25">
      <c r="A79" s="11" t="s">
        <v>11</v>
      </c>
      <c r="B79" s="12"/>
      <c r="C79" s="2"/>
      <c r="D79" s="10"/>
      <c r="E79" s="17"/>
      <c r="F79" s="2"/>
      <c r="G79" s="10"/>
      <c r="H79" s="10"/>
      <c r="I79" s="29"/>
      <c r="J79" s="61"/>
      <c r="L79" s="2"/>
    </row>
    <row r="80" spans="1:12" ht="15" x14ac:dyDescent="0.25">
      <c r="A80" s="45"/>
      <c r="B80" s="12"/>
      <c r="C80" s="2"/>
      <c r="D80" s="10"/>
      <c r="E80" s="17"/>
      <c r="F80" s="2"/>
      <c r="G80" s="10"/>
      <c r="H80" s="10"/>
      <c r="I80" s="29"/>
      <c r="J80" s="61"/>
      <c r="L80" s="2"/>
    </row>
    <row r="81" spans="1:12" ht="15" x14ac:dyDescent="0.25">
      <c r="A81" s="9">
        <v>34493</v>
      </c>
      <c r="B81" s="2" t="s">
        <v>4</v>
      </c>
      <c r="C81" s="10" t="s">
        <v>5</v>
      </c>
      <c r="D81" s="10" t="s">
        <v>6</v>
      </c>
      <c r="E81" s="10" t="s">
        <v>7</v>
      </c>
      <c r="F81" s="10" t="s">
        <v>8</v>
      </c>
      <c r="G81" s="10" t="s">
        <v>9</v>
      </c>
      <c r="H81" s="10" t="s">
        <v>7</v>
      </c>
      <c r="I81" s="29" t="s">
        <v>10</v>
      </c>
      <c r="J81" s="61"/>
      <c r="L81" s="2"/>
    </row>
    <row r="82" spans="1:12" x14ac:dyDescent="0.2">
      <c r="A82" s="28" t="s">
        <v>25</v>
      </c>
      <c r="B82" s="54">
        <v>45435</v>
      </c>
      <c r="C82" s="42" t="s">
        <v>104</v>
      </c>
      <c r="D82" s="38">
        <f>AVERAGE(C82:C90)</f>
        <v>207.63333333333333</v>
      </c>
      <c r="E82" s="38">
        <f>STDEV(C82:C90)/SQRT(COUNT(C82:C90))</f>
        <v>38.057427366780587</v>
      </c>
      <c r="F82" s="42" t="s">
        <v>105</v>
      </c>
      <c r="G82" s="56">
        <f>AVERAGE(F82:F90)</f>
        <v>14.535666666666666</v>
      </c>
      <c r="H82" s="56">
        <f>STDEV(F82:F90)/SQRT(COUNT(F82:F90))</f>
        <v>4.9455217565434326</v>
      </c>
      <c r="I82" s="68" t="e">
        <f t="shared" ref="I82:I83" si="11">LOG(C82*0.000000001)</f>
        <v>#VALUE!</v>
      </c>
      <c r="J82" s="49" t="s">
        <v>34</v>
      </c>
      <c r="K82" s="63" t="s">
        <v>103</v>
      </c>
      <c r="L82" s="40"/>
    </row>
    <row r="83" spans="1:12" ht="15" x14ac:dyDescent="0.25">
      <c r="A83" s="28" t="s">
        <v>25</v>
      </c>
      <c r="B83" s="44">
        <v>45525</v>
      </c>
      <c r="C83" s="42" t="s">
        <v>12</v>
      </c>
      <c r="D83" s="10"/>
      <c r="E83" s="10"/>
      <c r="F83" s="2"/>
      <c r="G83" s="10"/>
      <c r="H83" s="10"/>
      <c r="I83" s="68" t="e">
        <f t="shared" si="11"/>
        <v>#VALUE!</v>
      </c>
      <c r="J83" s="49" t="s">
        <v>27</v>
      </c>
      <c r="K83" s="15" t="s">
        <v>42</v>
      </c>
      <c r="L83" s="2"/>
    </row>
    <row r="84" spans="1:12" ht="15" x14ac:dyDescent="0.25">
      <c r="A84" s="45"/>
      <c r="B84" s="12">
        <v>45560</v>
      </c>
      <c r="C84" s="2" t="s">
        <v>60</v>
      </c>
      <c r="D84" s="10"/>
      <c r="E84" s="17">
        <f>E82/D82</f>
        <v>0.18329151083695899</v>
      </c>
      <c r="G84" s="2" t="s">
        <v>57</v>
      </c>
      <c r="H84" s="10"/>
      <c r="I84" s="29" t="e">
        <f>LOG(C84*0.000000001)</f>
        <v>#VALUE!</v>
      </c>
      <c r="J84" s="61" t="s">
        <v>27</v>
      </c>
      <c r="K84" s="49" t="s">
        <v>83</v>
      </c>
      <c r="L84" s="2"/>
    </row>
    <row r="85" spans="1:12" ht="15" x14ac:dyDescent="0.25">
      <c r="B85" s="12">
        <v>45562</v>
      </c>
      <c r="C85" s="2" t="s">
        <v>55</v>
      </c>
      <c r="D85" s="10"/>
      <c r="E85" s="17"/>
      <c r="G85" s="2">
        <v>-16.82</v>
      </c>
      <c r="H85" s="10"/>
      <c r="I85" s="29" t="e">
        <f>LOG(C85*0.000000001)</f>
        <v>#VALUE!</v>
      </c>
      <c r="J85" s="43" t="s">
        <v>27</v>
      </c>
      <c r="K85" s="49" t="s">
        <v>83</v>
      </c>
      <c r="L85" s="2"/>
    </row>
    <row r="86" spans="1:12" ht="15" x14ac:dyDescent="0.25">
      <c r="A86" s="11"/>
      <c r="B86" s="12">
        <v>45568</v>
      </c>
      <c r="C86" s="2">
        <v>155.1</v>
      </c>
      <c r="D86" s="10"/>
      <c r="E86" s="17"/>
      <c r="F86" s="2">
        <v>24.24</v>
      </c>
      <c r="G86" s="10"/>
      <c r="H86" s="10"/>
      <c r="I86" s="29">
        <f t="shared" ref="I86:I88" si="12">LOG(C86*0.000000001)</f>
        <v>-6.809388202186395</v>
      </c>
      <c r="J86" s="43" t="s">
        <v>27</v>
      </c>
      <c r="L86" s="2"/>
    </row>
    <row r="87" spans="1:12" ht="15" x14ac:dyDescent="0.25">
      <c r="A87" s="28" t="s">
        <v>25</v>
      </c>
      <c r="B87" s="18">
        <v>45569</v>
      </c>
      <c r="C87" s="2">
        <v>186.2</v>
      </c>
      <c r="D87" s="10"/>
      <c r="E87" s="17"/>
      <c r="F87" s="2">
        <v>11.34</v>
      </c>
      <c r="G87" s="10"/>
      <c r="H87" s="10"/>
      <c r="I87" s="29">
        <f t="shared" si="12"/>
        <v>-6.730020323354676</v>
      </c>
      <c r="J87" s="61" t="s">
        <v>34</v>
      </c>
      <c r="L87" s="2"/>
    </row>
    <row r="88" spans="1:12" ht="15" x14ac:dyDescent="0.25">
      <c r="A88" s="28" t="s">
        <v>25</v>
      </c>
      <c r="B88" s="18">
        <v>45569</v>
      </c>
      <c r="C88" s="2">
        <v>281.60000000000002</v>
      </c>
      <c r="D88" s="10"/>
      <c r="E88" s="17"/>
      <c r="F88" s="2">
        <v>8.0269999999999992</v>
      </c>
      <c r="G88" s="10"/>
      <c r="H88" s="10"/>
      <c r="I88" s="29">
        <f t="shared" si="12"/>
        <v>-6.5503673495299255</v>
      </c>
      <c r="J88" s="61" t="s">
        <v>34</v>
      </c>
      <c r="L88" s="2"/>
    </row>
    <row r="89" spans="1:12" ht="15" x14ac:dyDescent="0.25">
      <c r="A89" s="11" t="s">
        <v>75</v>
      </c>
      <c r="B89" s="12"/>
      <c r="C89" s="2"/>
      <c r="D89" s="10"/>
      <c r="E89" s="17"/>
      <c r="F89" s="2"/>
      <c r="G89" s="10"/>
      <c r="H89" s="10"/>
      <c r="I89" s="29"/>
      <c r="L89" s="2"/>
    </row>
    <row r="90" spans="1:12" ht="15" x14ac:dyDescent="0.25">
      <c r="A90" s="45"/>
      <c r="B90" s="12"/>
      <c r="C90" s="2"/>
      <c r="D90" s="10"/>
      <c r="E90" s="17"/>
      <c r="F90" s="2"/>
      <c r="G90" s="10"/>
      <c r="H90" s="10"/>
      <c r="I90" s="29"/>
      <c r="J90" s="61"/>
      <c r="L90" s="2"/>
    </row>
    <row r="91" spans="1:12" ht="15" x14ac:dyDescent="0.25">
      <c r="A91" s="9">
        <v>34494</v>
      </c>
      <c r="B91" s="2" t="s">
        <v>4</v>
      </c>
      <c r="C91" s="10" t="s">
        <v>5</v>
      </c>
      <c r="D91" s="10" t="s">
        <v>6</v>
      </c>
      <c r="E91" s="10" t="s">
        <v>7</v>
      </c>
      <c r="F91" s="10" t="s">
        <v>8</v>
      </c>
      <c r="G91" s="10" t="s">
        <v>9</v>
      </c>
      <c r="H91" s="10" t="s">
        <v>7</v>
      </c>
      <c r="I91" s="29" t="s">
        <v>10</v>
      </c>
      <c r="J91" s="61"/>
      <c r="L91" s="2"/>
    </row>
    <row r="92" spans="1:12" x14ac:dyDescent="0.2">
      <c r="A92" s="28" t="s">
        <v>25</v>
      </c>
      <c r="B92" s="44">
        <v>45435</v>
      </c>
      <c r="C92" s="42" t="s">
        <v>106</v>
      </c>
      <c r="D92" s="56">
        <f>AVERAGE(C92:C97)</f>
        <v>230.76666666666665</v>
      </c>
      <c r="E92" s="56">
        <f>STDEV(C92:C97)/SQRT(COUNT(C92:C97))</f>
        <v>3.6337920199764406</v>
      </c>
      <c r="F92" s="42" t="s">
        <v>107</v>
      </c>
      <c r="G92" s="56">
        <f>AVERAGE(F92:F97)</f>
        <v>20.38</v>
      </c>
      <c r="H92" s="56">
        <f>STDEV(F92:F97)/SQRT(COUNT(F92:F97))</f>
        <v>4.3367768369300839</v>
      </c>
      <c r="I92" s="68" t="e">
        <f t="shared" ref="I92:I96" si="13">LOG(C92*0.000000001)</f>
        <v>#VALUE!</v>
      </c>
      <c r="J92" s="49" t="s">
        <v>34</v>
      </c>
      <c r="K92" s="63" t="s">
        <v>103</v>
      </c>
      <c r="L92" s="40"/>
    </row>
    <row r="93" spans="1:12" ht="15" x14ac:dyDescent="0.25">
      <c r="A93" s="28" t="s">
        <v>25</v>
      </c>
      <c r="B93" s="44">
        <v>45525</v>
      </c>
      <c r="C93" s="42" t="s">
        <v>51</v>
      </c>
      <c r="D93" s="10"/>
      <c r="E93" s="10"/>
      <c r="F93" s="42" t="s">
        <v>52</v>
      </c>
      <c r="G93" s="42"/>
      <c r="H93" s="42"/>
      <c r="I93" s="68" t="e">
        <f t="shared" si="13"/>
        <v>#VALUE!</v>
      </c>
      <c r="J93" s="49" t="s">
        <v>27</v>
      </c>
      <c r="K93" s="15" t="s">
        <v>42</v>
      </c>
      <c r="L93" s="2"/>
    </row>
    <row r="94" spans="1:12" ht="15" x14ac:dyDescent="0.25">
      <c r="A94" s="45"/>
      <c r="B94" s="44">
        <v>45562</v>
      </c>
      <c r="C94" s="2"/>
      <c r="D94" s="10"/>
      <c r="E94" s="17">
        <f>E92/D92</f>
        <v>1.574660704886512E-2</v>
      </c>
      <c r="G94" s="42">
        <v>-11.71</v>
      </c>
      <c r="H94" s="10"/>
      <c r="I94" s="68" t="e">
        <f>LOG(C94*0.000000001)</f>
        <v>#NUM!</v>
      </c>
      <c r="J94" s="40" t="s">
        <v>27</v>
      </c>
      <c r="K94" s="49" t="s">
        <v>83</v>
      </c>
      <c r="L94" s="2"/>
    </row>
    <row r="95" spans="1:12" ht="15" x14ac:dyDescent="0.25">
      <c r="A95" s="45"/>
      <c r="B95" s="12">
        <v>45568</v>
      </c>
      <c r="C95" s="2">
        <v>234.5</v>
      </c>
      <c r="D95" s="10"/>
      <c r="E95" s="17"/>
      <c r="F95" s="2">
        <v>24.93</v>
      </c>
      <c r="G95" s="10"/>
      <c r="H95" s="10"/>
      <c r="I95" s="29">
        <f t="shared" si="13"/>
        <v>-6.6298571529488983</v>
      </c>
      <c r="J95" s="43" t="s">
        <v>27</v>
      </c>
      <c r="K95" s="61"/>
      <c r="L95" s="2"/>
    </row>
    <row r="96" spans="1:12" ht="15" x14ac:dyDescent="0.25">
      <c r="A96" s="45"/>
      <c r="B96" s="12">
        <v>45568</v>
      </c>
      <c r="C96" s="2">
        <v>223.5</v>
      </c>
      <c r="D96" s="10"/>
      <c r="E96" s="17"/>
      <c r="F96" s="2">
        <v>24.5</v>
      </c>
      <c r="G96" s="10"/>
      <c r="H96" s="10"/>
      <c r="I96" s="29">
        <f t="shared" si="13"/>
        <v>-6.6507224725320446</v>
      </c>
      <c r="J96" s="43" t="s">
        <v>27</v>
      </c>
      <c r="K96" s="61"/>
      <c r="L96" s="2"/>
    </row>
    <row r="97" spans="1:13" ht="15" x14ac:dyDescent="0.25">
      <c r="A97" s="28" t="s">
        <v>25</v>
      </c>
      <c r="B97" s="18">
        <v>45569</v>
      </c>
      <c r="C97" s="2">
        <v>234.3</v>
      </c>
      <c r="D97" s="10"/>
      <c r="E97" s="17"/>
      <c r="F97" s="2">
        <v>11.71</v>
      </c>
      <c r="G97" s="10"/>
      <c r="H97" s="10"/>
      <c r="I97" s="29">
        <f>LOG(C97*0.000000001)</f>
        <v>-6.6302277114030375</v>
      </c>
      <c r="J97" s="61"/>
      <c r="L97" s="2"/>
    </row>
    <row r="98" spans="1:13" x14ac:dyDescent="0.2">
      <c r="A98" s="11" t="s">
        <v>75</v>
      </c>
      <c r="B98" s="12"/>
      <c r="C98" s="2"/>
      <c r="D98" s="10"/>
      <c r="E98" s="58"/>
      <c r="F98" s="2"/>
      <c r="G98" s="10"/>
      <c r="H98" s="10"/>
      <c r="I98" s="29"/>
      <c r="J98" s="61"/>
      <c r="K98" s="6"/>
      <c r="L98" s="2"/>
    </row>
    <row r="99" spans="1:13" x14ac:dyDescent="0.2">
      <c r="A99" s="11"/>
      <c r="B99" s="18"/>
      <c r="C99" s="19"/>
      <c r="D99" s="19"/>
      <c r="E99" s="58"/>
      <c r="F99" s="56"/>
      <c r="G99" s="6"/>
      <c r="H99" s="20"/>
      <c r="I99" s="57"/>
      <c r="J99" s="61"/>
      <c r="K99" s="6"/>
      <c r="L99" s="2"/>
    </row>
    <row r="100" spans="1:13" x14ac:dyDescent="0.2">
      <c r="A100" s="11"/>
      <c r="B100" s="18"/>
      <c r="C100" s="19"/>
      <c r="D100" s="19"/>
      <c r="E100" s="58"/>
      <c r="G100" s="6"/>
      <c r="H100" s="20"/>
      <c r="I100" s="57"/>
      <c r="J100" s="61"/>
      <c r="K100" s="6"/>
      <c r="L100" s="2"/>
    </row>
    <row r="101" spans="1:13" x14ac:dyDescent="0.2">
      <c r="A101" s="11"/>
      <c r="B101" s="18"/>
      <c r="C101" s="19"/>
      <c r="D101" s="19"/>
      <c r="E101" s="58"/>
      <c r="F101" s="19"/>
      <c r="G101" s="6"/>
      <c r="H101" s="20"/>
      <c r="I101" s="57"/>
      <c r="J101" s="61"/>
      <c r="K101" s="6"/>
      <c r="L101" s="2"/>
    </row>
    <row r="102" spans="1:13" x14ac:dyDescent="0.2">
      <c r="A102" s="11"/>
      <c r="B102" s="18"/>
      <c r="C102" s="19"/>
      <c r="D102" s="19"/>
      <c r="E102" s="58"/>
      <c r="F102" s="19"/>
      <c r="G102" s="6"/>
      <c r="H102" s="20"/>
      <c r="I102" s="57"/>
      <c r="J102" s="61"/>
      <c r="K102" s="6"/>
      <c r="L102" s="2"/>
    </row>
    <row r="103" spans="1:13" ht="15" x14ac:dyDescent="0.25">
      <c r="A103" s="22" t="s">
        <v>14</v>
      </c>
      <c r="B103" s="23"/>
      <c r="C103" s="24"/>
      <c r="D103" s="24"/>
      <c r="E103" s="59"/>
      <c r="F103" s="24"/>
      <c r="G103" s="24"/>
      <c r="H103" s="25"/>
      <c r="I103" s="71"/>
      <c r="J103" s="66"/>
      <c r="K103" s="24"/>
      <c r="L103" s="26"/>
    </row>
    <row r="104" spans="1:13" x14ac:dyDescent="0.2">
      <c r="A104" s="27" t="s">
        <v>15</v>
      </c>
      <c r="B104" s="2" t="s">
        <v>4</v>
      </c>
      <c r="C104" s="10" t="s">
        <v>5</v>
      </c>
      <c r="D104" s="10" t="s">
        <v>6</v>
      </c>
      <c r="E104" s="10" t="s">
        <v>7</v>
      </c>
      <c r="F104" s="10" t="s">
        <v>8</v>
      </c>
      <c r="G104" s="10" t="s">
        <v>9</v>
      </c>
      <c r="H104" s="10" t="s">
        <v>7</v>
      </c>
      <c r="I104" s="29" t="s">
        <v>10</v>
      </c>
      <c r="K104" s="6"/>
      <c r="L104" s="2"/>
    </row>
    <row r="105" spans="1:13" ht="15" x14ac:dyDescent="0.25">
      <c r="A105" s="28" t="s">
        <v>16</v>
      </c>
      <c r="B105" s="12">
        <v>45435</v>
      </c>
      <c r="C105" s="2">
        <v>11.44</v>
      </c>
      <c r="D105" s="29">
        <f>AVERAGE(C105:C116)</f>
        <v>22.439857142857143</v>
      </c>
      <c r="E105" s="29">
        <f>STDEV(C105:C116)/SQRT(COUNT(C105:C116))</f>
        <v>5.7967020608543365</v>
      </c>
      <c r="F105" s="2">
        <v>93.74</v>
      </c>
      <c r="G105" s="13">
        <f>AVERAGE(F105:F116)</f>
        <v>96.687142857142845</v>
      </c>
      <c r="H105" s="13">
        <f>STDEV(F105:F116)/SQRT(COUNT(F105:F116))</f>
        <v>2.105508324876074</v>
      </c>
      <c r="I105" s="29">
        <f t="shared" ref="I105:I106" si="14">LOG(C105*0.000000001)</f>
        <v>-7.9415739755429948</v>
      </c>
      <c r="J105" s="43" t="s">
        <v>34</v>
      </c>
      <c r="K105" s="6"/>
      <c r="L105" s="2"/>
      <c r="M105" s="46" t="s">
        <v>86</v>
      </c>
    </row>
    <row r="106" spans="1:13" ht="15" x14ac:dyDescent="0.25">
      <c r="A106" s="11" t="s">
        <v>110</v>
      </c>
      <c r="B106" s="12">
        <v>45435</v>
      </c>
      <c r="C106" s="2">
        <v>16.66</v>
      </c>
      <c r="D106" s="10"/>
      <c r="E106" s="10"/>
      <c r="F106" s="2">
        <v>100</v>
      </c>
      <c r="G106" s="10"/>
      <c r="H106" s="10"/>
      <c r="I106" s="29">
        <f t="shared" si="14"/>
        <v>-7.7783250029292308</v>
      </c>
      <c r="J106" s="43" t="s">
        <v>34</v>
      </c>
      <c r="K106" s="6"/>
      <c r="L106" s="2"/>
      <c r="M106" s="46"/>
    </row>
    <row r="107" spans="1:13" ht="15" x14ac:dyDescent="0.25">
      <c r="A107" s="45"/>
      <c r="B107" s="12">
        <v>45498</v>
      </c>
      <c r="C107" s="2">
        <v>5.7889999999999997</v>
      </c>
      <c r="D107" s="10"/>
      <c r="E107" s="17">
        <f>E105/D105</f>
        <v>0.25832170071098209</v>
      </c>
      <c r="F107" s="2">
        <v>100</v>
      </c>
      <c r="G107" s="10"/>
      <c r="H107" s="10"/>
      <c r="I107" s="29">
        <f t="shared" ref="I107:I115" si="15">LOG(C107*0.000000001)</f>
        <v>-8.2373964504331969</v>
      </c>
      <c r="J107" s="43" t="s">
        <v>27</v>
      </c>
      <c r="K107" s="6"/>
      <c r="L107" s="2"/>
      <c r="M107" s="46"/>
    </row>
    <row r="108" spans="1:13" ht="15" x14ac:dyDescent="0.25">
      <c r="A108" s="45"/>
      <c r="B108" s="12">
        <v>45504</v>
      </c>
      <c r="C108" s="2">
        <v>10.23</v>
      </c>
      <c r="D108" s="10"/>
      <c r="E108" s="17"/>
      <c r="F108" s="2">
        <v>100</v>
      </c>
      <c r="G108" s="10"/>
      <c r="H108" s="10"/>
      <c r="I108" s="29">
        <f t="shared" si="15"/>
        <v>-7.9901243662878398</v>
      </c>
      <c r="J108" s="43" t="s">
        <v>27</v>
      </c>
      <c r="K108" s="6"/>
      <c r="L108" s="2"/>
      <c r="M108" s="46"/>
    </row>
    <row r="109" spans="1:13" ht="15" x14ac:dyDescent="0.25">
      <c r="A109" s="45"/>
      <c r="B109" s="12">
        <v>45505</v>
      </c>
      <c r="C109" s="2">
        <v>28.27</v>
      </c>
      <c r="D109" s="10"/>
      <c r="E109" s="17"/>
      <c r="F109" s="2">
        <v>97.88</v>
      </c>
      <c r="G109" s="10"/>
      <c r="H109" s="10"/>
      <c r="I109" s="29">
        <f t="shared" si="15"/>
        <v>-7.5486741915104805</v>
      </c>
      <c r="J109" s="43" t="s">
        <v>27</v>
      </c>
      <c r="K109" s="6"/>
      <c r="L109" s="2"/>
      <c r="M109" s="46"/>
    </row>
    <row r="110" spans="1:13" ht="15" x14ac:dyDescent="0.25">
      <c r="A110" s="45"/>
      <c r="B110" s="44">
        <v>45525</v>
      </c>
      <c r="C110" s="42" t="s">
        <v>39</v>
      </c>
      <c r="D110" s="10"/>
      <c r="E110" s="17"/>
      <c r="F110" s="42" t="s">
        <v>40</v>
      </c>
      <c r="G110" s="42"/>
      <c r="H110" s="42"/>
      <c r="I110" s="68" t="e">
        <f t="shared" si="15"/>
        <v>#VALUE!</v>
      </c>
      <c r="J110" s="40" t="s">
        <v>27</v>
      </c>
      <c r="K110" s="15" t="s">
        <v>42</v>
      </c>
      <c r="M110" s="46"/>
    </row>
    <row r="111" spans="1:13" ht="15" x14ac:dyDescent="0.25">
      <c r="A111" s="45"/>
      <c r="B111" s="44">
        <v>45560</v>
      </c>
      <c r="C111" s="42" t="s">
        <v>84</v>
      </c>
      <c r="D111" s="10"/>
      <c r="E111" s="17"/>
      <c r="F111" s="42" t="s">
        <v>40</v>
      </c>
      <c r="G111" s="10"/>
      <c r="H111" s="10"/>
      <c r="I111" s="68" t="e">
        <f t="shared" si="15"/>
        <v>#VALUE!</v>
      </c>
      <c r="J111" s="40" t="s">
        <v>27</v>
      </c>
      <c r="K111" s="49" t="s">
        <v>83</v>
      </c>
      <c r="L111" s="2"/>
      <c r="M111" s="46"/>
    </row>
    <row r="112" spans="1:13" ht="15" x14ac:dyDescent="0.25">
      <c r="A112" s="45"/>
      <c r="B112" s="44">
        <v>45562</v>
      </c>
      <c r="C112" s="42" t="s">
        <v>85</v>
      </c>
      <c r="D112" s="10"/>
      <c r="E112" s="17"/>
      <c r="F112" s="42" t="s">
        <v>40</v>
      </c>
      <c r="G112" s="10"/>
      <c r="H112" s="10"/>
      <c r="I112" s="68" t="e">
        <f t="shared" si="15"/>
        <v>#VALUE!</v>
      </c>
      <c r="J112" s="40" t="s">
        <v>27</v>
      </c>
      <c r="K112" s="49" t="s">
        <v>83</v>
      </c>
      <c r="L112" s="2"/>
      <c r="M112" s="46"/>
    </row>
    <row r="113" spans="1:14" ht="15" x14ac:dyDescent="0.25">
      <c r="A113" s="11"/>
      <c r="B113" s="44">
        <v>45568</v>
      </c>
      <c r="C113" s="69" t="s">
        <v>77</v>
      </c>
      <c r="D113" s="19"/>
      <c r="E113" s="19"/>
      <c r="F113" s="69" t="s">
        <v>78</v>
      </c>
      <c r="G113" s="2"/>
      <c r="H113" s="20"/>
      <c r="I113" s="68" t="e">
        <f t="shared" si="15"/>
        <v>#VALUE!</v>
      </c>
      <c r="J113" s="49" t="s">
        <v>27</v>
      </c>
      <c r="K113" s="49" t="s">
        <v>98</v>
      </c>
      <c r="L113" s="2"/>
      <c r="M113" s="46"/>
    </row>
    <row r="114" spans="1:14" ht="15" x14ac:dyDescent="0.25">
      <c r="A114" s="11"/>
      <c r="B114" s="18">
        <v>45569</v>
      </c>
      <c r="C114" s="31">
        <v>43.78</v>
      </c>
      <c r="D114" s="19"/>
      <c r="E114" s="19"/>
      <c r="F114" s="31">
        <v>100</v>
      </c>
      <c r="G114" s="2"/>
      <c r="H114" s="20"/>
      <c r="I114" s="29">
        <f t="shared" si="15"/>
        <v>-7.358724242768087</v>
      </c>
      <c r="J114" s="43" t="s">
        <v>34</v>
      </c>
      <c r="K114" s="49"/>
      <c r="L114" s="2"/>
      <c r="M114" s="46"/>
    </row>
    <row r="115" spans="1:14" ht="15" x14ac:dyDescent="0.25">
      <c r="A115" s="11"/>
      <c r="B115" s="18">
        <v>45569</v>
      </c>
      <c r="C115" s="31">
        <v>40.909999999999997</v>
      </c>
      <c r="D115" s="19"/>
      <c r="E115" s="19"/>
      <c r="F115" s="31">
        <v>85.19</v>
      </c>
      <c r="G115" s="2"/>
      <c r="H115" s="20"/>
      <c r="I115" s="29">
        <f t="shared" si="15"/>
        <v>-7.3881705205016264</v>
      </c>
      <c r="J115" s="43" t="s">
        <v>34</v>
      </c>
      <c r="K115" s="49"/>
      <c r="L115" s="2"/>
      <c r="M115" s="46"/>
    </row>
    <row r="116" spans="1:14" ht="15" thickBot="1" x14ac:dyDescent="0.25">
      <c r="A116" s="32"/>
      <c r="B116" s="33"/>
      <c r="C116" s="34"/>
      <c r="D116" s="34"/>
      <c r="E116" s="34"/>
      <c r="F116" s="34"/>
      <c r="G116" s="34"/>
      <c r="H116" s="34"/>
      <c r="I116" s="72"/>
      <c r="J116" s="67"/>
      <c r="K116" s="35"/>
      <c r="L116" s="33"/>
      <c r="M116" s="47"/>
      <c r="N116" s="47"/>
    </row>
    <row r="117" spans="1:14" x14ac:dyDescent="0.2">
      <c r="A117" s="27"/>
      <c r="B117" s="2"/>
      <c r="C117" s="10"/>
      <c r="D117" s="10"/>
      <c r="E117" s="10"/>
      <c r="F117" s="2" t="s">
        <v>1</v>
      </c>
      <c r="G117" s="2">
        <v>10</v>
      </c>
      <c r="H117" s="10"/>
      <c r="I117" s="29"/>
      <c r="K117" s="6"/>
      <c r="L117" s="2"/>
      <c r="M117" s="47"/>
      <c r="N117" s="47"/>
    </row>
    <row r="118" spans="1:14" ht="15" x14ac:dyDescent="0.25">
      <c r="A118" s="8" t="s">
        <v>17</v>
      </c>
      <c r="B118" s="12"/>
      <c r="C118" s="2"/>
      <c r="D118" s="13"/>
      <c r="E118" s="13"/>
      <c r="F118" s="2"/>
      <c r="G118" s="13"/>
      <c r="H118" s="13"/>
      <c r="I118" s="29"/>
      <c r="K118" s="6"/>
      <c r="L118" s="2"/>
      <c r="M118" s="47"/>
      <c r="N118" s="47"/>
    </row>
    <row r="119" spans="1:14" ht="15" x14ac:dyDescent="0.25">
      <c r="A119" s="51">
        <v>34485</v>
      </c>
      <c r="B119" s="2" t="s">
        <v>4</v>
      </c>
      <c r="C119" s="10" t="s">
        <v>21</v>
      </c>
      <c r="D119" s="10" t="s">
        <v>6</v>
      </c>
      <c r="E119" s="10" t="s">
        <v>7</v>
      </c>
      <c r="F119" s="10" t="s">
        <v>32</v>
      </c>
      <c r="G119" s="10" t="s">
        <v>9</v>
      </c>
      <c r="H119" s="10" t="s">
        <v>7</v>
      </c>
      <c r="I119" s="29" t="s">
        <v>19</v>
      </c>
      <c r="K119" s="6"/>
      <c r="L119" s="2"/>
      <c r="M119" s="6"/>
    </row>
    <row r="120" spans="1:14" ht="15" x14ac:dyDescent="0.25">
      <c r="A120" s="28" t="s">
        <v>25</v>
      </c>
      <c r="B120" s="53">
        <v>45525</v>
      </c>
      <c r="C120" s="42" t="s">
        <v>43</v>
      </c>
      <c r="D120" s="56">
        <f>AVERAGE(C120:C126)</f>
        <v>235.26399999999998</v>
      </c>
      <c r="E120" s="56">
        <f>STDEV(C120:C126)/SQRT(COUNT(C120:C126))</f>
        <v>81.164438616921387</v>
      </c>
      <c r="F120" s="42" t="s">
        <v>46</v>
      </c>
      <c r="G120" s="29">
        <f>AVERAGE(F120:F126)</f>
        <v>76.427999999999997</v>
      </c>
      <c r="H120" s="29">
        <f>STDEV(F120:F126)/SQRT(COUNT(F120:F126))</f>
        <v>5.8410927059926125</v>
      </c>
      <c r="I120" s="68" t="e">
        <f t="shared" ref="I120:I125" si="16">LOG(C120*0.000000001)</f>
        <v>#VALUE!</v>
      </c>
      <c r="J120" s="55" t="s">
        <v>27</v>
      </c>
      <c r="K120" s="15" t="s">
        <v>42</v>
      </c>
      <c r="L120" s="2"/>
    </row>
    <row r="121" spans="1:14" ht="15" x14ac:dyDescent="0.25">
      <c r="B121" s="12">
        <v>45561</v>
      </c>
      <c r="C121" s="2">
        <v>43.02</v>
      </c>
      <c r="D121" s="10"/>
      <c r="E121" s="10"/>
      <c r="F121" s="2">
        <v>90.65</v>
      </c>
      <c r="G121" s="10"/>
      <c r="H121" s="10"/>
      <c r="I121" s="29">
        <f t="shared" si="16"/>
        <v>-7.3663295939485565</v>
      </c>
      <c r="J121" s="14" t="s">
        <v>27</v>
      </c>
      <c r="K121" s="15"/>
      <c r="L121" s="2"/>
    </row>
    <row r="122" spans="1:14" ht="15" x14ac:dyDescent="0.25">
      <c r="A122" s="28" t="s">
        <v>25</v>
      </c>
      <c r="B122" s="12">
        <v>45567</v>
      </c>
      <c r="C122" s="2">
        <v>157.69999999999999</v>
      </c>
      <c r="D122" s="10"/>
      <c r="E122" s="17">
        <f>E120/D120</f>
        <v>0.3449930232288892</v>
      </c>
      <c r="F122" s="2">
        <v>78.86</v>
      </c>
      <c r="G122" s="10"/>
      <c r="H122" s="10"/>
      <c r="I122" s="29">
        <f t="shared" si="16"/>
        <v>-6.8021683066710974</v>
      </c>
      <c r="J122" s="43" t="s">
        <v>34</v>
      </c>
      <c r="K122" s="6"/>
      <c r="L122" s="2"/>
    </row>
    <row r="123" spans="1:14" ht="15" x14ac:dyDescent="0.25">
      <c r="B123" s="12">
        <v>45566</v>
      </c>
      <c r="C123" s="2">
        <v>118.8</v>
      </c>
      <c r="D123" s="10"/>
      <c r="E123" s="17"/>
      <c r="F123" s="2">
        <v>61.41</v>
      </c>
      <c r="G123" s="10"/>
      <c r="H123" s="10"/>
      <c r="I123" s="29">
        <f t="shared" si="16"/>
        <v>-6.9251835593548252</v>
      </c>
      <c r="J123" s="43" t="s">
        <v>27</v>
      </c>
      <c r="K123" s="6"/>
      <c r="L123" s="2"/>
    </row>
    <row r="124" spans="1:14" ht="15" x14ac:dyDescent="0.25">
      <c r="B124" s="12">
        <v>45567</v>
      </c>
      <c r="C124" s="2">
        <v>445.9</v>
      </c>
      <c r="D124" s="10"/>
      <c r="E124" s="17"/>
      <c r="F124" s="2">
        <v>64.489999999999995</v>
      </c>
      <c r="G124" s="10"/>
      <c r="H124" s="10"/>
      <c r="I124" s="29">
        <f t="shared" si="16"/>
        <v>-6.3507625276503932</v>
      </c>
      <c r="J124" s="43" t="s">
        <v>27</v>
      </c>
      <c r="K124" s="6"/>
      <c r="L124" s="2"/>
    </row>
    <row r="125" spans="1:14" ht="15" x14ac:dyDescent="0.25">
      <c r="A125" s="11" t="s">
        <v>111</v>
      </c>
      <c r="B125" s="12">
        <v>45569</v>
      </c>
      <c r="C125" s="2">
        <v>410.9</v>
      </c>
      <c r="D125" s="10"/>
      <c r="E125" s="17"/>
      <c r="F125" s="2">
        <v>86.73</v>
      </c>
      <c r="G125" s="10"/>
      <c r="H125" s="10"/>
      <c r="I125" s="29">
        <f t="shared" si="16"/>
        <v>-6.3862638587381291</v>
      </c>
      <c r="J125" s="43" t="s">
        <v>27</v>
      </c>
      <c r="K125" s="6"/>
      <c r="L125" s="2"/>
    </row>
    <row r="126" spans="1:14" ht="15" x14ac:dyDescent="0.25">
      <c r="A126" s="45"/>
      <c r="B126" s="12"/>
      <c r="C126" s="2"/>
      <c r="D126" s="10"/>
      <c r="E126" s="17"/>
      <c r="F126" s="2"/>
      <c r="G126" s="10"/>
      <c r="H126" s="10"/>
      <c r="I126" s="29"/>
      <c r="K126" s="6"/>
      <c r="L126" s="2"/>
    </row>
    <row r="127" spans="1:14" ht="15" x14ac:dyDescent="0.25">
      <c r="A127" s="51">
        <v>34486</v>
      </c>
      <c r="B127" s="2" t="s">
        <v>4</v>
      </c>
      <c r="C127" s="10" t="s">
        <v>21</v>
      </c>
      <c r="D127" s="10" t="s">
        <v>6</v>
      </c>
      <c r="E127" s="10" t="s">
        <v>7</v>
      </c>
      <c r="F127" s="10"/>
      <c r="G127" s="10" t="s">
        <v>9</v>
      </c>
      <c r="H127" s="10" t="s">
        <v>7</v>
      </c>
      <c r="I127" s="29" t="s">
        <v>19</v>
      </c>
      <c r="K127" s="6"/>
      <c r="L127" s="2"/>
    </row>
    <row r="128" spans="1:14" ht="15" x14ac:dyDescent="0.25">
      <c r="A128" s="28" t="s">
        <v>25</v>
      </c>
      <c r="B128" s="53">
        <v>45525</v>
      </c>
      <c r="C128" s="42" t="s">
        <v>44</v>
      </c>
      <c r="D128" s="56">
        <f>AVERAGE(C128:C134)</f>
        <v>212.69800000000001</v>
      </c>
      <c r="E128" s="56">
        <f>STDEV(C128:C134)/SQRT(COUNT(C128:C134))</f>
        <v>68.364171201002634</v>
      </c>
      <c r="F128" s="42" t="s">
        <v>47</v>
      </c>
      <c r="G128" s="29">
        <f>AVERAGE(F128:F134)</f>
        <v>67.14200000000001</v>
      </c>
      <c r="H128" s="29">
        <f>STDEV(F128:F134)/SQRT(COUNT(F128:F134))</f>
        <v>6.6122684458512362</v>
      </c>
      <c r="I128" s="68" t="e">
        <f t="shared" ref="I128:I129" si="17">LOG(C128*0.000000001)</f>
        <v>#VALUE!</v>
      </c>
      <c r="J128" s="55" t="s">
        <v>27</v>
      </c>
      <c r="K128" s="15" t="s">
        <v>42</v>
      </c>
      <c r="L128" s="2"/>
    </row>
    <row r="129" spans="1:12" x14ac:dyDescent="0.2">
      <c r="A129" s="28"/>
      <c r="B129" s="12">
        <v>45561</v>
      </c>
      <c r="C129" s="2">
        <v>163.6</v>
      </c>
      <c r="D129" s="10"/>
      <c r="E129" s="10"/>
      <c r="F129" s="2">
        <v>91.49</v>
      </c>
      <c r="G129" s="10"/>
      <c r="H129" s="10"/>
      <c r="I129" s="29">
        <f t="shared" si="17"/>
        <v>-6.7862167006646956</v>
      </c>
      <c r="J129" s="43" t="s">
        <v>27</v>
      </c>
      <c r="K129" s="6"/>
      <c r="L129" s="2"/>
    </row>
    <row r="130" spans="1:12" ht="15" x14ac:dyDescent="0.25">
      <c r="A130" s="28" t="s">
        <v>25</v>
      </c>
      <c r="B130" s="12">
        <v>45567</v>
      </c>
      <c r="C130" s="2">
        <v>92.79</v>
      </c>
      <c r="D130" s="10"/>
      <c r="E130" s="17">
        <f>E128/D128</f>
        <v>0.32141426436074921</v>
      </c>
      <c r="F130" s="2">
        <v>62.51</v>
      </c>
      <c r="G130" s="10"/>
      <c r="H130" s="10"/>
      <c r="I130" s="29">
        <f>LOG(C130*0.000000001)</f>
        <v>-7.0324988252771581</v>
      </c>
      <c r="J130" s="43" t="s">
        <v>34</v>
      </c>
      <c r="K130" s="6"/>
      <c r="L130" s="2"/>
    </row>
    <row r="131" spans="1:12" ht="15" x14ac:dyDescent="0.25">
      <c r="B131" s="12">
        <v>45566</v>
      </c>
      <c r="C131" s="2">
        <v>127.4</v>
      </c>
      <c r="D131" s="10"/>
      <c r="E131" s="17"/>
      <c r="F131" s="2">
        <v>54.72</v>
      </c>
      <c r="G131" s="10"/>
      <c r="H131" s="10"/>
      <c r="I131" s="29">
        <f>LOG(C131*0.000000001)</f>
        <v>-6.894830572000668</v>
      </c>
      <c r="J131" s="43" t="s">
        <v>27</v>
      </c>
      <c r="K131" s="6"/>
      <c r="L131" s="2"/>
    </row>
    <row r="132" spans="1:12" ht="15" x14ac:dyDescent="0.25">
      <c r="A132" s="11" t="s">
        <v>111</v>
      </c>
      <c r="B132" s="12">
        <v>45567</v>
      </c>
      <c r="C132" s="2">
        <v>476</v>
      </c>
      <c r="D132" s="10"/>
      <c r="E132" s="17"/>
      <c r="F132" s="2">
        <v>57.2</v>
      </c>
      <c r="G132" s="10"/>
      <c r="H132" s="10"/>
      <c r="I132" s="29">
        <f>LOG(C132*0.000000001)</f>
        <v>-6.3223930472795065</v>
      </c>
      <c r="J132" s="43" t="s">
        <v>27</v>
      </c>
      <c r="K132" s="6"/>
      <c r="L132" s="2"/>
    </row>
    <row r="133" spans="1:12" ht="15" x14ac:dyDescent="0.25">
      <c r="A133" s="11"/>
      <c r="B133" s="65">
        <v>45569</v>
      </c>
      <c r="C133" s="2">
        <v>203.7</v>
      </c>
      <c r="D133" s="10"/>
      <c r="E133" s="17"/>
      <c r="F133" s="2">
        <v>69.790000000000006</v>
      </c>
      <c r="G133" s="10"/>
      <c r="H133" s="10"/>
      <c r="I133" s="29">
        <f>LOG(C133*0.000000001)</f>
        <v>-6.6910089709998362</v>
      </c>
      <c r="J133" s="43" t="s">
        <v>27</v>
      </c>
      <c r="K133" s="6"/>
      <c r="L133" s="2"/>
    </row>
    <row r="134" spans="1:12" ht="15" x14ac:dyDescent="0.25">
      <c r="A134" s="45"/>
      <c r="B134" s="12"/>
      <c r="C134" s="2"/>
      <c r="D134" s="10"/>
      <c r="E134" s="17"/>
      <c r="F134" s="2"/>
      <c r="G134" s="10"/>
      <c r="H134" s="10"/>
      <c r="I134" s="29"/>
      <c r="K134" s="6"/>
      <c r="L134" s="2"/>
    </row>
    <row r="135" spans="1:12" ht="15" x14ac:dyDescent="0.25">
      <c r="A135" s="9">
        <v>34487</v>
      </c>
      <c r="B135" s="2" t="s">
        <v>4</v>
      </c>
      <c r="C135" s="10" t="s">
        <v>21</v>
      </c>
      <c r="D135" s="10" t="s">
        <v>6</v>
      </c>
      <c r="E135" s="10" t="s">
        <v>7</v>
      </c>
      <c r="F135" s="10" t="s">
        <v>32</v>
      </c>
      <c r="G135" s="10" t="s">
        <v>9</v>
      </c>
      <c r="H135" s="10" t="s">
        <v>7</v>
      </c>
      <c r="I135" s="29" t="s">
        <v>19</v>
      </c>
      <c r="K135" s="6"/>
      <c r="L135" s="2"/>
    </row>
    <row r="136" spans="1:12" ht="15" x14ac:dyDescent="0.25">
      <c r="A136" s="28" t="s">
        <v>25</v>
      </c>
      <c r="B136" s="53">
        <v>45525</v>
      </c>
      <c r="C136" s="42" t="s">
        <v>45</v>
      </c>
      <c r="D136" s="56">
        <f>AVERAGE(C136:C140)</f>
        <v>400.04999999999995</v>
      </c>
      <c r="E136" s="56">
        <f>STDEV(C136:C140)/SQRT(COUNT(C136:C140))</f>
        <v>68.734046633867493</v>
      </c>
      <c r="F136" s="42" t="s">
        <v>48</v>
      </c>
      <c r="G136" s="56">
        <f>AVERAGE(F136:F140)</f>
        <v>66.642499999999998</v>
      </c>
      <c r="H136" s="56">
        <f>STDEV(F136:F140)/SQRT(COUNT(F136:F140))</f>
        <v>9.2048034335340514</v>
      </c>
      <c r="I136" s="68" t="e">
        <f t="shared" ref="I136:I137" si="18">LOG(C136*0.000000001)</f>
        <v>#VALUE!</v>
      </c>
      <c r="J136" s="55" t="s">
        <v>27</v>
      </c>
      <c r="K136" s="15" t="s">
        <v>42</v>
      </c>
      <c r="L136" s="2"/>
    </row>
    <row r="137" spans="1:12" x14ac:dyDescent="0.2">
      <c r="B137" s="12">
        <v>45561</v>
      </c>
      <c r="C137" s="2">
        <v>423.9</v>
      </c>
      <c r="D137" s="10"/>
      <c r="E137" s="10"/>
      <c r="F137" s="2">
        <v>93.92</v>
      </c>
      <c r="G137" s="10"/>
      <c r="H137" s="10"/>
      <c r="I137" s="29">
        <f t="shared" si="18"/>
        <v>-6.3727365834317791</v>
      </c>
      <c r="J137" s="43" t="s">
        <v>27</v>
      </c>
      <c r="K137" s="6"/>
      <c r="L137" s="2"/>
    </row>
    <row r="138" spans="1:12" ht="15" x14ac:dyDescent="0.25">
      <c r="A138" s="28" t="s">
        <v>25</v>
      </c>
      <c r="B138" s="12">
        <v>45567</v>
      </c>
      <c r="C138" s="2">
        <v>290.10000000000002</v>
      </c>
      <c r="D138" s="10"/>
      <c r="E138" s="17">
        <f>E136/D136</f>
        <v>0.17181363987968379</v>
      </c>
      <c r="F138" s="2">
        <v>54.34</v>
      </c>
      <c r="G138" s="10"/>
      <c r="H138" s="10"/>
      <c r="I138" s="29">
        <f>LOG(C138*0.000000001)</f>
        <v>-6.5374522711973357</v>
      </c>
      <c r="J138" s="43" t="s">
        <v>34</v>
      </c>
      <c r="K138" s="6"/>
      <c r="L138" s="2"/>
    </row>
    <row r="139" spans="1:12" ht="15" x14ac:dyDescent="0.25">
      <c r="A139" s="11" t="s">
        <v>64</v>
      </c>
      <c r="B139" s="12">
        <v>45566</v>
      </c>
      <c r="C139" s="2">
        <v>585.1</v>
      </c>
      <c r="D139" s="10"/>
      <c r="E139" s="17"/>
      <c r="F139" s="2">
        <v>61.3</v>
      </c>
      <c r="G139" s="10"/>
      <c r="H139" s="10"/>
      <c r="I139" s="29">
        <f>LOG(C139*0.000000001)</f>
        <v>-6.2327699018892817</v>
      </c>
      <c r="J139" s="43" t="s">
        <v>27</v>
      </c>
      <c r="K139" s="6"/>
      <c r="L139" s="2"/>
    </row>
    <row r="140" spans="1:12" ht="15" x14ac:dyDescent="0.25">
      <c r="A140" s="11"/>
      <c r="B140" s="12">
        <v>45567</v>
      </c>
      <c r="C140" s="2">
        <v>301.10000000000002</v>
      </c>
      <c r="D140" s="10"/>
      <c r="E140" s="17"/>
      <c r="F140" s="2">
        <v>57.01</v>
      </c>
      <c r="G140" s="10"/>
      <c r="H140" s="10"/>
      <c r="I140" s="29">
        <f>LOG(C140*0.000000001)</f>
        <v>-6.5212892444872406</v>
      </c>
      <c r="J140" s="43" t="s">
        <v>27</v>
      </c>
      <c r="K140" s="6"/>
      <c r="L140" s="2"/>
    </row>
    <row r="141" spans="1:12" ht="15" x14ac:dyDescent="0.25">
      <c r="A141" s="45"/>
      <c r="B141" s="12"/>
      <c r="C141" s="2"/>
      <c r="D141" s="10"/>
      <c r="E141" s="17"/>
      <c r="F141" s="2"/>
      <c r="G141" s="10"/>
      <c r="H141" s="10"/>
      <c r="I141" s="29"/>
      <c r="K141" s="6"/>
      <c r="L141" s="2"/>
    </row>
    <row r="142" spans="1:12" ht="15" x14ac:dyDescent="0.25">
      <c r="A142" s="51">
        <v>34488</v>
      </c>
      <c r="B142" s="2" t="s">
        <v>4</v>
      </c>
      <c r="C142" s="10" t="s">
        <v>21</v>
      </c>
      <c r="D142" s="10" t="s">
        <v>6</v>
      </c>
      <c r="E142" s="10" t="s">
        <v>7</v>
      </c>
      <c r="F142" s="10" t="s">
        <v>32</v>
      </c>
      <c r="G142" s="10" t="s">
        <v>9</v>
      </c>
      <c r="H142" s="10" t="s">
        <v>7</v>
      </c>
      <c r="I142" s="29" t="s">
        <v>19</v>
      </c>
      <c r="K142" s="6"/>
      <c r="L142" s="2"/>
    </row>
    <row r="143" spans="1:12" x14ac:dyDescent="0.2">
      <c r="A143" s="28" t="s">
        <v>25</v>
      </c>
      <c r="B143" s="44">
        <v>45518</v>
      </c>
      <c r="C143" s="2" t="s">
        <v>74</v>
      </c>
      <c r="D143" s="29">
        <f>AVERAGE(C143:C153)</f>
        <v>7.463750000000001</v>
      </c>
      <c r="E143" s="29">
        <f>STDEV(C143:C153)/SQRT(COUNT(C143:C153))</f>
        <v>0.31906983953360429</v>
      </c>
      <c r="F143" s="2">
        <v>88.82</v>
      </c>
      <c r="G143" s="56">
        <f>AVERAGE(F143:F153)</f>
        <v>101.422</v>
      </c>
      <c r="H143" s="56">
        <f>STDEV(F143:F153)/SQRT(COUNT(F143:F153))</f>
        <v>4.5919390239854012</v>
      </c>
      <c r="I143" s="29" t="e">
        <f t="shared" ref="I143:I144" si="19">LOG(C143*0.000000001)</f>
        <v>#VALUE!</v>
      </c>
      <c r="J143" s="28" t="s">
        <v>27</v>
      </c>
      <c r="K143" s="49" t="s">
        <v>121</v>
      </c>
      <c r="L143" s="2"/>
    </row>
    <row r="144" spans="1:12" x14ac:dyDescent="0.2">
      <c r="B144" s="12">
        <v>45561</v>
      </c>
      <c r="C144" s="2">
        <v>7.1920000000000002</v>
      </c>
      <c r="D144" s="10"/>
      <c r="E144" s="10"/>
      <c r="F144" s="2">
        <v>110</v>
      </c>
      <c r="G144" s="10"/>
      <c r="H144" s="10"/>
      <c r="I144" s="29">
        <f t="shared" si="19"/>
        <v>-8.1431503212748275</v>
      </c>
      <c r="J144" s="43" t="s">
        <v>27</v>
      </c>
      <c r="K144" s="6"/>
      <c r="L144" s="2"/>
    </row>
    <row r="145" spans="1:12" ht="15" x14ac:dyDescent="0.25">
      <c r="A145" s="45"/>
      <c r="B145" s="12">
        <v>45566</v>
      </c>
      <c r="C145" s="2" t="s">
        <v>119</v>
      </c>
      <c r="D145" s="10"/>
      <c r="E145" s="17">
        <f>E143/D143</f>
        <v>4.2749266726994375E-2</v>
      </c>
      <c r="F145" s="2" t="s">
        <v>120</v>
      </c>
      <c r="G145" s="10"/>
      <c r="H145" s="10"/>
      <c r="I145" s="29" t="e">
        <f>LOG(C145*0.000000001)</f>
        <v>#VALUE!</v>
      </c>
      <c r="J145" s="43" t="s">
        <v>27</v>
      </c>
      <c r="K145" s="52" t="s">
        <v>95</v>
      </c>
      <c r="L145" s="2"/>
    </row>
    <row r="146" spans="1:12" ht="15" x14ac:dyDescent="0.25">
      <c r="B146" s="44">
        <v>45567</v>
      </c>
      <c r="C146" s="42" t="s">
        <v>99</v>
      </c>
      <c r="D146" s="42"/>
      <c r="E146" s="60"/>
      <c r="F146" s="42" t="s">
        <v>100</v>
      </c>
      <c r="G146" s="10"/>
      <c r="H146" s="10"/>
      <c r="I146" s="29" t="e">
        <f>LOG(C146*0.000000001)</f>
        <v>#VALUE!</v>
      </c>
      <c r="J146" s="43" t="s">
        <v>27</v>
      </c>
      <c r="K146" s="61" t="s">
        <v>91</v>
      </c>
      <c r="L146" s="2"/>
    </row>
    <row r="147" spans="1:12" ht="15" x14ac:dyDescent="0.25">
      <c r="A147" s="28" t="s">
        <v>25</v>
      </c>
      <c r="B147" s="18">
        <v>45573</v>
      </c>
      <c r="C147" s="2" t="s">
        <v>115</v>
      </c>
      <c r="D147" s="2"/>
      <c r="E147" s="64"/>
      <c r="F147" s="2" t="s">
        <v>117</v>
      </c>
      <c r="G147" s="2"/>
      <c r="H147" s="10"/>
      <c r="I147" s="29" t="e">
        <f t="shared" ref="I147:I150" si="20">LOG(C147*0.000000001)</f>
        <v>#VALUE!</v>
      </c>
      <c r="J147" s="43" t="s">
        <v>34</v>
      </c>
      <c r="K147" s="61" t="s">
        <v>114</v>
      </c>
      <c r="L147" s="2"/>
    </row>
    <row r="148" spans="1:12" ht="15" x14ac:dyDescent="0.25">
      <c r="A148" s="28" t="s">
        <v>25</v>
      </c>
      <c r="B148" s="18">
        <v>45573</v>
      </c>
      <c r="C148" s="2" t="s">
        <v>116</v>
      </c>
      <c r="D148" s="2"/>
      <c r="E148" s="64"/>
      <c r="F148" s="2" t="s">
        <v>118</v>
      </c>
      <c r="G148" s="2"/>
      <c r="H148" s="10"/>
      <c r="I148" s="29" t="e">
        <f t="shared" si="20"/>
        <v>#VALUE!</v>
      </c>
      <c r="J148" s="43" t="s">
        <v>34</v>
      </c>
      <c r="K148" s="61" t="s">
        <v>114</v>
      </c>
      <c r="L148" s="2"/>
    </row>
    <row r="149" spans="1:12" ht="15" x14ac:dyDescent="0.25">
      <c r="A149" s="28"/>
      <c r="B149" s="18">
        <v>45574</v>
      </c>
      <c r="C149" s="2">
        <v>6.6890000000000001</v>
      </c>
      <c r="D149" s="2"/>
      <c r="E149" s="64"/>
      <c r="F149" s="2">
        <v>91.69</v>
      </c>
      <c r="G149" s="2"/>
      <c r="H149" s="10"/>
      <c r="I149" s="29">
        <f t="shared" si="20"/>
        <v>-8.1746388040473672</v>
      </c>
      <c r="J149" s="43" t="s">
        <v>34</v>
      </c>
      <c r="K149" s="61"/>
      <c r="L149" s="2"/>
    </row>
    <row r="150" spans="1:12" ht="15" x14ac:dyDescent="0.25">
      <c r="A150" s="75" t="s">
        <v>25</v>
      </c>
      <c r="B150" s="18">
        <v>45574</v>
      </c>
      <c r="C150" s="2">
        <v>7.9870000000000001</v>
      </c>
      <c r="D150" s="42"/>
      <c r="E150" s="60"/>
      <c r="F150" s="2">
        <v>108.3</v>
      </c>
      <c r="G150" s="10"/>
      <c r="H150" s="10"/>
      <c r="I150" s="29">
        <f t="shared" si="20"/>
        <v>-8.097616315567528</v>
      </c>
      <c r="J150" s="43" t="s">
        <v>34</v>
      </c>
      <c r="K150" s="61"/>
      <c r="L150" s="2"/>
    </row>
    <row r="151" spans="1:12" ht="15" x14ac:dyDescent="0.25">
      <c r="A151" s="75" t="s">
        <v>25</v>
      </c>
      <c r="B151" s="18">
        <v>45574</v>
      </c>
      <c r="C151" s="2">
        <v>7.9870000000000001</v>
      </c>
      <c r="D151" s="42"/>
      <c r="E151" s="60"/>
      <c r="F151" s="2">
        <v>108.3</v>
      </c>
      <c r="G151" s="10"/>
      <c r="H151" s="10"/>
      <c r="I151" s="29">
        <f>LOG(C151*0.000000001)</f>
        <v>-8.097616315567528</v>
      </c>
      <c r="J151" s="43" t="s">
        <v>34</v>
      </c>
      <c r="K151" s="61"/>
      <c r="L151" s="2"/>
    </row>
    <row r="152" spans="1:12" ht="15" x14ac:dyDescent="0.25">
      <c r="A152" s="11" t="s">
        <v>11</v>
      </c>
      <c r="B152" s="18"/>
      <c r="C152" s="2"/>
      <c r="D152" s="42"/>
      <c r="E152" s="60"/>
      <c r="F152" s="2"/>
      <c r="G152" s="10"/>
      <c r="H152" s="10"/>
      <c r="I152" s="29"/>
      <c r="K152" s="61"/>
      <c r="L152" s="2"/>
    </row>
    <row r="153" spans="1:12" ht="15" x14ac:dyDescent="0.25">
      <c r="A153" s="45"/>
      <c r="B153" s="12"/>
      <c r="C153" s="2"/>
      <c r="D153" s="10"/>
      <c r="E153" s="17"/>
      <c r="F153" s="2"/>
      <c r="G153" s="10"/>
      <c r="H153" s="10"/>
      <c r="I153" s="29"/>
      <c r="K153" s="6"/>
      <c r="L153" s="2"/>
    </row>
    <row r="154" spans="1:12" ht="15" x14ac:dyDescent="0.25">
      <c r="A154" s="51">
        <v>34489</v>
      </c>
      <c r="B154" s="2" t="s">
        <v>4</v>
      </c>
      <c r="C154" s="10" t="s">
        <v>21</v>
      </c>
      <c r="D154" s="10" t="s">
        <v>6</v>
      </c>
      <c r="E154" s="10" t="s">
        <v>7</v>
      </c>
      <c r="F154" s="10" t="s">
        <v>32</v>
      </c>
      <c r="G154" s="10" t="s">
        <v>9</v>
      </c>
      <c r="H154" s="10" t="s">
        <v>7</v>
      </c>
      <c r="I154" s="29" t="s">
        <v>19</v>
      </c>
      <c r="K154" s="6"/>
      <c r="L154" s="2"/>
    </row>
    <row r="155" spans="1:12" x14ac:dyDescent="0.2">
      <c r="A155" s="28" t="s">
        <v>25</v>
      </c>
      <c r="B155" s="44">
        <v>45518</v>
      </c>
      <c r="C155" s="2" t="s">
        <v>73</v>
      </c>
      <c r="D155" s="29">
        <f>AVERAGE(C155:C163)</f>
        <v>12.1774</v>
      </c>
      <c r="E155" s="29">
        <f>STDEV(C155:C163)/SQRT(COUNT(C155:C163))</f>
        <v>2.5593661246488355</v>
      </c>
      <c r="F155" s="2" t="s">
        <v>76</v>
      </c>
      <c r="G155" s="56">
        <f>AVERAGE(F155:F163)</f>
        <v>94.15285714285713</v>
      </c>
      <c r="H155" s="56">
        <f>STDEV(F155:F163)/SQRT(COUNT(F155:F163))</f>
        <v>3.9689591500410009</v>
      </c>
      <c r="I155" s="29" t="e">
        <f t="shared" ref="I155:I156" si="21">LOG(C155*0.000000001)</f>
        <v>#VALUE!</v>
      </c>
      <c r="J155" s="28" t="s">
        <v>27</v>
      </c>
      <c r="K155" s="6"/>
      <c r="L155" s="2"/>
    </row>
    <row r="156" spans="1:12" x14ac:dyDescent="0.2">
      <c r="B156" s="12">
        <v>45561</v>
      </c>
      <c r="C156" s="2">
        <v>6.6890000000000001</v>
      </c>
      <c r="D156" s="10"/>
      <c r="E156" s="10"/>
      <c r="F156" s="2">
        <v>99.09</v>
      </c>
      <c r="G156" s="10"/>
      <c r="H156" s="10"/>
      <c r="I156" s="29">
        <f t="shared" si="21"/>
        <v>-8.1746388040473672</v>
      </c>
      <c r="J156" s="43" t="s">
        <v>27</v>
      </c>
      <c r="K156" s="6"/>
      <c r="L156" s="2"/>
    </row>
    <row r="157" spans="1:12" ht="15" x14ac:dyDescent="0.25">
      <c r="A157" s="45"/>
      <c r="B157" s="12">
        <v>45566</v>
      </c>
      <c r="C157" s="2">
        <v>20.07</v>
      </c>
      <c r="D157" s="10"/>
      <c r="E157" s="17">
        <f>E155/D155</f>
        <v>0.2101734462733289</v>
      </c>
      <c r="F157" s="2">
        <v>95.79</v>
      </c>
      <c r="G157" s="10"/>
      <c r="H157" s="10"/>
      <c r="I157" s="29">
        <f>LOG(C157*0.000000001)</f>
        <v>-7.6974526275125141</v>
      </c>
      <c r="J157" s="43" t="s">
        <v>27</v>
      </c>
      <c r="K157" s="6"/>
      <c r="L157" s="2"/>
    </row>
    <row r="158" spans="1:12" ht="15" x14ac:dyDescent="0.25">
      <c r="B158" s="44">
        <v>45567</v>
      </c>
      <c r="C158" s="42" t="s">
        <v>93</v>
      </c>
      <c r="D158" s="42"/>
      <c r="E158" s="60"/>
      <c r="F158" s="42" t="s">
        <v>92</v>
      </c>
      <c r="G158" s="10"/>
      <c r="H158" s="10"/>
      <c r="I158" s="29" t="e">
        <f>LOG(C158*0.000000001)</f>
        <v>#VALUE!</v>
      </c>
      <c r="J158" s="43" t="s">
        <v>27</v>
      </c>
      <c r="K158" s="61" t="s">
        <v>91</v>
      </c>
      <c r="L158" s="2"/>
    </row>
    <row r="159" spans="1:12" ht="15" x14ac:dyDescent="0.25">
      <c r="A159" s="28" t="s">
        <v>25</v>
      </c>
      <c r="B159" s="18">
        <v>45573</v>
      </c>
      <c r="C159" s="2" t="s">
        <v>122</v>
      </c>
      <c r="D159" s="2"/>
      <c r="E159" s="64"/>
      <c r="F159" s="2">
        <v>85.89</v>
      </c>
      <c r="G159" s="2"/>
      <c r="H159" s="2"/>
      <c r="I159" s="29" t="e">
        <f t="shared" ref="I159:I160" si="22">LOG(C159*0.000000001)</f>
        <v>#VALUE!</v>
      </c>
      <c r="J159" s="43" t="s">
        <v>34</v>
      </c>
      <c r="K159" s="61" t="s">
        <v>114</v>
      </c>
      <c r="L159" s="2"/>
    </row>
    <row r="160" spans="1:12" ht="15" x14ac:dyDescent="0.25">
      <c r="A160" s="28" t="s">
        <v>25</v>
      </c>
      <c r="B160" s="18">
        <v>45573</v>
      </c>
      <c r="C160" s="2" t="s">
        <v>123</v>
      </c>
      <c r="D160" s="2"/>
      <c r="E160" s="64"/>
      <c r="F160" s="2">
        <v>110</v>
      </c>
      <c r="G160" s="2"/>
      <c r="H160" s="2"/>
      <c r="I160" s="29" t="e">
        <f t="shared" si="22"/>
        <v>#VALUE!</v>
      </c>
      <c r="J160" s="43" t="s">
        <v>34</v>
      </c>
      <c r="K160" s="61" t="s">
        <v>114</v>
      </c>
      <c r="L160" s="2"/>
    </row>
    <row r="161" spans="1:12" ht="15" x14ac:dyDescent="0.25">
      <c r="A161" s="28"/>
      <c r="B161" s="18">
        <v>45574</v>
      </c>
      <c r="C161" s="2">
        <v>8.9039999999999999</v>
      </c>
      <c r="D161" s="2"/>
      <c r="E161" s="64"/>
      <c r="F161" s="2">
        <v>83</v>
      </c>
      <c r="G161" s="2"/>
      <c r="H161" s="2"/>
      <c r="I161" s="29">
        <f t="shared" ref="I161:I162" si="23">LOG(C161*0.000000001)</f>
        <v>-8.0504148486733484</v>
      </c>
      <c r="J161" s="43" t="s">
        <v>34</v>
      </c>
      <c r="K161" s="61"/>
      <c r="L161" s="2"/>
    </row>
    <row r="162" spans="1:12" ht="15" x14ac:dyDescent="0.25">
      <c r="A162" s="28"/>
      <c r="B162" s="18">
        <v>45574</v>
      </c>
      <c r="C162" s="2">
        <v>16.32</v>
      </c>
      <c r="D162" s="2"/>
      <c r="E162" s="64"/>
      <c r="F162" s="2">
        <v>102.3</v>
      </c>
      <c r="G162" s="2"/>
      <c r="H162" s="2"/>
      <c r="I162" s="29">
        <f t="shared" si="23"/>
        <v>-7.7872798455821579</v>
      </c>
      <c r="J162" s="43" t="s">
        <v>34</v>
      </c>
      <c r="K162" s="61"/>
      <c r="L162" s="2"/>
    </row>
    <row r="163" spans="1:12" ht="15" x14ac:dyDescent="0.25">
      <c r="A163" s="75" t="s">
        <v>25</v>
      </c>
      <c r="B163" s="74">
        <v>45574</v>
      </c>
      <c r="C163" s="42">
        <v>8.9039999999999999</v>
      </c>
      <c r="D163" s="42"/>
      <c r="E163" s="60"/>
      <c r="F163" s="42">
        <v>83</v>
      </c>
      <c r="G163" s="10"/>
      <c r="H163" s="10"/>
      <c r="I163" s="29">
        <f>LOG(C163*0.000000001)</f>
        <v>-8.0504148486733484</v>
      </c>
      <c r="J163" s="43" t="s">
        <v>34</v>
      </c>
      <c r="K163" s="61"/>
      <c r="L163" s="2"/>
    </row>
    <row r="164" spans="1:12" ht="15" x14ac:dyDescent="0.25">
      <c r="A164" s="75" t="s">
        <v>25</v>
      </c>
      <c r="B164" s="74">
        <v>45574</v>
      </c>
      <c r="C164" s="42">
        <v>16.32</v>
      </c>
      <c r="D164" s="42"/>
      <c r="E164" s="60"/>
      <c r="F164" s="42">
        <v>102.3</v>
      </c>
      <c r="G164" s="10"/>
      <c r="H164" s="10"/>
      <c r="I164" s="29">
        <f>LOG(C164*0.000000001)</f>
        <v>-7.7872798455821579</v>
      </c>
      <c r="J164" s="43" t="s">
        <v>34</v>
      </c>
      <c r="K164" s="61"/>
      <c r="L164" s="2"/>
    </row>
    <row r="165" spans="1:12" ht="15" x14ac:dyDescent="0.25">
      <c r="A165" s="11" t="s">
        <v>11</v>
      </c>
      <c r="C165" s="42"/>
      <c r="D165" s="42"/>
      <c r="E165" s="60"/>
      <c r="F165" s="42"/>
      <c r="G165" s="10"/>
      <c r="H165" s="10"/>
      <c r="I165" s="29"/>
      <c r="K165" s="61"/>
      <c r="L165" s="2"/>
    </row>
    <row r="166" spans="1:12" ht="15" x14ac:dyDescent="0.25">
      <c r="A166" s="45"/>
      <c r="B166" s="12"/>
      <c r="C166" s="2"/>
      <c r="D166" s="10"/>
      <c r="E166" s="17"/>
      <c r="F166" s="2"/>
      <c r="G166" s="10"/>
      <c r="H166" s="10"/>
      <c r="I166" s="29"/>
      <c r="K166" s="6"/>
      <c r="L166" s="2"/>
    </row>
    <row r="167" spans="1:12" ht="15" x14ac:dyDescent="0.25">
      <c r="A167" s="51">
        <v>34490</v>
      </c>
      <c r="B167" s="2" t="s">
        <v>4</v>
      </c>
      <c r="C167" s="10" t="s">
        <v>21</v>
      </c>
      <c r="D167" s="10" t="s">
        <v>6</v>
      </c>
      <c r="E167" s="10" t="s">
        <v>7</v>
      </c>
      <c r="F167" s="10" t="s">
        <v>32</v>
      </c>
      <c r="G167" s="10" t="s">
        <v>9</v>
      </c>
      <c r="H167" s="10" t="s">
        <v>7</v>
      </c>
      <c r="I167" s="29" t="s">
        <v>19</v>
      </c>
      <c r="K167" s="6"/>
      <c r="L167" s="2"/>
    </row>
    <row r="168" spans="1:12" x14ac:dyDescent="0.2">
      <c r="A168" s="28" t="s">
        <v>25</v>
      </c>
      <c r="B168" s="44">
        <v>45518</v>
      </c>
      <c r="C168" s="2" t="s">
        <v>71</v>
      </c>
      <c r="D168" s="38">
        <f>AVERAGE(C168:C174)</f>
        <v>136.5275</v>
      </c>
      <c r="E168" s="38">
        <f>STDEV(C168:C174)/SQRT(COUNT(C168:C174))</f>
        <v>37.136299711333656</v>
      </c>
      <c r="F168" s="2">
        <v>78.34</v>
      </c>
      <c r="G168" s="29">
        <f>AVERAGE(F168:F174)</f>
        <v>74.522000000000006</v>
      </c>
      <c r="H168" s="29">
        <f>STDEV(F168:F174)/SQRT(COUNT(F168:F174))</f>
        <v>5.4379595437994839</v>
      </c>
      <c r="I168" s="29" t="e">
        <f t="shared" ref="I168:I169" si="24">LOG(C168*0.000000001)</f>
        <v>#VALUE!</v>
      </c>
      <c r="J168" s="28" t="s">
        <v>27</v>
      </c>
      <c r="K168" s="6"/>
      <c r="L168" s="2"/>
    </row>
    <row r="169" spans="1:12" x14ac:dyDescent="0.2">
      <c r="B169" s="12">
        <v>45561</v>
      </c>
      <c r="C169" s="2">
        <v>80.010000000000005</v>
      </c>
      <c r="D169" s="10"/>
      <c r="E169" s="10"/>
      <c r="F169" s="2">
        <v>91.38</v>
      </c>
      <c r="G169" s="10"/>
      <c r="H169" s="10"/>
      <c r="I169" s="29">
        <f t="shared" si="24"/>
        <v>-7.0968557295904615</v>
      </c>
      <c r="J169" s="43" t="s">
        <v>27</v>
      </c>
      <c r="K169" s="6"/>
      <c r="L169" s="2"/>
    </row>
    <row r="170" spans="1:12" ht="15" x14ac:dyDescent="0.25">
      <c r="A170" s="45"/>
      <c r="B170" s="18">
        <v>45566</v>
      </c>
      <c r="C170" s="2">
        <v>100.2</v>
      </c>
      <c r="D170" s="2"/>
      <c r="E170" s="64">
        <f>E168/D168</f>
        <v>0.27200600400163816</v>
      </c>
      <c r="F170" s="2">
        <v>58.58</v>
      </c>
      <c r="G170" s="10"/>
      <c r="H170" s="10"/>
      <c r="I170" s="29">
        <f>LOG(C170*0.000000001)</f>
        <v>-6.9991322784687728</v>
      </c>
      <c r="J170" s="43" t="s">
        <v>27</v>
      </c>
      <c r="L170" s="2"/>
    </row>
    <row r="171" spans="1:12" ht="15" x14ac:dyDescent="0.25">
      <c r="A171" s="11" t="s">
        <v>11</v>
      </c>
      <c r="B171" s="12">
        <v>45569</v>
      </c>
      <c r="C171" s="2">
        <v>120.8</v>
      </c>
      <c r="D171" s="10"/>
      <c r="E171" s="17"/>
      <c r="F171" s="2">
        <v>68.459999999999994</v>
      </c>
      <c r="G171" s="10"/>
      <c r="H171" s="10"/>
      <c r="I171" s="29">
        <f>LOG(C171*0.000000001)</f>
        <v>-6.9179330657148874</v>
      </c>
      <c r="J171" s="61" t="s">
        <v>27</v>
      </c>
      <c r="L171" s="2"/>
    </row>
    <row r="172" spans="1:12" ht="15" x14ac:dyDescent="0.25">
      <c r="A172" s="11"/>
      <c r="B172" s="12">
        <v>45569</v>
      </c>
      <c r="C172" s="2">
        <v>245.1</v>
      </c>
      <c r="D172" s="10"/>
      <c r="E172" s="17"/>
      <c r="F172" s="2">
        <v>75.849999999999994</v>
      </c>
      <c r="G172" s="10"/>
      <c r="H172" s="10"/>
      <c r="I172" s="29">
        <f>LOG(C172*0.000000001)</f>
        <v>-6.6106566887479223</v>
      </c>
      <c r="J172" s="61" t="s">
        <v>27</v>
      </c>
      <c r="L172" s="2"/>
    </row>
    <row r="173" spans="1:12" ht="15" x14ac:dyDescent="0.25">
      <c r="A173" s="11"/>
      <c r="B173" s="12"/>
      <c r="C173" s="2"/>
      <c r="D173" s="10"/>
      <c r="E173" s="17"/>
      <c r="F173" s="2"/>
      <c r="G173" s="10"/>
      <c r="H173" s="10"/>
      <c r="I173" s="29"/>
      <c r="J173" s="61"/>
      <c r="L173" s="2"/>
    </row>
    <row r="174" spans="1:12" ht="15" x14ac:dyDescent="0.25">
      <c r="A174" s="45"/>
      <c r="B174" s="12"/>
      <c r="C174" s="2"/>
      <c r="D174" s="10"/>
      <c r="E174" s="17"/>
      <c r="F174" s="2"/>
      <c r="G174" s="10"/>
      <c r="H174" s="10"/>
      <c r="I174" s="29"/>
      <c r="J174" s="61"/>
      <c r="K174" s="6"/>
      <c r="L174" s="2"/>
    </row>
    <row r="175" spans="1:12" ht="15" x14ac:dyDescent="0.25">
      <c r="A175" s="51">
        <v>34491</v>
      </c>
      <c r="B175" s="2" t="s">
        <v>4</v>
      </c>
      <c r="C175" s="10" t="s">
        <v>21</v>
      </c>
      <c r="D175" s="10" t="s">
        <v>6</v>
      </c>
      <c r="E175" s="10" t="s">
        <v>7</v>
      </c>
      <c r="F175" s="10" t="s">
        <v>32</v>
      </c>
      <c r="G175" s="10" t="s">
        <v>9</v>
      </c>
      <c r="H175" s="10" t="s">
        <v>7</v>
      </c>
      <c r="I175" s="29" t="s">
        <v>19</v>
      </c>
      <c r="J175" s="61"/>
      <c r="K175" s="6"/>
      <c r="L175" s="2"/>
    </row>
    <row r="176" spans="1:12" x14ac:dyDescent="0.2">
      <c r="A176" s="28" t="s">
        <v>25</v>
      </c>
      <c r="B176" s="44">
        <v>45518</v>
      </c>
      <c r="C176" s="2" t="s">
        <v>72</v>
      </c>
      <c r="D176" s="38">
        <f>AVERAGE(C176:C180)</f>
        <v>251.8</v>
      </c>
      <c r="E176" s="38">
        <f>STDEV(C176:C180)/SQRT(COUNT(C176:C180))</f>
        <v>57.061209824772064</v>
      </c>
      <c r="F176" s="2">
        <v>44.13</v>
      </c>
      <c r="G176" s="56">
        <f>AVERAGE(F176:F181)</f>
        <v>69.486000000000018</v>
      </c>
      <c r="H176" s="56">
        <f>STDEV(F176:F181)/SQRT(COUNT(F176:F181))</f>
        <v>7.4633300878361126</v>
      </c>
      <c r="I176" s="29" t="e">
        <f t="shared" ref="I176:I177" si="25">LOG(C176*0.000000001)</f>
        <v>#VALUE!</v>
      </c>
      <c r="J176" s="28" t="s">
        <v>27</v>
      </c>
      <c r="K176" s="6"/>
      <c r="L176" s="2"/>
    </row>
    <row r="177" spans="1:12" x14ac:dyDescent="0.2">
      <c r="A177" s="11" t="s">
        <v>11</v>
      </c>
      <c r="B177" s="12">
        <v>45561</v>
      </c>
      <c r="C177" s="2">
        <v>188.1</v>
      </c>
      <c r="D177" s="10"/>
      <c r="E177" s="10"/>
      <c r="F177" s="2">
        <v>87.7</v>
      </c>
      <c r="G177" s="10"/>
      <c r="H177" s="10"/>
      <c r="I177" s="29">
        <f t="shared" si="25"/>
        <v>-6.7256112044496215</v>
      </c>
      <c r="J177" s="61" t="s">
        <v>27</v>
      </c>
      <c r="K177" s="6"/>
      <c r="L177" s="2"/>
    </row>
    <row r="178" spans="1:12" ht="15" x14ac:dyDescent="0.25">
      <c r="A178" s="45"/>
      <c r="B178" s="12">
        <v>45567</v>
      </c>
      <c r="C178" s="2">
        <v>407.8</v>
      </c>
      <c r="D178" s="10"/>
      <c r="E178" s="17">
        <f>E176/D176</f>
        <v>0.22661322408567142</v>
      </c>
      <c r="F178" s="2">
        <v>63.2</v>
      </c>
      <c r="G178" s="10"/>
      <c r="H178" s="10"/>
      <c r="I178" s="29">
        <f>LOG(C178*0.000000001)</f>
        <v>-6.3895527785578787</v>
      </c>
      <c r="J178" s="61" t="s">
        <v>27</v>
      </c>
      <c r="K178" s="6"/>
      <c r="L178" s="2"/>
    </row>
    <row r="179" spans="1:12" ht="15" x14ac:dyDescent="0.25">
      <c r="A179" s="45"/>
      <c r="B179" s="12">
        <v>45569</v>
      </c>
      <c r="C179" s="2">
        <v>262.3</v>
      </c>
      <c r="D179" s="10"/>
      <c r="E179" s="17"/>
      <c r="F179" s="2">
        <v>74</v>
      </c>
      <c r="G179" s="10"/>
      <c r="H179" s="10"/>
      <c r="I179" s="29">
        <f>LOG(C179*0.000000001)</f>
        <v>-6.5812017094096467</v>
      </c>
      <c r="J179" s="61" t="s">
        <v>27</v>
      </c>
      <c r="K179" s="6"/>
      <c r="L179" s="2"/>
    </row>
    <row r="180" spans="1:12" ht="15" x14ac:dyDescent="0.25">
      <c r="A180" s="45"/>
      <c r="B180" s="65">
        <v>45569</v>
      </c>
      <c r="C180" s="2">
        <v>149</v>
      </c>
      <c r="D180" s="10"/>
      <c r="E180" s="17"/>
      <c r="F180" s="2">
        <v>78.400000000000006</v>
      </c>
      <c r="G180" s="10"/>
      <c r="H180" s="10"/>
      <c r="I180" s="29">
        <f>LOG(C180*0.000000001)</f>
        <v>-6.826813731587726</v>
      </c>
      <c r="J180" s="61" t="s">
        <v>27</v>
      </c>
      <c r="K180" s="6"/>
      <c r="L180" s="2"/>
    </row>
    <row r="181" spans="1:12" ht="15" x14ac:dyDescent="0.25">
      <c r="A181" s="45"/>
      <c r="B181" s="12"/>
      <c r="C181" s="2"/>
      <c r="D181" s="10"/>
      <c r="E181" s="17"/>
      <c r="F181" s="2"/>
      <c r="G181" s="10"/>
      <c r="H181" s="10"/>
      <c r="I181" s="29"/>
      <c r="J181" s="61"/>
      <c r="K181" s="6"/>
      <c r="L181" s="2"/>
    </row>
    <row r="182" spans="1:12" ht="15" x14ac:dyDescent="0.25">
      <c r="A182" s="9">
        <v>34492</v>
      </c>
      <c r="B182" s="2" t="s">
        <v>4</v>
      </c>
      <c r="C182" s="10" t="s">
        <v>21</v>
      </c>
      <c r="D182" s="10" t="s">
        <v>6</v>
      </c>
      <c r="E182" s="10" t="s">
        <v>7</v>
      </c>
      <c r="F182" s="10" t="s">
        <v>32</v>
      </c>
      <c r="G182" s="10" t="s">
        <v>9</v>
      </c>
      <c r="H182" s="10" t="s">
        <v>7</v>
      </c>
      <c r="I182" s="29" t="s">
        <v>19</v>
      </c>
      <c r="J182" s="61"/>
      <c r="K182" s="6"/>
      <c r="L182" s="2"/>
    </row>
    <row r="183" spans="1:12" x14ac:dyDescent="0.2">
      <c r="A183" s="11"/>
      <c r="B183" s="12">
        <v>45561</v>
      </c>
      <c r="C183" s="2">
        <v>280.8</v>
      </c>
      <c r="D183" s="56">
        <f>AVERAGE(C183:C186)</f>
        <v>366.36666666666662</v>
      </c>
      <c r="E183" s="56">
        <f>STDEV(C183:C186)/SQRT(COUNT(C183:C186))</f>
        <v>65.651360314247228</v>
      </c>
      <c r="F183" s="2">
        <v>98.47</v>
      </c>
      <c r="G183" s="29">
        <f>AVERAGE(F183:F186)</f>
        <v>78.34</v>
      </c>
      <c r="H183" s="56">
        <f>STDEV(F183:F186)/SQRT(COUNT(F183:F186))</f>
        <v>11.244878834385002</v>
      </c>
      <c r="I183" s="29">
        <f t="shared" ref="I183:I184" si="26">LOG(C183*0.000000001)</f>
        <v>-6.5516028965422324</v>
      </c>
      <c r="J183" s="28" t="s">
        <v>27</v>
      </c>
      <c r="K183" s="6"/>
      <c r="L183" s="2"/>
    </row>
    <row r="184" spans="1:12" x14ac:dyDescent="0.2">
      <c r="A184" s="28" t="s">
        <v>25</v>
      </c>
      <c r="B184" s="12">
        <v>45567</v>
      </c>
      <c r="C184" s="2">
        <v>322.89999999999998</v>
      </c>
      <c r="D184" s="10"/>
      <c r="E184" s="10"/>
      <c r="F184" s="2">
        <v>76.959999999999994</v>
      </c>
      <c r="G184" s="10"/>
      <c r="H184" s="10"/>
      <c r="I184" s="29">
        <f t="shared" si="26"/>
        <v>-6.4909319549828384</v>
      </c>
      <c r="J184" s="43" t="s">
        <v>34</v>
      </c>
      <c r="K184" s="6"/>
      <c r="L184" s="2"/>
    </row>
    <row r="185" spans="1:12" ht="15" x14ac:dyDescent="0.25">
      <c r="A185" s="45"/>
      <c r="B185" s="12">
        <v>45567</v>
      </c>
      <c r="C185" s="2">
        <v>495.4</v>
      </c>
      <c r="D185" s="10"/>
      <c r="E185" s="17">
        <f>E183/D183</f>
        <v>0.17919577922185581</v>
      </c>
      <c r="F185" s="2">
        <v>59.59</v>
      </c>
      <c r="G185" s="10"/>
      <c r="H185" s="10"/>
      <c r="I185" s="29">
        <f>LOG(C185*0.000000001)</f>
        <v>-6.3050439977501815</v>
      </c>
      <c r="J185" s="61" t="s">
        <v>27</v>
      </c>
      <c r="K185" s="6"/>
      <c r="L185" s="2"/>
    </row>
    <row r="186" spans="1:12" ht="15" x14ac:dyDescent="0.25">
      <c r="A186" s="11" t="s">
        <v>75</v>
      </c>
      <c r="B186" s="12"/>
      <c r="C186" s="2"/>
      <c r="D186" s="10"/>
      <c r="E186" s="17"/>
      <c r="F186" s="2"/>
      <c r="G186" s="10"/>
      <c r="H186" s="10"/>
      <c r="I186" s="29"/>
      <c r="J186" s="61"/>
      <c r="K186" s="6"/>
      <c r="L186" s="2"/>
    </row>
    <row r="187" spans="1:12" ht="15" x14ac:dyDescent="0.25">
      <c r="A187" s="45"/>
      <c r="B187" s="12"/>
      <c r="C187" s="2"/>
      <c r="D187" s="10"/>
      <c r="E187" s="17"/>
      <c r="F187" s="2"/>
      <c r="G187" s="10"/>
      <c r="H187" s="10"/>
      <c r="I187" s="29"/>
      <c r="J187" s="61"/>
      <c r="K187" s="6"/>
      <c r="L187" s="2"/>
    </row>
    <row r="188" spans="1:12" ht="15" x14ac:dyDescent="0.25">
      <c r="A188" s="9">
        <v>34493</v>
      </c>
      <c r="B188" s="2" t="s">
        <v>4</v>
      </c>
      <c r="C188" s="10" t="s">
        <v>21</v>
      </c>
      <c r="D188" s="10" t="s">
        <v>6</v>
      </c>
      <c r="E188" s="10" t="s">
        <v>7</v>
      </c>
      <c r="F188" s="10" t="s">
        <v>32</v>
      </c>
      <c r="G188" s="10" t="s">
        <v>9</v>
      </c>
      <c r="H188" s="10" t="s">
        <v>7</v>
      </c>
      <c r="I188" s="29" t="s">
        <v>19</v>
      </c>
      <c r="J188" s="61"/>
      <c r="K188" s="6"/>
      <c r="L188" s="2"/>
    </row>
    <row r="189" spans="1:12" x14ac:dyDescent="0.2">
      <c r="A189" s="11"/>
      <c r="B189" s="12">
        <v>45561</v>
      </c>
      <c r="C189" s="2">
        <v>429.6</v>
      </c>
      <c r="D189" s="56">
        <f>AVERAGE(C189:C192)</f>
        <v>419.63333333333338</v>
      </c>
      <c r="E189" s="56">
        <f>STDEV(C189:C192)/SQRT(COUNT(C189:C192))</f>
        <v>66.84111342911963</v>
      </c>
      <c r="F189" s="2">
        <v>100.5</v>
      </c>
      <c r="G189" s="29">
        <f>AVERAGE(F189:F192)</f>
        <v>81.39</v>
      </c>
      <c r="H189" s="56">
        <f>STDEV(F189:F192)/SQRT(COUNT(F189:F192))</f>
        <v>10.442079933295512</v>
      </c>
      <c r="I189" s="29">
        <f t="shared" ref="I189:I190" si="27">LOG(C189*0.000000001)</f>
        <v>-6.3669357273085012</v>
      </c>
      <c r="J189" s="28" t="s">
        <v>27</v>
      </c>
      <c r="K189" s="6"/>
      <c r="L189" s="2"/>
    </row>
    <row r="190" spans="1:12" x14ac:dyDescent="0.2">
      <c r="A190" s="28" t="s">
        <v>25</v>
      </c>
      <c r="B190" s="12">
        <v>45567</v>
      </c>
      <c r="C190" s="2">
        <v>530.1</v>
      </c>
      <c r="D190" s="10"/>
      <c r="E190" s="10"/>
      <c r="F190" s="2">
        <v>79.13</v>
      </c>
      <c r="G190" s="10"/>
      <c r="H190" s="10"/>
      <c r="I190" s="29">
        <f t="shared" si="27"/>
        <v>-6.2756421957735737</v>
      </c>
      <c r="J190" s="43" t="s">
        <v>34</v>
      </c>
      <c r="K190" s="6"/>
      <c r="L190" s="2"/>
    </row>
    <row r="191" spans="1:12" ht="15" x14ac:dyDescent="0.25">
      <c r="A191" s="45"/>
      <c r="B191" s="12">
        <v>45567</v>
      </c>
      <c r="C191" s="2">
        <v>299.2</v>
      </c>
      <c r="D191" s="10"/>
      <c r="E191" s="17">
        <f>E189/D189</f>
        <v>0.15928456611911898</v>
      </c>
      <c r="F191" s="2">
        <v>64.540000000000006</v>
      </c>
      <c r="G191" s="10"/>
      <c r="H191" s="10"/>
      <c r="I191" s="29">
        <f>LOG(C191*0.000000001)</f>
        <v>-6.5240384108075764</v>
      </c>
      <c r="J191" s="61" t="s">
        <v>27</v>
      </c>
      <c r="K191" s="6"/>
      <c r="L191" s="2"/>
    </row>
    <row r="192" spans="1:12" ht="15" x14ac:dyDescent="0.25">
      <c r="A192" s="11" t="s">
        <v>75</v>
      </c>
      <c r="B192" s="12"/>
      <c r="C192" s="2"/>
      <c r="D192" s="10"/>
      <c r="E192" s="17"/>
      <c r="F192" s="2"/>
      <c r="G192" s="10"/>
      <c r="H192" s="10"/>
      <c r="I192" s="29"/>
      <c r="J192" s="61"/>
      <c r="K192" s="6"/>
      <c r="L192" s="2"/>
    </row>
    <row r="193" spans="1:12" ht="15" x14ac:dyDescent="0.25">
      <c r="A193" s="45"/>
      <c r="B193" s="12"/>
      <c r="C193" s="2"/>
      <c r="D193" s="10"/>
      <c r="E193" s="17"/>
      <c r="F193" s="2"/>
      <c r="G193" s="10"/>
      <c r="H193" s="10"/>
      <c r="I193" s="29"/>
      <c r="J193" s="61"/>
      <c r="K193" s="6"/>
      <c r="L193" s="2"/>
    </row>
    <row r="194" spans="1:12" ht="15" x14ac:dyDescent="0.25">
      <c r="A194" s="51">
        <v>34494</v>
      </c>
      <c r="B194" s="2" t="s">
        <v>4</v>
      </c>
      <c r="C194" s="10" t="s">
        <v>21</v>
      </c>
      <c r="D194" s="10" t="s">
        <v>6</v>
      </c>
      <c r="E194" s="10" t="s">
        <v>7</v>
      </c>
      <c r="F194" s="10" t="s">
        <v>32</v>
      </c>
      <c r="G194" s="10" t="s">
        <v>9</v>
      </c>
      <c r="H194" s="10" t="s">
        <v>7</v>
      </c>
      <c r="I194" s="29" t="s">
        <v>19</v>
      </c>
      <c r="J194" s="61"/>
      <c r="K194" s="6"/>
      <c r="L194" s="2"/>
    </row>
    <row r="195" spans="1:12" x14ac:dyDescent="0.2">
      <c r="A195" s="28" t="s">
        <v>25</v>
      </c>
      <c r="B195" s="12">
        <v>45567</v>
      </c>
      <c r="C195" s="2">
        <v>566.29999999999995</v>
      </c>
      <c r="D195" s="38">
        <f>AVERAGE(C195:C199)</f>
        <v>802.90000000000009</v>
      </c>
      <c r="E195" s="38">
        <f>STDEV(C195:C199)/SQRT(COUNT(C195:C199))</f>
        <v>245.27748571770698</v>
      </c>
      <c r="F195" s="2">
        <v>45.5</v>
      </c>
      <c r="G195" s="29">
        <f>AVERAGE(F195:F199)</f>
        <v>61.268000000000008</v>
      </c>
      <c r="H195" s="29">
        <f>STDEV(F195:F199)/SQRT(COUNT(F195:F199))</f>
        <v>4.6934011121999681</v>
      </c>
      <c r="I195" s="29">
        <f t="shared" ref="I195:I196" si="28">LOG(C195*0.000000001)</f>
        <v>-6.2469534383734713</v>
      </c>
      <c r="J195" s="43" t="s">
        <v>34</v>
      </c>
      <c r="K195" s="6"/>
      <c r="L195" s="2"/>
    </row>
    <row r="196" spans="1:12" x14ac:dyDescent="0.2">
      <c r="B196" s="12">
        <v>45566</v>
      </c>
      <c r="C196" s="2">
        <v>184.1</v>
      </c>
      <c r="D196" s="10"/>
      <c r="E196" s="10"/>
      <c r="F196" s="2">
        <v>65.03</v>
      </c>
      <c r="G196" s="10"/>
      <c r="H196" s="10"/>
      <c r="I196" s="29">
        <f t="shared" si="28"/>
        <v>-6.734946211495985</v>
      </c>
      <c r="J196" s="61" t="s">
        <v>27</v>
      </c>
      <c r="K196" s="6"/>
      <c r="L196" s="2"/>
    </row>
    <row r="197" spans="1:12" ht="15" x14ac:dyDescent="0.25">
      <c r="B197" s="12">
        <v>45567</v>
      </c>
      <c r="C197" s="2">
        <v>1677</v>
      </c>
      <c r="D197" s="10"/>
      <c r="E197" s="17">
        <f>E195/D195</f>
        <v>0.30548945786238257</v>
      </c>
      <c r="F197" s="2">
        <v>56.04</v>
      </c>
      <c r="G197" s="10"/>
      <c r="H197" s="10"/>
      <c r="I197" s="29">
        <f>LOG(C197*0.000000001)</f>
        <v>-5.7754669373939143</v>
      </c>
      <c r="J197" s="61" t="s">
        <v>27</v>
      </c>
      <c r="K197" s="6"/>
      <c r="L197" s="2"/>
    </row>
    <row r="198" spans="1:12" ht="15" x14ac:dyDescent="0.25">
      <c r="A198" s="11" t="s">
        <v>11</v>
      </c>
      <c r="B198" s="65">
        <v>45569</v>
      </c>
      <c r="C198" s="2">
        <v>800.7</v>
      </c>
      <c r="D198" s="10"/>
      <c r="E198" s="17"/>
      <c r="F198" s="2">
        <v>68.900000000000006</v>
      </c>
      <c r="G198" s="10"/>
      <c r="H198" s="10"/>
      <c r="I198" s="29">
        <f>LOG(C198*0.000000001)</f>
        <v>-6.0965301714928302</v>
      </c>
      <c r="J198" s="61" t="s">
        <v>27</v>
      </c>
      <c r="K198" s="6"/>
      <c r="L198" s="2"/>
    </row>
    <row r="199" spans="1:12" x14ac:dyDescent="0.2">
      <c r="A199" s="11"/>
      <c r="B199" s="65">
        <v>45569</v>
      </c>
      <c r="C199" s="19">
        <v>786.4</v>
      </c>
      <c r="D199" s="19"/>
      <c r="E199" s="19"/>
      <c r="F199" s="19">
        <v>70.87</v>
      </c>
      <c r="G199" s="6"/>
      <c r="H199" s="20"/>
      <c r="I199" s="57">
        <f>LOG(C199*0.000000001)</f>
        <v>-6.1043564951759208</v>
      </c>
      <c r="J199" s="61" t="s">
        <v>27</v>
      </c>
    </row>
    <row r="200" spans="1:12" ht="15" x14ac:dyDescent="0.25">
      <c r="A200" s="1" t="s">
        <v>14</v>
      </c>
      <c r="B200" s="18"/>
      <c r="C200" s="6"/>
      <c r="D200" s="6"/>
      <c r="E200" s="6"/>
      <c r="F200" s="6"/>
      <c r="G200" s="6"/>
      <c r="H200" s="41"/>
      <c r="I200" s="57"/>
      <c r="J200" s="61"/>
    </row>
    <row r="201" spans="1:12" x14ac:dyDescent="0.2">
      <c r="A201" s="27" t="s">
        <v>20</v>
      </c>
      <c r="B201" s="2" t="s">
        <v>4</v>
      </c>
      <c r="C201" s="10" t="s">
        <v>18</v>
      </c>
      <c r="D201" s="10" t="s">
        <v>6</v>
      </c>
      <c r="E201" s="10" t="s">
        <v>7</v>
      </c>
      <c r="F201" s="10" t="s">
        <v>32</v>
      </c>
      <c r="G201" s="10" t="s">
        <v>9</v>
      </c>
      <c r="H201" s="10" t="s">
        <v>7</v>
      </c>
      <c r="I201" s="29" t="s">
        <v>19</v>
      </c>
    </row>
    <row r="202" spans="1:12" ht="15" x14ac:dyDescent="0.25">
      <c r="A202" s="28" t="s">
        <v>16</v>
      </c>
      <c r="B202" s="44">
        <v>45525</v>
      </c>
      <c r="C202" s="42" t="s">
        <v>49</v>
      </c>
      <c r="D202" s="29">
        <f>AVERAGE(C202:C208)</f>
        <v>11.244199999999999</v>
      </c>
      <c r="E202" s="29">
        <f>STDEV(C202:C208)/SQRT(COUNT(C202:C208))</f>
        <v>2.4728218374965887</v>
      </c>
      <c r="F202" s="42" t="s">
        <v>50</v>
      </c>
      <c r="G202" s="29">
        <f>AVERAGE(F202:F208)</f>
        <v>97.692000000000007</v>
      </c>
      <c r="H202" s="29">
        <f>STDEV(F202:F208)/SQRT(COUNT(F202:F208))</f>
        <v>3.756191422172197</v>
      </c>
      <c r="I202" s="68" t="e">
        <f>LOG(C202*0.000000001)</f>
        <v>#VALUE!</v>
      </c>
      <c r="J202" s="40" t="s">
        <v>27</v>
      </c>
      <c r="K202" s="15" t="s">
        <v>42</v>
      </c>
    </row>
    <row r="203" spans="1:12" x14ac:dyDescent="0.2">
      <c r="A203" s="11" t="s">
        <v>11</v>
      </c>
      <c r="B203" s="12">
        <v>45561</v>
      </c>
      <c r="C203" s="10">
        <v>3.5470000000000002</v>
      </c>
      <c r="D203" s="10"/>
      <c r="E203" s="10"/>
      <c r="F203" s="10">
        <v>84.97</v>
      </c>
      <c r="G203" s="10"/>
      <c r="H203" s="10"/>
      <c r="I203" s="29">
        <f t="shared" ref="I203" si="29">LOG(C203*0.000000001)</f>
        <v>-8.450138811528058</v>
      </c>
      <c r="J203" s="43" t="s">
        <v>27</v>
      </c>
    </row>
    <row r="204" spans="1:12" ht="15" x14ac:dyDescent="0.25">
      <c r="A204" s="45"/>
      <c r="B204" s="12">
        <v>45567</v>
      </c>
      <c r="C204" s="10">
        <v>16.93</v>
      </c>
      <c r="D204" s="29"/>
      <c r="E204" s="17">
        <f>E202/D202</f>
        <v>0.21991976641260283</v>
      </c>
      <c r="F204" s="10">
        <v>97.89</v>
      </c>
      <c r="G204" s="10"/>
      <c r="H204" s="10"/>
      <c r="I204" s="29">
        <f>LOG(C204*0.000000001)</f>
        <v>-7.7713430418910647</v>
      </c>
      <c r="J204" s="43" t="s">
        <v>34</v>
      </c>
    </row>
    <row r="205" spans="1:12" ht="15" x14ac:dyDescent="0.25">
      <c r="A205" s="45"/>
      <c r="B205" s="12">
        <v>45566</v>
      </c>
      <c r="C205" s="10">
        <v>13.81</v>
      </c>
      <c r="D205" s="29"/>
      <c r="E205" s="17"/>
      <c r="F205" s="10">
        <v>98.48</v>
      </c>
      <c r="G205" s="10"/>
      <c r="H205" s="10"/>
      <c r="I205" s="29">
        <f>LOG(C205*0.000000001)</f>
        <v>-7.8598063214213685</v>
      </c>
      <c r="J205" s="43" t="s">
        <v>27</v>
      </c>
    </row>
    <row r="206" spans="1:12" ht="15" x14ac:dyDescent="0.25">
      <c r="A206" s="45"/>
      <c r="B206" s="12">
        <v>45567</v>
      </c>
      <c r="C206" s="10">
        <v>14.43</v>
      </c>
      <c r="D206" s="29"/>
      <c r="E206" s="17"/>
      <c r="F206" s="10">
        <v>98.52</v>
      </c>
      <c r="G206" s="10"/>
      <c r="H206" s="10"/>
      <c r="I206" s="29">
        <f>LOG(C206*0.000000001)</f>
        <v>-7.8407336689065055</v>
      </c>
      <c r="J206" s="43" t="s">
        <v>27</v>
      </c>
    </row>
    <row r="207" spans="1:12" x14ac:dyDescent="0.2">
      <c r="A207" s="11"/>
      <c r="B207" s="12">
        <v>45573</v>
      </c>
      <c r="C207" s="10" t="s">
        <v>113</v>
      </c>
      <c r="D207" s="10"/>
      <c r="E207" s="10"/>
      <c r="G207" s="10">
        <v>104.1</v>
      </c>
      <c r="H207" s="10"/>
      <c r="I207" s="29" t="e">
        <f>LOG(C207*0.000000001)</f>
        <v>#VALUE!</v>
      </c>
      <c r="J207" s="43" t="s">
        <v>34</v>
      </c>
    </row>
    <row r="208" spans="1:12" ht="15" thickBot="1" x14ac:dyDescent="0.25">
      <c r="A208" s="39"/>
      <c r="B208" s="70">
        <v>45574</v>
      </c>
      <c r="C208" s="34">
        <v>7.5039999999999996</v>
      </c>
      <c r="D208" s="34"/>
      <c r="E208" s="34"/>
      <c r="F208" s="34">
        <v>108.6</v>
      </c>
      <c r="G208" s="34"/>
      <c r="H208" s="34"/>
      <c r="I208" s="72">
        <f>LOG(C208*0.000000001)</f>
        <v>-8.1247071746289912</v>
      </c>
      <c r="J208" s="76" t="s">
        <v>34</v>
      </c>
      <c r="K208" s="39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3"/>
  <sheetViews>
    <sheetView tabSelected="1" topLeftCell="A129" workbookViewId="0">
      <selection activeCell="O155" sqref="O155"/>
    </sheetView>
  </sheetViews>
  <sheetFormatPr defaultColWidth="9.140625" defaultRowHeight="14.25" x14ac:dyDescent="0.2"/>
  <cols>
    <col min="1" max="1" width="30.7109375" style="21" customWidth="1"/>
    <col min="2" max="2" width="10.28515625" style="21" bestFit="1" customWidth="1"/>
    <col min="3" max="3" width="10.85546875" style="21" customWidth="1"/>
    <col min="4" max="4" width="9.42578125" style="21" bestFit="1" customWidth="1"/>
    <col min="5" max="5" width="9.28515625" style="21" bestFit="1" customWidth="1"/>
    <col min="6" max="6" width="11.42578125" style="21" customWidth="1"/>
    <col min="7" max="8" width="9.28515625" style="21" bestFit="1" customWidth="1"/>
    <col min="9" max="9" width="9.42578125" style="21" bestFit="1" customWidth="1"/>
    <col min="10" max="16384" width="9.140625" style="21"/>
  </cols>
  <sheetData>
    <row r="1" spans="1:13" ht="15" x14ac:dyDescent="0.25">
      <c r="A1" s="7" t="s">
        <v>124</v>
      </c>
      <c r="B1" s="2"/>
      <c r="C1" s="3" t="s">
        <v>22</v>
      </c>
      <c r="D1" s="2"/>
      <c r="E1" s="2"/>
      <c r="F1" s="2" t="s">
        <v>1</v>
      </c>
      <c r="G1" s="4" t="s">
        <v>112</v>
      </c>
      <c r="H1" s="5"/>
      <c r="I1" s="2"/>
      <c r="J1" s="6"/>
      <c r="K1" s="6"/>
      <c r="L1" s="42"/>
    </row>
    <row r="2" spans="1:13" ht="15" x14ac:dyDescent="0.25">
      <c r="A2" s="7" t="s">
        <v>125</v>
      </c>
      <c r="B2" s="2"/>
      <c r="C2" s="3" t="s">
        <v>2</v>
      </c>
      <c r="D2" s="2"/>
      <c r="E2" s="2"/>
      <c r="F2" s="2"/>
      <c r="G2" s="2"/>
      <c r="H2" s="2"/>
      <c r="I2" s="6"/>
      <c r="J2" s="6"/>
      <c r="K2" s="6"/>
      <c r="L2" s="2"/>
    </row>
    <row r="3" spans="1:13" ht="15" x14ac:dyDescent="0.25">
      <c r="A3" s="7"/>
      <c r="B3" s="2"/>
      <c r="C3" s="3"/>
      <c r="D3" s="2"/>
      <c r="E3" s="2"/>
      <c r="F3" s="2"/>
      <c r="G3" s="2"/>
      <c r="H3" s="2"/>
      <c r="I3" s="6"/>
      <c r="J3" s="6"/>
      <c r="K3" s="6"/>
      <c r="L3" s="2"/>
    </row>
    <row r="4" spans="1:13" ht="15" x14ac:dyDescent="0.25">
      <c r="A4" s="8" t="s">
        <v>3</v>
      </c>
      <c r="B4" s="2"/>
      <c r="C4" s="3"/>
      <c r="D4" s="2"/>
      <c r="E4" s="2"/>
      <c r="F4" s="2"/>
      <c r="G4" s="2"/>
      <c r="H4" s="2"/>
      <c r="I4" s="6"/>
      <c r="J4" s="6"/>
      <c r="K4" s="6"/>
      <c r="L4" s="2"/>
    </row>
    <row r="5" spans="1:13" ht="15" x14ac:dyDescent="0.25">
      <c r="A5" s="9">
        <v>34485</v>
      </c>
      <c r="B5" s="2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7</v>
      </c>
      <c r="I5" s="10" t="s">
        <v>10</v>
      </c>
      <c r="J5" s="10"/>
      <c r="K5" s="6"/>
      <c r="L5" s="2"/>
      <c r="M5" s="6"/>
    </row>
    <row r="6" spans="1:13" x14ac:dyDescent="0.2">
      <c r="A6" s="28" t="s">
        <v>25</v>
      </c>
      <c r="B6" s="12">
        <v>45435</v>
      </c>
      <c r="C6" s="2">
        <v>1241</v>
      </c>
      <c r="D6" s="13">
        <f>AVERAGE(C6:C9)</f>
        <v>1241</v>
      </c>
      <c r="E6" s="13" t="e">
        <f>STDEV(C6:C9)/SQRT(COUNT(C6:C9))</f>
        <v>#DIV/0!</v>
      </c>
      <c r="F6" s="2">
        <v>7.25</v>
      </c>
      <c r="G6" s="13">
        <f>AVERAGE(F6:F9)</f>
        <v>2.5400000000000005</v>
      </c>
      <c r="H6" s="13">
        <f>STDEV(F6:F9)/SQRT(COUNT(F6:F9))</f>
        <v>2.9666872658460872</v>
      </c>
      <c r="I6" s="10">
        <f t="shared" ref="I6:I7" si="0">LOG(C6*0.000000001)</f>
        <v>-5.90622821850127</v>
      </c>
      <c r="J6" s="6" t="s">
        <v>34</v>
      </c>
      <c r="K6" s="28" t="s">
        <v>23</v>
      </c>
      <c r="L6" s="40" t="s">
        <v>26</v>
      </c>
    </row>
    <row r="7" spans="1:13" x14ac:dyDescent="0.2">
      <c r="A7" s="28" t="s">
        <v>36</v>
      </c>
      <c r="B7" s="12">
        <v>45526</v>
      </c>
      <c r="C7" s="11" t="s">
        <v>35</v>
      </c>
      <c r="D7" s="10"/>
      <c r="E7" s="10"/>
      <c r="F7" s="2">
        <v>-2.94</v>
      </c>
      <c r="G7" s="10"/>
      <c r="H7" s="10"/>
      <c r="I7" s="10" t="e">
        <f t="shared" si="0"/>
        <v>#VALUE!</v>
      </c>
      <c r="J7" s="10" t="s">
        <v>27</v>
      </c>
      <c r="K7" s="11"/>
      <c r="L7" s="2"/>
    </row>
    <row r="8" spans="1:13" ht="15" x14ac:dyDescent="0.25">
      <c r="A8" s="28" t="s">
        <v>25</v>
      </c>
      <c r="B8" s="12">
        <v>45560</v>
      </c>
      <c r="C8" s="2"/>
      <c r="D8" s="10"/>
      <c r="E8" s="17" t="e">
        <f>E6/D6</f>
        <v>#DIV/0!</v>
      </c>
      <c r="F8" s="21">
        <v>3.31</v>
      </c>
      <c r="G8" s="10"/>
      <c r="H8" s="10"/>
      <c r="I8" s="10" t="e">
        <f>LOG(C8*0.000000001)</f>
        <v>#NUM!</v>
      </c>
      <c r="J8" s="6" t="s">
        <v>34</v>
      </c>
      <c r="K8" s="6"/>
      <c r="L8" s="2"/>
    </row>
    <row r="9" spans="1:13" ht="15" x14ac:dyDescent="0.25">
      <c r="A9" s="50" t="s">
        <v>62</v>
      </c>
      <c r="B9" s="12"/>
      <c r="C9" s="2"/>
      <c r="D9" s="10"/>
      <c r="E9" s="17"/>
      <c r="F9" s="2"/>
      <c r="G9" s="10"/>
      <c r="H9" s="10"/>
      <c r="I9" s="10" t="e">
        <f>LOG(C9*0.000000001)</f>
        <v>#NUM!</v>
      </c>
      <c r="J9" s="10"/>
      <c r="K9" s="6"/>
      <c r="L9" s="2"/>
    </row>
    <row r="10" spans="1:13" ht="15.75" x14ac:dyDescent="0.25">
      <c r="A10" s="16"/>
      <c r="B10" s="12"/>
      <c r="C10" s="2"/>
      <c r="D10" s="10"/>
      <c r="E10" s="17"/>
      <c r="F10" s="2"/>
      <c r="G10" s="10"/>
      <c r="H10" s="10"/>
      <c r="I10" s="10"/>
      <c r="J10" s="10"/>
      <c r="K10" s="6"/>
      <c r="L10" s="2"/>
    </row>
    <row r="11" spans="1:13" ht="15" x14ac:dyDescent="0.25">
      <c r="A11" s="9">
        <v>34486</v>
      </c>
      <c r="B11" s="2" t="s">
        <v>4</v>
      </c>
      <c r="C11" s="10" t="s">
        <v>5</v>
      </c>
      <c r="D11" s="10" t="s">
        <v>6</v>
      </c>
      <c r="E11" s="10" t="s">
        <v>7</v>
      </c>
      <c r="F11" s="10" t="s">
        <v>8</v>
      </c>
      <c r="G11" s="10" t="s">
        <v>9</v>
      </c>
      <c r="H11" s="10" t="s">
        <v>7</v>
      </c>
      <c r="I11" s="10" t="s">
        <v>10</v>
      </c>
      <c r="J11" s="10"/>
      <c r="K11" s="6"/>
      <c r="L11" s="2"/>
    </row>
    <row r="12" spans="1:13" x14ac:dyDescent="0.2">
      <c r="A12" s="28" t="s">
        <v>25</v>
      </c>
      <c r="B12" s="12">
        <v>45435</v>
      </c>
      <c r="C12" s="2">
        <v>35.14</v>
      </c>
      <c r="D12" s="13">
        <f>AVERAGE(C12:C15)</f>
        <v>35.14</v>
      </c>
      <c r="E12" s="13" t="e">
        <f>STDEV(C12:C15)/SQRT(COUNT(C12:C15))</f>
        <v>#DIV/0!</v>
      </c>
      <c r="F12" s="2">
        <v>3.4550000000000001</v>
      </c>
      <c r="G12" s="13">
        <f>AVERAGE(F12:F15)</f>
        <v>0.89833333333333332</v>
      </c>
      <c r="H12" s="13">
        <f>STDEV(F12:F15)/SQRT(COUNT(F12:F15))</f>
        <v>1.9151421473207793</v>
      </c>
      <c r="I12" s="10">
        <f t="shared" ref="I12:I13" si="1">LOG(C12*0.000000001)</f>
        <v>-7.4541982428407234</v>
      </c>
      <c r="J12" s="6" t="s">
        <v>34</v>
      </c>
      <c r="K12" s="6"/>
      <c r="L12" s="40" t="s">
        <v>26</v>
      </c>
    </row>
    <row r="13" spans="1:13" x14ac:dyDescent="0.2">
      <c r="A13" s="28" t="s">
        <v>36</v>
      </c>
      <c r="B13" s="12">
        <v>45526</v>
      </c>
      <c r="C13" s="11" t="s">
        <v>35</v>
      </c>
      <c r="D13" s="10"/>
      <c r="E13" s="10"/>
      <c r="F13" s="2">
        <v>-2.85</v>
      </c>
      <c r="G13" s="10"/>
      <c r="H13" s="10"/>
      <c r="I13" s="10" t="e">
        <f t="shared" si="1"/>
        <v>#VALUE!</v>
      </c>
      <c r="J13" s="10" t="s">
        <v>27</v>
      </c>
      <c r="K13" s="6"/>
      <c r="L13" s="2"/>
    </row>
    <row r="14" spans="1:13" ht="15" x14ac:dyDescent="0.25">
      <c r="A14" s="28" t="s">
        <v>25</v>
      </c>
      <c r="B14" s="12">
        <v>45560</v>
      </c>
      <c r="C14" s="2"/>
      <c r="D14" s="10"/>
      <c r="E14" s="17" t="e">
        <f>E12/D12</f>
        <v>#DIV/0!</v>
      </c>
      <c r="F14" s="21">
        <v>2.09</v>
      </c>
      <c r="G14" s="10"/>
      <c r="H14" s="10"/>
      <c r="I14" s="10" t="e">
        <f>LOG(C14*0.000000001)</f>
        <v>#NUM!</v>
      </c>
      <c r="J14" s="6" t="s">
        <v>34</v>
      </c>
      <c r="K14" s="6"/>
      <c r="L14" s="2"/>
    </row>
    <row r="15" spans="1:13" ht="15" x14ac:dyDescent="0.25">
      <c r="A15" s="50" t="s">
        <v>62</v>
      </c>
      <c r="B15" s="12"/>
      <c r="C15" s="2"/>
      <c r="D15" s="10"/>
      <c r="E15" s="17"/>
      <c r="F15" s="2"/>
      <c r="G15" s="10"/>
      <c r="H15" s="10"/>
      <c r="I15" s="10" t="e">
        <f>LOG(C15*0.000000001)</f>
        <v>#NUM!</v>
      </c>
      <c r="J15" s="10"/>
      <c r="K15" s="6"/>
      <c r="L15" s="2"/>
    </row>
    <row r="16" spans="1:13" ht="15.75" x14ac:dyDescent="0.25">
      <c r="A16" s="16"/>
      <c r="B16" s="12"/>
      <c r="C16" s="2"/>
      <c r="D16" s="10"/>
      <c r="E16" s="17"/>
      <c r="F16" s="2"/>
      <c r="G16" s="10"/>
      <c r="H16" s="10"/>
      <c r="I16" s="10"/>
      <c r="J16" s="10"/>
      <c r="K16" s="6"/>
      <c r="L16" s="2"/>
    </row>
    <row r="17" spans="1:12" ht="15" x14ac:dyDescent="0.25">
      <c r="A17" s="9">
        <v>34487</v>
      </c>
      <c r="B17" s="2" t="s">
        <v>4</v>
      </c>
      <c r="C17" s="10" t="s">
        <v>5</v>
      </c>
      <c r="D17" s="10" t="s">
        <v>6</v>
      </c>
      <c r="E17" s="10" t="s">
        <v>7</v>
      </c>
      <c r="F17" s="10" t="s">
        <v>8</v>
      </c>
      <c r="G17" s="10" t="s">
        <v>9</v>
      </c>
      <c r="H17" s="10" t="s">
        <v>7</v>
      </c>
      <c r="I17" s="10" t="s">
        <v>10</v>
      </c>
      <c r="J17" s="10"/>
      <c r="K17" s="6"/>
      <c r="L17" s="2"/>
    </row>
    <row r="18" spans="1:12" x14ac:dyDescent="0.2">
      <c r="A18" s="28" t="s">
        <v>25</v>
      </c>
      <c r="B18" s="12">
        <v>45435</v>
      </c>
      <c r="C18" s="2">
        <v>2053</v>
      </c>
      <c r="D18" s="13">
        <f>AVERAGE(C18:C21)</f>
        <v>2053</v>
      </c>
      <c r="E18" s="13" t="e">
        <f>STDEV(C18:C21)/SQRT(COUNT(C18:C21))</f>
        <v>#DIV/0!</v>
      </c>
      <c r="F18" s="2">
        <v>2.0569999999999999</v>
      </c>
      <c r="G18" s="13">
        <f>AVERAGE(F18:F21)</f>
        <v>0.32233333333333336</v>
      </c>
      <c r="H18" s="13">
        <f>STDEV(F18:F21)/SQRT(COUNT(F18:F21))</f>
        <v>1.5452104854822997</v>
      </c>
      <c r="I18" s="10">
        <f t="shared" ref="I18:I19" si="2">LOG(C18*0.000000001)</f>
        <v>-5.6876110506294077</v>
      </c>
      <c r="J18" s="6" t="s">
        <v>34</v>
      </c>
      <c r="K18" s="6"/>
      <c r="L18" s="40" t="s">
        <v>26</v>
      </c>
    </row>
    <row r="19" spans="1:12" x14ac:dyDescent="0.2">
      <c r="A19" s="28" t="s">
        <v>36</v>
      </c>
      <c r="B19" s="12">
        <v>45526</v>
      </c>
      <c r="C19" s="11" t="s">
        <v>35</v>
      </c>
      <c r="D19" s="10"/>
      <c r="E19" s="10"/>
      <c r="F19" s="2">
        <v>-2.76</v>
      </c>
      <c r="G19" s="10"/>
      <c r="H19" s="10"/>
      <c r="I19" s="10" t="e">
        <f t="shared" si="2"/>
        <v>#VALUE!</v>
      </c>
      <c r="J19" s="10" t="s">
        <v>27</v>
      </c>
      <c r="K19" s="6"/>
      <c r="L19" s="2"/>
    </row>
    <row r="20" spans="1:12" ht="15" x14ac:dyDescent="0.25">
      <c r="A20" s="28" t="s">
        <v>25</v>
      </c>
      <c r="B20" s="12">
        <v>45560</v>
      </c>
      <c r="C20" s="2"/>
      <c r="D20" s="10"/>
      <c r="E20" s="17" t="e">
        <f>E18/D18</f>
        <v>#DIV/0!</v>
      </c>
      <c r="F20" s="21">
        <v>1.67</v>
      </c>
      <c r="G20" s="10"/>
      <c r="H20" s="10"/>
      <c r="I20" s="10" t="e">
        <f>LOG(C20*0.000000001)</f>
        <v>#NUM!</v>
      </c>
      <c r="J20" s="6" t="s">
        <v>34</v>
      </c>
      <c r="K20" s="6"/>
      <c r="L20" s="2"/>
    </row>
    <row r="21" spans="1:12" ht="15" x14ac:dyDescent="0.25">
      <c r="A21" s="50" t="s">
        <v>62</v>
      </c>
      <c r="B21" s="12"/>
      <c r="C21" s="2"/>
      <c r="D21" s="10"/>
      <c r="E21" s="17"/>
      <c r="F21" s="2"/>
      <c r="G21" s="10"/>
      <c r="H21" s="10"/>
      <c r="I21" s="10" t="e">
        <f>LOG(C21*0.000000001)</f>
        <v>#NUM!</v>
      </c>
      <c r="J21" s="10"/>
      <c r="K21" s="6"/>
      <c r="L21" s="2"/>
    </row>
    <row r="22" spans="1:12" ht="15.75" x14ac:dyDescent="0.25">
      <c r="A22" s="16"/>
      <c r="B22" s="12"/>
      <c r="C22" s="2"/>
      <c r="D22" s="10"/>
      <c r="E22" s="17"/>
      <c r="F22" s="2"/>
      <c r="G22" s="10"/>
      <c r="H22" s="10"/>
      <c r="I22" s="10"/>
      <c r="J22" s="10"/>
      <c r="K22" s="6"/>
      <c r="L22" s="2"/>
    </row>
    <row r="23" spans="1:12" ht="15" x14ac:dyDescent="0.25">
      <c r="A23" s="9">
        <v>34488</v>
      </c>
      <c r="B23" s="2" t="s">
        <v>4</v>
      </c>
      <c r="C23" s="10" t="s">
        <v>5</v>
      </c>
      <c r="D23" s="10" t="s">
        <v>6</v>
      </c>
      <c r="E23" s="10" t="s">
        <v>7</v>
      </c>
      <c r="F23" s="10" t="s">
        <v>8</v>
      </c>
      <c r="G23" s="10" t="s">
        <v>9</v>
      </c>
      <c r="H23" s="10" t="s">
        <v>7</v>
      </c>
      <c r="I23" s="10" t="s">
        <v>10</v>
      </c>
      <c r="J23" s="10"/>
      <c r="K23" s="6"/>
      <c r="L23" s="2"/>
    </row>
    <row r="24" spans="1:12" x14ac:dyDescent="0.2">
      <c r="A24" s="28" t="s">
        <v>25</v>
      </c>
      <c r="B24" s="12">
        <v>45435</v>
      </c>
      <c r="C24" s="2" t="s">
        <v>12</v>
      </c>
      <c r="D24" s="13" t="e">
        <f>AVERAGE(C24:C27)</f>
        <v>#DIV/0!</v>
      </c>
      <c r="E24" s="13" t="e">
        <f>STDEV(C24:C27)/SQRT(COUNT(C24:C27))</f>
        <v>#DIV/0!</v>
      </c>
      <c r="F24" s="2">
        <v>-0.34</v>
      </c>
      <c r="G24" s="13">
        <f>AVERAGE(F24:F27)</f>
        <v>-2.9299999999999997</v>
      </c>
      <c r="H24" s="13">
        <f>STDEV(F24:F27)/SQRT(COUNT(F24:F27))</f>
        <v>2.211492708556825</v>
      </c>
      <c r="I24" s="10" t="e">
        <f t="shared" ref="I24:I25" si="3">LOG(C24*0.000000001)</f>
        <v>#VALUE!</v>
      </c>
      <c r="J24" s="6" t="s">
        <v>34</v>
      </c>
      <c r="K24" s="6"/>
      <c r="L24" s="40"/>
    </row>
    <row r="25" spans="1:12" x14ac:dyDescent="0.2">
      <c r="A25" s="28" t="s">
        <v>36</v>
      </c>
      <c r="B25" s="12">
        <v>45526</v>
      </c>
      <c r="C25" s="11" t="s">
        <v>35</v>
      </c>
      <c r="D25" s="10"/>
      <c r="E25" s="10"/>
      <c r="F25" s="2">
        <v>-7.33</v>
      </c>
      <c r="G25" s="10"/>
      <c r="H25" s="10"/>
      <c r="I25" s="10" t="e">
        <f t="shared" si="3"/>
        <v>#VALUE!</v>
      </c>
      <c r="J25" s="10" t="s">
        <v>27</v>
      </c>
      <c r="K25" s="6"/>
      <c r="L25" s="2"/>
    </row>
    <row r="26" spans="1:12" ht="15" x14ac:dyDescent="0.25">
      <c r="A26" s="28" t="s">
        <v>36</v>
      </c>
      <c r="B26" s="12">
        <v>45560</v>
      </c>
      <c r="C26" s="2" t="s">
        <v>12</v>
      </c>
      <c r="D26" s="10"/>
      <c r="E26" s="17" t="e">
        <f>E24/D24</f>
        <v>#DIV/0!</v>
      </c>
      <c r="F26" s="2">
        <v>-1.1200000000000001</v>
      </c>
      <c r="G26" s="10"/>
      <c r="H26" s="10"/>
      <c r="I26" s="10" t="e">
        <f>LOG(C26*0.000000001)</f>
        <v>#VALUE!</v>
      </c>
      <c r="J26" s="6" t="s">
        <v>34</v>
      </c>
      <c r="K26" s="6"/>
      <c r="L26" s="2"/>
    </row>
    <row r="27" spans="1:12" ht="15" x14ac:dyDescent="0.25">
      <c r="A27" s="50" t="s">
        <v>62</v>
      </c>
      <c r="B27" s="12"/>
      <c r="C27" s="2"/>
      <c r="D27" s="10"/>
      <c r="E27" s="17"/>
      <c r="F27" s="2"/>
      <c r="G27" s="10"/>
      <c r="H27" s="10"/>
      <c r="I27" s="10" t="e">
        <f>LOG(C27*0.000000001)</f>
        <v>#NUM!</v>
      </c>
      <c r="J27" s="10"/>
      <c r="K27" s="6"/>
      <c r="L27" s="2"/>
    </row>
    <row r="28" spans="1:12" ht="15.75" x14ac:dyDescent="0.25">
      <c r="A28" s="16"/>
      <c r="B28" s="12"/>
      <c r="C28" s="2"/>
      <c r="D28" s="10"/>
      <c r="E28" s="17"/>
      <c r="F28" s="2"/>
      <c r="G28" s="10"/>
      <c r="H28" s="10"/>
      <c r="I28" s="10"/>
      <c r="J28" s="10"/>
      <c r="K28" s="6"/>
      <c r="L28" s="2"/>
    </row>
    <row r="29" spans="1:12" ht="15" x14ac:dyDescent="0.25">
      <c r="A29" s="9">
        <v>34489</v>
      </c>
      <c r="B29" s="2" t="s">
        <v>4</v>
      </c>
      <c r="C29" s="10" t="s">
        <v>5</v>
      </c>
      <c r="D29" s="10" t="s">
        <v>6</v>
      </c>
      <c r="E29" s="10" t="s">
        <v>7</v>
      </c>
      <c r="F29" s="10" t="s">
        <v>8</v>
      </c>
      <c r="G29" s="10" t="s">
        <v>9</v>
      </c>
      <c r="H29" s="10" t="s">
        <v>7</v>
      </c>
      <c r="I29" s="10" t="s">
        <v>10</v>
      </c>
      <c r="J29" s="10"/>
      <c r="K29" s="6"/>
      <c r="L29" s="2"/>
    </row>
    <row r="30" spans="1:12" x14ac:dyDescent="0.2">
      <c r="A30" s="28" t="s">
        <v>25</v>
      </c>
      <c r="B30" s="12">
        <v>45435</v>
      </c>
      <c r="C30" s="2" t="s">
        <v>12</v>
      </c>
      <c r="D30" s="13" t="e">
        <f>AVERAGE(C30:C33)</f>
        <v>#DIV/0!</v>
      </c>
      <c r="E30" s="13" t="e">
        <f>STDEV(C30:C33)/SQRT(COUNT(C30:C33))</f>
        <v>#DIV/0!</v>
      </c>
      <c r="F30" s="2">
        <v>-0.96</v>
      </c>
      <c r="G30" s="13">
        <f>AVERAGE(F30:F33)</f>
        <v>-2.6733333333333333</v>
      </c>
      <c r="H30" s="13">
        <f>STDEV(F30:F33)/SQRT(COUNT(F30:F33))</f>
        <v>1.6290726741854633</v>
      </c>
      <c r="I30" s="10" t="e">
        <f t="shared" ref="I30:I31" si="4">LOG(C30*0.000000001)</f>
        <v>#VALUE!</v>
      </c>
      <c r="J30" s="6" t="s">
        <v>34</v>
      </c>
      <c r="K30" s="6"/>
      <c r="L30" s="40"/>
    </row>
    <row r="31" spans="1:12" x14ac:dyDescent="0.2">
      <c r="A31" s="28" t="s">
        <v>36</v>
      </c>
      <c r="B31" s="12">
        <v>45526</v>
      </c>
      <c r="C31" s="11" t="s">
        <v>35</v>
      </c>
      <c r="D31" s="10"/>
      <c r="E31" s="10"/>
      <c r="F31" s="2">
        <v>-5.93</v>
      </c>
      <c r="G31" s="10"/>
      <c r="H31" s="10"/>
      <c r="I31" s="10" t="e">
        <f t="shared" si="4"/>
        <v>#VALUE!</v>
      </c>
      <c r="J31" s="10" t="s">
        <v>27</v>
      </c>
      <c r="K31" s="6"/>
      <c r="L31" s="2"/>
    </row>
    <row r="32" spans="1:12" ht="15" x14ac:dyDescent="0.25">
      <c r="A32" s="28" t="s">
        <v>36</v>
      </c>
      <c r="B32" s="12">
        <v>45560</v>
      </c>
      <c r="C32" s="2"/>
      <c r="D32" s="10"/>
      <c r="E32" s="17" t="e">
        <f>E30/D30</f>
        <v>#DIV/0!</v>
      </c>
      <c r="F32" s="2">
        <v>-1.1299999999999999</v>
      </c>
      <c r="G32" s="10"/>
      <c r="H32" s="10"/>
      <c r="I32" s="10" t="e">
        <f>LOG(C32*0.000000001)</f>
        <v>#NUM!</v>
      </c>
      <c r="J32" s="6" t="s">
        <v>34</v>
      </c>
      <c r="K32" s="6"/>
      <c r="L32" s="2"/>
    </row>
    <row r="33" spans="1:12" ht="15" x14ac:dyDescent="0.25">
      <c r="A33" s="50" t="s">
        <v>62</v>
      </c>
      <c r="B33" s="12"/>
      <c r="C33" s="2"/>
      <c r="D33" s="10"/>
      <c r="E33" s="17"/>
      <c r="F33" s="2"/>
      <c r="G33" s="10"/>
      <c r="H33" s="10"/>
      <c r="I33" s="10" t="e">
        <f>LOG(C33*0.000000001)</f>
        <v>#NUM!</v>
      </c>
      <c r="J33" s="10"/>
      <c r="K33" s="6"/>
      <c r="L33" s="2"/>
    </row>
    <row r="34" spans="1:12" ht="15.75" x14ac:dyDescent="0.25">
      <c r="A34" s="16"/>
      <c r="B34" s="12"/>
      <c r="C34" s="2"/>
      <c r="D34" s="10"/>
      <c r="E34" s="17"/>
      <c r="F34" s="2"/>
      <c r="G34" s="10"/>
      <c r="H34" s="10"/>
      <c r="I34" s="10"/>
      <c r="J34" s="10"/>
      <c r="K34" s="6"/>
      <c r="L34" s="2"/>
    </row>
    <row r="35" spans="1:12" ht="15" x14ac:dyDescent="0.25">
      <c r="A35" s="9">
        <v>34490</v>
      </c>
      <c r="B35" s="2" t="s">
        <v>4</v>
      </c>
      <c r="C35" s="10" t="s">
        <v>5</v>
      </c>
      <c r="D35" s="10" t="s">
        <v>6</v>
      </c>
      <c r="E35" s="10" t="s">
        <v>7</v>
      </c>
      <c r="F35" s="10" t="s">
        <v>8</v>
      </c>
      <c r="G35" s="10" t="s">
        <v>9</v>
      </c>
      <c r="H35" s="10" t="s">
        <v>7</v>
      </c>
      <c r="I35" s="10" t="s">
        <v>10</v>
      </c>
      <c r="J35" s="10"/>
      <c r="K35" s="6"/>
      <c r="L35" s="2"/>
    </row>
    <row r="36" spans="1:12" x14ac:dyDescent="0.2">
      <c r="A36" s="28" t="s">
        <v>25</v>
      </c>
      <c r="B36" s="12">
        <v>45435</v>
      </c>
      <c r="C36" s="2">
        <v>2.7989999999999999</v>
      </c>
      <c r="D36" s="13">
        <f>AVERAGE(C36:C39)</f>
        <v>2.7989999999999999</v>
      </c>
      <c r="E36" s="13" t="e">
        <f>STDEV(C36:C39)/SQRT(COUNT(C36:C39))</f>
        <v>#DIV/0!</v>
      </c>
      <c r="F36" s="2">
        <v>8.4789999999999992</v>
      </c>
      <c r="G36" s="13">
        <f>AVERAGE(F36:F39)</f>
        <v>3.1063333333333332</v>
      </c>
      <c r="H36" s="13">
        <f>STDEV(F36:F39)/SQRT(COUNT(F36:F39))</f>
        <v>2.7907741060700544</v>
      </c>
      <c r="I36" s="10">
        <f t="shared" ref="I36:I37" si="5">LOG(C36*0.000000001)</f>
        <v>-8.5529971015338369</v>
      </c>
      <c r="J36" s="6" t="s">
        <v>34</v>
      </c>
      <c r="K36" s="6"/>
      <c r="L36" s="40" t="s">
        <v>26</v>
      </c>
    </row>
    <row r="37" spans="1:12" x14ac:dyDescent="0.2">
      <c r="A37" s="28" t="s">
        <v>36</v>
      </c>
      <c r="B37" s="12">
        <v>45526</v>
      </c>
      <c r="C37" s="11" t="s">
        <v>35</v>
      </c>
      <c r="D37" s="10"/>
      <c r="E37" s="10"/>
      <c r="F37" s="2">
        <v>-0.89</v>
      </c>
      <c r="G37" s="10"/>
      <c r="H37" s="10"/>
      <c r="I37" s="10" t="e">
        <f t="shared" si="5"/>
        <v>#VALUE!</v>
      </c>
      <c r="J37" s="10" t="s">
        <v>27</v>
      </c>
      <c r="K37" s="6"/>
      <c r="L37" s="2"/>
    </row>
    <row r="38" spans="1:12" ht="15" x14ac:dyDescent="0.25">
      <c r="A38" s="28" t="s">
        <v>25</v>
      </c>
      <c r="B38" s="12">
        <v>45560</v>
      </c>
      <c r="C38" s="2"/>
      <c r="D38" s="10"/>
      <c r="E38" s="17" t="e">
        <f>E36/D36</f>
        <v>#DIV/0!</v>
      </c>
      <c r="F38" s="21">
        <v>1.73</v>
      </c>
      <c r="G38" s="10"/>
      <c r="H38" s="10"/>
      <c r="I38" s="10" t="e">
        <f>LOG(C38*0.000000001)</f>
        <v>#NUM!</v>
      </c>
      <c r="J38" s="6" t="s">
        <v>34</v>
      </c>
      <c r="K38" s="6"/>
      <c r="L38" s="2"/>
    </row>
    <row r="39" spans="1:12" ht="15" x14ac:dyDescent="0.25">
      <c r="A39" s="50" t="s">
        <v>62</v>
      </c>
      <c r="B39" s="12"/>
      <c r="C39" s="2"/>
      <c r="D39" s="10"/>
      <c r="E39" s="17"/>
      <c r="F39" s="2"/>
      <c r="G39" s="10"/>
      <c r="H39" s="10"/>
      <c r="I39" s="10" t="e">
        <f>LOG(C39*0.000000001)</f>
        <v>#NUM!</v>
      </c>
      <c r="J39" s="6" t="s">
        <v>34</v>
      </c>
      <c r="K39" s="6"/>
      <c r="L39" s="2"/>
    </row>
    <row r="40" spans="1:12" ht="15.75" x14ac:dyDescent="0.25">
      <c r="A40" s="16"/>
      <c r="B40" s="12"/>
      <c r="C40" s="2"/>
      <c r="D40" s="10"/>
      <c r="E40" s="17"/>
      <c r="F40" s="2"/>
      <c r="G40" s="10"/>
      <c r="H40" s="10"/>
      <c r="I40" s="10"/>
      <c r="J40" s="6"/>
      <c r="K40" s="6"/>
      <c r="L40" s="2"/>
    </row>
    <row r="41" spans="1:12" ht="15" x14ac:dyDescent="0.25">
      <c r="A41" s="9">
        <v>34491</v>
      </c>
      <c r="B41" s="2" t="s">
        <v>4</v>
      </c>
      <c r="C41" s="10" t="s">
        <v>5</v>
      </c>
      <c r="D41" s="10" t="s">
        <v>6</v>
      </c>
      <c r="E41" s="10" t="s">
        <v>7</v>
      </c>
      <c r="F41" s="10" t="s">
        <v>8</v>
      </c>
      <c r="G41" s="10" t="s">
        <v>9</v>
      </c>
      <c r="H41" s="10" t="s">
        <v>7</v>
      </c>
      <c r="I41" s="10" t="s">
        <v>10</v>
      </c>
      <c r="J41" s="6"/>
      <c r="K41" s="6"/>
      <c r="L41" s="2"/>
    </row>
    <row r="42" spans="1:12" x14ac:dyDescent="0.2">
      <c r="A42" s="28" t="s">
        <v>25</v>
      </c>
      <c r="B42" s="12">
        <v>45435</v>
      </c>
      <c r="C42" s="2">
        <v>0.63449999999999995</v>
      </c>
      <c r="D42" s="13">
        <f>AVERAGE(C42:C45)</f>
        <v>0.63449999999999995</v>
      </c>
      <c r="E42" s="13" t="e">
        <f>STDEV(C42:C45)/SQRT(COUNT(C42:C45))</f>
        <v>#DIV/0!</v>
      </c>
      <c r="F42" s="2">
        <v>5.2110000000000003</v>
      </c>
      <c r="G42" s="13">
        <f>AVERAGE(F42:F45)</f>
        <v>1.0369999999999999</v>
      </c>
      <c r="H42" s="13">
        <f>STDEV(F42:F45)/SQRT(COUNT(F42:F45))</f>
        <v>2.7493458009739942</v>
      </c>
      <c r="I42" s="10">
        <f t="shared" ref="I42:I43" si="6">LOG(C42*0.000000001)</f>
        <v>-9.1975683735692773</v>
      </c>
      <c r="J42" s="6" t="s">
        <v>34</v>
      </c>
      <c r="K42" s="6"/>
      <c r="L42" s="40" t="s">
        <v>26</v>
      </c>
    </row>
    <row r="43" spans="1:12" x14ac:dyDescent="0.2">
      <c r="A43" s="28" t="s">
        <v>36</v>
      </c>
      <c r="B43" s="12">
        <v>45526</v>
      </c>
      <c r="C43" s="11" t="s">
        <v>35</v>
      </c>
      <c r="D43" s="10"/>
      <c r="E43" s="10"/>
      <c r="F43" s="2">
        <v>-4.1500000000000004</v>
      </c>
      <c r="G43" s="10"/>
      <c r="H43" s="10"/>
      <c r="I43" s="10" t="e">
        <f t="shared" si="6"/>
        <v>#VALUE!</v>
      </c>
      <c r="J43" s="10" t="s">
        <v>27</v>
      </c>
      <c r="K43" s="6"/>
      <c r="L43" s="2"/>
    </row>
    <row r="44" spans="1:12" ht="15" x14ac:dyDescent="0.25">
      <c r="A44" s="28" t="s">
        <v>25</v>
      </c>
      <c r="B44" s="12">
        <v>45560</v>
      </c>
      <c r="C44" s="2"/>
      <c r="D44" s="10"/>
      <c r="E44" s="17" t="e">
        <f>E42/D42</f>
        <v>#DIV/0!</v>
      </c>
      <c r="F44" s="2">
        <v>2.0499999999999998</v>
      </c>
      <c r="G44" s="10"/>
      <c r="H44" s="10"/>
      <c r="I44" s="10" t="e">
        <f>LOG(C44*0.000000001)</f>
        <v>#NUM!</v>
      </c>
      <c r="J44" s="6" t="s">
        <v>34</v>
      </c>
      <c r="K44" s="6"/>
      <c r="L44" s="2"/>
    </row>
    <row r="45" spans="1:12" ht="15" x14ac:dyDescent="0.25">
      <c r="A45" s="50" t="s">
        <v>62</v>
      </c>
      <c r="B45" s="12"/>
      <c r="C45" s="2"/>
      <c r="D45" s="10"/>
      <c r="E45" s="17"/>
      <c r="F45" s="2"/>
      <c r="G45" s="10"/>
      <c r="H45" s="10"/>
      <c r="I45" s="10" t="e">
        <f>LOG(C45*0.000000001)</f>
        <v>#NUM!</v>
      </c>
      <c r="J45" s="6"/>
      <c r="K45" s="6"/>
      <c r="L45" s="2"/>
    </row>
    <row r="46" spans="1:12" ht="15.75" x14ac:dyDescent="0.25">
      <c r="A46" s="16"/>
      <c r="B46" s="12"/>
      <c r="C46" s="2"/>
      <c r="D46" s="10"/>
      <c r="E46" s="17"/>
      <c r="F46" s="2"/>
      <c r="G46" s="10"/>
      <c r="H46" s="10"/>
      <c r="I46" s="10"/>
      <c r="J46" s="6"/>
      <c r="K46" s="6"/>
      <c r="L46" s="2"/>
    </row>
    <row r="47" spans="1:12" ht="15" x14ac:dyDescent="0.25">
      <c r="A47" s="9">
        <v>34492</v>
      </c>
      <c r="B47" s="2" t="s">
        <v>4</v>
      </c>
      <c r="C47" s="10" t="s">
        <v>5</v>
      </c>
      <c r="D47" s="10" t="s">
        <v>6</v>
      </c>
      <c r="E47" s="10" t="s">
        <v>7</v>
      </c>
      <c r="F47" s="10" t="s">
        <v>8</v>
      </c>
      <c r="G47" s="10" t="s">
        <v>9</v>
      </c>
      <c r="H47" s="10" t="s">
        <v>7</v>
      </c>
      <c r="I47" s="10" t="s">
        <v>10</v>
      </c>
      <c r="J47" s="6"/>
      <c r="K47" s="6"/>
      <c r="L47" s="2"/>
    </row>
    <row r="48" spans="1:12" x14ac:dyDescent="0.2">
      <c r="A48" s="28" t="s">
        <v>25</v>
      </c>
      <c r="B48" s="12">
        <v>45435</v>
      </c>
      <c r="C48" s="2">
        <v>0.55779999999999996</v>
      </c>
      <c r="D48" s="13">
        <f>AVERAGE(C48:C51)</f>
        <v>0.55779999999999996</v>
      </c>
      <c r="E48" s="13" t="e">
        <f>STDEV(C48:C51)/SQRT(COUNT(C48:C51))</f>
        <v>#DIV/0!</v>
      </c>
      <c r="F48" s="2">
        <v>6.0659999999999998</v>
      </c>
      <c r="G48" s="13">
        <f>AVERAGE(F48:F51)</f>
        <v>2.6053333333333333</v>
      </c>
      <c r="H48" s="13">
        <f>STDEV(F48:F51)/SQRT(COUNT(F48:F51))</f>
        <v>1.96831445093963</v>
      </c>
      <c r="I48" s="10">
        <f t="shared" ref="I48:I49" si="7">LOG(C48*0.000000001)</f>
        <v>-9.2535214900699696</v>
      </c>
      <c r="J48" s="6" t="s">
        <v>34</v>
      </c>
      <c r="K48" s="6"/>
      <c r="L48" s="40" t="s">
        <v>26</v>
      </c>
    </row>
    <row r="49" spans="1:12" x14ac:dyDescent="0.2">
      <c r="A49" s="28" t="s">
        <v>36</v>
      </c>
      <c r="B49" s="12">
        <v>45526</v>
      </c>
      <c r="C49" s="11" t="s">
        <v>35</v>
      </c>
      <c r="D49" s="10"/>
      <c r="E49" s="10"/>
      <c r="F49" s="2">
        <v>-0.75</v>
      </c>
      <c r="G49" s="10"/>
      <c r="H49" s="10"/>
      <c r="I49" s="10" t="e">
        <f t="shared" si="7"/>
        <v>#VALUE!</v>
      </c>
      <c r="J49" s="10" t="s">
        <v>27</v>
      </c>
      <c r="K49" s="6"/>
      <c r="L49" s="2"/>
    </row>
    <row r="50" spans="1:12" ht="15" x14ac:dyDescent="0.25">
      <c r="A50" s="28" t="s">
        <v>25</v>
      </c>
      <c r="B50" s="12">
        <v>45560</v>
      </c>
      <c r="C50" s="2"/>
      <c r="D50" s="10"/>
      <c r="E50" s="17" t="e">
        <f>E48/D48</f>
        <v>#DIV/0!</v>
      </c>
      <c r="F50" s="2">
        <v>2.5</v>
      </c>
      <c r="G50" s="10"/>
      <c r="H50" s="10"/>
      <c r="I50" s="10" t="e">
        <f>LOG(C50*0.000000001)</f>
        <v>#NUM!</v>
      </c>
      <c r="J50" s="6" t="s">
        <v>34</v>
      </c>
      <c r="K50" s="6"/>
      <c r="L50" s="2"/>
    </row>
    <row r="51" spans="1:12" ht="15" x14ac:dyDescent="0.25">
      <c r="A51" s="50" t="s">
        <v>62</v>
      </c>
      <c r="B51" s="12"/>
      <c r="C51" s="2"/>
      <c r="D51" s="10"/>
      <c r="E51" s="17"/>
      <c r="F51" s="2"/>
      <c r="G51" s="10"/>
      <c r="H51" s="10"/>
      <c r="I51" s="10" t="e">
        <f>LOG(C51*0.000000001)</f>
        <v>#NUM!</v>
      </c>
      <c r="J51" s="6"/>
      <c r="K51" s="6"/>
      <c r="L51" s="2"/>
    </row>
    <row r="52" spans="1:12" ht="15.75" x14ac:dyDescent="0.25">
      <c r="A52" s="16"/>
      <c r="B52" s="12"/>
      <c r="C52" s="2"/>
      <c r="D52" s="10"/>
      <c r="E52" s="17"/>
      <c r="F52" s="2"/>
      <c r="G52" s="10"/>
      <c r="H52" s="10"/>
      <c r="I52" s="10"/>
      <c r="J52" s="6"/>
      <c r="K52" s="6"/>
      <c r="L52" s="2"/>
    </row>
    <row r="53" spans="1:12" ht="15" x14ac:dyDescent="0.25">
      <c r="A53" s="9">
        <v>34493</v>
      </c>
      <c r="B53" s="2" t="s">
        <v>4</v>
      </c>
      <c r="C53" s="10" t="s">
        <v>5</v>
      </c>
      <c r="D53" s="10" t="s">
        <v>6</v>
      </c>
      <c r="E53" s="10" t="s">
        <v>7</v>
      </c>
      <c r="F53" s="10" t="s">
        <v>8</v>
      </c>
      <c r="G53" s="10" t="s">
        <v>9</v>
      </c>
      <c r="H53" s="10" t="s">
        <v>7</v>
      </c>
      <c r="I53" s="10" t="s">
        <v>10</v>
      </c>
      <c r="J53" s="6"/>
      <c r="K53" s="6"/>
      <c r="L53" s="2"/>
    </row>
    <row r="54" spans="1:12" x14ac:dyDescent="0.2">
      <c r="A54" s="28" t="s">
        <v>25</v>
      </c>
      <c r="B54" s="12">
        <v>45435</v>
      </c>
      <c r="C54" s="2">
        <v>49.1</v>
      </c>
      <c r="D54" s="13">
        <f>AVERAGE(C54:C57)</f>
        <v>49.1</v>
      </c>
      <c r="E54" s="13" t="e">
        <f>STDEV(C54:C57)/SQRT(COUNT(C54:C57))</f>
        <v>#DIV/0!</v>
      </c>
      <c r="F54" s="2">
        <v>4.8019999999999996</v>
      </c>
      <c r="G54" s="13">
        <f>AVERAGE(F54:F57)</f>
        <v>2.044</v>
      </c>
      <c r="H54" s="13">
        <f>STDEV(F54:F57)/SQRT(COUNT(F54:F57))</f>
        <v>1.7602980808185111</v>
      </c>
      <c r="I54" s="10">
        <f t="shared" ref="I54:I55" si="8">LOG(C54*0.000000001)</f>
        <v>-7.3089185078770313</v>
      </c>
      <c r="J54" s="6" t="s">
        <v>34</v>
      </c>
      <c r="K54" s="6"/>
      <c r="L54" s="40" t="s">
        <v>26</v>
      </c>
    </row>
    <row r="55" spans="1:12" x14ac:dyDescent="0.2">
      <c r="A55" s="28" t="s">
        <v>36</v>
      </c>
      <c r="B55" s="12">
        <v>45526</v>
      </c>
      <c r="C55" s="11" t="s">
        <v>35</v>
      </c>
      <c r="D55" s="10"/>
      <c r="E55" s="10"/>
      <c r="F55" s="2">
        <v>-1.23</v>
      </c>
      <c r="G55" s="10"/>
      <c r="H55" s="10"/>
      <c r="I55" s="10" t="e">
        <f t="shared" si="8"/>
        <v>#VALUE!</v>
      </c>
      <c r="J55" s="10" t="s">
        <v>27</v>
      </c>
      <c r="K55" s="6"/>
      <c r="L55" s="2"/>
    </row>
    <row r="56" spans="1:12" ht="15" x14ac:dyDescent="0.25">
      <c r="A56" s="28" t="s">
        <v>25</v>
      </c>
      <c r="B56" s="12">
        <v>45560</v>
      </c>
      <c r="C56" s="2"/>
      <c r="D56" s="10"/>
      <c r="E56" s="17" t="e">
        <f>E54/D54</f>
        <v>#DIV/0!</v>
      </c>
      <c r="F56" s="2">
        <v>2.56</v>
      </c>
      <c r="G56" s="10"/>
      <c r="H56" s="10"/>
      <c r="I56" s="10" t="e">
        <f>LOG(C56*0.000000001)</f>
        <v>#NUM!</v>
      </c>
      <c r="J56" s="6" t="s">
        <v>34</v>
      </c>
      <c r="K56" s="6"/>
      <c r="L56" s="2"/>
    </row>
    <row r="57" spans="1:12" ht="15" x14ac:dyDescent="0.25">
      <c r="A57" s="50" t="s">
        <v>62</v>
      </c>
      <c r="B57" s="12"/>
      <c r="C57" s="2"/>
      <c r="D57" s="10"/>
      <c r="E57" s="17"/>
      <c r="F57" s="2"/>
      <c r="G57" s="10"/>
      <c r="H57" s="10"/>
      <c r="I57" s="10" t="e">
        <f>LOG(C57*0.000000001)</f>
        <v>#NUM!</v>
      </c>
      <c r="J57" s="6"/>
      <c r="K57" s="6"/>
      <c r="L57" s="2"/>
    </row>
    <row r="58" spans="1:12" ht="15" x14ac:dyDescent="0.25">
      <c r="A58" s="50"/>
      <c r="B58" s="12"/>
      <c r="C58" s="2"/>
      <c r="D58" s="10"/>
      <c r="E58" s="17"/>
      <c r="F58" s="2"/>
      <c r="G58" s="10"/>
      <c r="H58" s="10"/>
      <c r="I58" s="10"/>
      <c r="J58" s="6"/>
      <c r="K58" s="6"/>
      <c r="L58" s="2"/>
    </row>
    <row r="59" spans="1:12" ht="15" x14ac:dyDescent="0.25">
      <c r="A59" s="9">
        <v>34494</v>
      </c>
      <c r="B59" s="2" t="s">
        <v>4</v>
      </c>
      <c r="C59" s="10" t="s">
        <v>5</v>
      </c>
      <c r="D59" s="10" t="s">
        <v>6</v>
      </c>
      <c r="E59" s="10" t="s">
        <v>7</v>
      </c>
      <c r="F59" s="10" t="s">
        <v>8</v>
      </c>
      <c r="G59" s="10" t="s">
        <v>9</v>
      </c>
      <c r="H59" s="10" t="s">
        <v>7</v>
      </c>
      <c r="I59" s="10" t="s">
        <v>10</v>
      </c>
      <c r="J59" s="6"/>
      <c r="K59" s="6"/>
      <c r="L59" s="2"/>
    </row>
    <row r="60" spans="1:12" x14ac:dyDescent="0.2">
      <c r="A60" s="28" t="s">
        <v>25</v>
      </c>
      <c r="B60" s="12">
        <v>45435</v>
      </c>
      <c r="C60" s="2">
        <v>38.76</v>
      </c>
      <c r="D60" s="13">
        <f>AVERAGE(C60:C63)</f>
        <v>38.76</v>
      </c>
      <c r="E60" s="13" t="e">
        <f>STDEV(C60:C63)/SQRT(COUNT(C60:C63))</f>
        <v>#DIV/0!</v>
      </c>
      <c r="F60" s="2">
        <v>5.5279999999999996</v>
      </c>
      <c r="G60" s="13">
        <f>AVERAGE(F60:F63)</f>
        <v>2.6926666666666663</v>
      </c>
      <c r="H60" s="13">
        <f>STDEV(F60:F63)/SQRT(COUNT(F60:F63))</f>
        <v>2.2360203735903457</v>
      </c>
      <c r="I60" s="10">
        <f t="shared" ref="I60:I61" si="9">LOG(C60*0.000000001)</f>
        <v>-7.4116162316212719</v>
      </c>
      <c r="J60" s="6" t="s">
        <v>34</v>
      </c>
      <c r="K60" s="6"/>
      <c r="L60" s="2"/>
    </row>
    <row r="61" spans="1:12" x14ac:dyDescent="0.2">
      <c r="A61" s="28" t="s">
        <v>36</v>
      </c>
      <c r="B61" s="12">
        <v>45526</v>
      </c>
      <c r="C61" s="11" t="s">
        <v>35</v>
      </c>
      <c r="D61" s="10"/>
      <c r="E61" s="10"/>
      <c r="F61" s="2">
        <v>-1.72</v>
      </c>
      <c r="G61" s="10"/>
      <c r="H61" s="10"/>
      <c r="I61" s="10" t="e">
        <f t="shared" si="9"/>
        <v>#VALUE!</v>
      </c>
      <c r="J61" s="10" t="s">
        <v>27</v>
      </c>
      <c r="K61" s="6"/>
      <c r="L61" s="40" t="s">
        <v>26</v>
      </c>
    </row>
    <row r="62" spans="1:12" ht="15" x14ac:dyDescent="0.25">
      <c r="A62" s="28" t="s">
        <v>25</v>
      </c>
      <c r="B62" s="12">
        <v>45560</v>
      </c>
      <c r="C62" s="2"/>
      <c r="D62" s="10"/>
      <c r="E62" s="17" t="e">
        <f>E60/D60</f>
        <v>#DIV/0!</v>
      </c>
      <c r="F62" s="2">
        <v>4.2699999999999996</v>
      </c>
      <c r="G62" s="10"/>
      <c r="H62" s="10"/>
      <c r="I62" s="10" t="e">
        <f>LOG(C62*0.000000001)</f>
        <v>#NUM!</v>
      </c>
      <c r="J62" s="6" t="s">
        <v>34</v>
      </c>
      <c r="K62" s="6"/>
      <c r="L62" s="2"/>
    </row>
    <row r="63" spans="1:12" ht="15" x14ac:dyDescent="0.25">
      <c r="A63" s="50" t="s">
        <v>62</v>
      </c>
      <c r="B63" s="12"/>
      <c r="C63" s="2"/>
      <c r="D63" s="10"/>
      <c r="E63" s="17"/>
      <c r="F63" s="2"/>
      <c r="G63" s="10"/>
      <c r="H63" s="10"/>
      <c r="I63" s="10" t="e">
        <f>LOG(C63*0.000000001)</f>
        <v>#NUM!</v>
      </c>
      <c r="J63" s="6"/>
      <c r="K63" s="6"/>
      <c r="L63" s="2"/>
    </row>
    <row r="64" spans="1:12" ht="15.75" x14ac:dyDescent="0.25">
      <c r="A64" s="16"/>
      <c r="B64" s="12"/>
      <c r="C64" s="2"/>
      <c r="D64" s="10"/>
      <c r="E64" s="17"/>
      <c r="F64" s="2"/>
      <c r="G64" s="10"/>
      <c r="H64" s="10"/>
      <c r="I64" s="10"/>
      <c r="J64" s="6"/>
      <c r="K64" s="6"/>
      <c r="L64" s="2"/>
    </row>
    <row r="65" spans="1:14" x14ac:dyDescent="0.2">
      <c r="A65" s="11"/>
      <c r="B65" s="18"/>
      <c r="C65" s="19"/>
      <c r="D65" s="19"/>
      <c r="E65" s="19"/>
      <c r="F65" s="19"/>
      <c r="G65" s="6"/>
      <c r="H65" s="20"/>
      <c r="I65" s="6"/>
      <c r="J65" s="6"/>
      <c r="K65" s="6"/>
      <c r="L65" s="2"/>
    </row>
    <row r="66" spans="1:14" x14ac:dyDescent="0.2">
      <c r="A66" s="11"/>
      <c r="B66" s="18"/>
      <c r="C66" s="19"/>
      <c r="D66" s="19"/>
      <c r="E66" s="19"/>
      <c r="F66" s="19"/>
      <c r="G66" s="6"/>
      <c r="H66" s="20"/>
      <c r="I66" s="6"/>
      <c r="J66" s="6"/>
      <c r="K66" s="6"/>
      <c r="L66" s="2"/>
    </row>
    <row r="67" spans="1:14" x14ac:dyDescent="0.2">
      <c r="A67" s="11"/>
      <c r="B67" s="18"/>
      <c r="C67" s="19"/>
      <c r="D67" s="19"/>
      <c r="E67" s="19"/>
      <c r="F67" s="19"/>
      <c r="G67" s="6"/>
      <c r="H67" s="20"/>
      <c r="I67" s="6"/>
      <c r="J67" s="6"/>
      <c r="K67" s="6"/>
      <c r="L67" s="2"/>
    </row>
    <row r="68" spans="1:14" ht="15" x14ac:dyDescent="0.25">
      <c r="A68" s="11"/>
      <c r="B68" s="12"/>
      <c r="C68" s="2"/>
      <c r="D68" s="10"/>
      <c r="E68" s="17"/>
      <c r="F68" s="2"/>
      <c r="G68" s="10"/>
      <c r="H68" s="10"/>
      <c r="I68" s="10"/>
      <c r="J68" s="10"/>
      <c r="K68" s="6"/>
      <c r="L68" s="2"/>
    </row>
    <row r="69" spans="1:14" x14ac:dyDescent="0.2">
      <c r="A69" s="11"/>
      <c r="B69" s="18"/>
      <c r="C69" s="19"/>
      <c r="D69" s="19"/>
      <c r="E69" s="19"/>
      <c r="F69" s="19"/>
      <c r="G69" s="6"/>
      <c r="H69" s="20"/>
      <c r="I69" s="6"/>
      <c r="J69" s="6"/>
      <c r="K69" s="6"/>
      <c r="L69" s="2"/>
    </row>
    <row r="70" spans="1:14" ht="15" x14ac:dyDescent="0.25">
      <c r="A70" s="22" t="s">
        <v>14</v>
      </c>
      <c r="B70" s="23"/>
      <c r="C70" s="24"/>
      <c r="D70" s="24"/>
      <c r="E70" s="24"/>
      <c r="F70" s="24"/>
      <c r="G70" s="24"/>
      <c r="H70" s="25"/>
      <c r="I70" s="24"/>
      <c r="J70" s="24"/>
      <c r="K70" s="24"/>
      <c r="L70" s="26"/>
    </row>
    <row r="71" spans="1:14" x14ac:dyDescent="0.2">
      <c r="A71" s="62" t="s">
        <v>15</v>
      </c>
      <c r="B71" s="2" t="s">
        <v>4</v>
      </c>
      <c r="C71" s="10" t="s">
        <v>5</v>
      </c>
      <c r="D71" s="10" t="s">
        <v>6</v>
      </c>
      <c r="E71" s="10" t="s">
        <v>7</v>
      </c>
      <c r="F71" s="10" t="s">
        <v>8</v>
      </c>
      <c r="G71" s="10" t="s">
        <v>9</v>
      </c>
      <c r="H71" s="10" t="s">
        <v>7</v>
      </c>
      <c r="I71" s="10" t="s">
        <v>10</v>
      </c>
      <c r="J71" s="10"/>
      <c r="K71" s="6"/>
      <c r="L71" s="2"/>
    </row>
    <row r="72" spans="1:14" x14ac:dyDescent="0.2">
      <c r="A72" s="28" t="s">
        <v>16</v>
      </c>
      <c r="B72" s="12">
        <v>45435</v>
      </c>
      <c r="C72" s="2">
        <v>3.8159999999999998</v>
      </c>
      <c r="D72" s="29">
        <f>AVERAGE(C72:C80)</f>
        <v>19.819375000000001</v>
      </c>
      <c r="E72" s="13">
        <f>STDEV(C72:C80)/SQRT(COUNT(C72:C80))</f>
        <v>6.2680884074398735</v>
      </c>
      <c r="F72" s="2">
        <v>92.32</v>
      </c>
      <c r="G72" s="29">
        <f>AVERAGE(F72:F80)</f>
        <v>101.81375</v>
      </c>
      <c r="H72" s="13">
        <f>STDEV(F72:F80)/SQRT(COUNT(F72:F80))</f>
        <v>1.8243638201341004</v>
      </c>
      <c r="I72" s="10">
        <f t="shared" ref="I72:I73" si="10">LOG(C72*0.000000001)</f>
        <v>-8.4183916339679428</v>
      </c>
      <c r="J72" s="6" t="s">
        <v>34</v>
      </c>
      <c r="K72" s="6"/>
      <c r="L72" s="2"/>
      <c r="M72" s="30"/>
    </row>
    <row r="73" spans="1:14" x14ac:dyDescent="0.2">
      <c r="A73" s="11" t="s">
        <v>11</v>
      </c>
      <c r="B73" s="12">
        <v>45435</v>
      </c>
      <c r="C73" s="2">
        <v>4.1909999999999998</v>
      </c>
      <c r="D73" s="10"/>
      <c r="E73" s="10"/>
      <c r="F73" s="2">
        <v>99.99</v>
      </c>
      <c r="G73" s="10"/>
      <c r="H73" s="10"/>
      <c r="I73" s="10">
        <f t="shared" si="10"/>
        <v>-8.3776823391661548</v>
      </c>
      <c r="J73" s="6" t="s">
        <v>34</v>
      </c>
      <c r="K73" s="6"/>
      <c r="L73" s="2"/>
      <c r="M73" s="30"/>
    </row>
    <row r="74" spans="1:14" ht="15.75" x14ac:dyDescent="0.25">
      <c r="A74" s="16"/>
      <c r="B74" s="12">
        <v>45526</v>
      </c>
      <c r="C74" s="42">
        <v>46.1</v>
      </c>
      <c r="D74" s="10"/>
      <c r="E74" s="17">
        <f>E72/D72</f>
        <v>0.31626064936154008</v>
      </c>
      <c r="F74" s="2">
        <v>106.5</v>
      </c>
      <c r="G74" s="10"/>
      <c r="H74" s="10"/>
      <c r="I74" s="10">
        <f>LOG(C74*0.000000001)</f>
        <v>-7.336299074610352</v>
      </c>
      <c r="J74" s="10" t="s">
        <v>27</v>
      </c>
      <c r="K74" s="6"/>
      <c r="L74" s="2"/>
      <c r="M74" s="30"/>
    </row>
    <row r="75" spans="1:14" ht="15.75" x14ac:dyDescent="0.25">
      <c r="A75" s="16"/>
      <c r="B75" s="12">
        <v>45560</v>
      </c>
      <c r="C75" s="42">
        <v>26.72</v>
      </c>
      <c r="D75" s="10"/>
      <c r="E75" s="17"/>
      <c r="F75" s="2">
        <v>110</v>
      </c>
      <c r="G75" s="10"/>
      <c r="H75" s="10"/>
      <c r="I75" s="10">
        <f>LOG(C75*0.000000001)</f>
        <v>-7.5731635461964917</v>
      </c>
      <c r="J75" s="6" t="s">
        <v>34</v>
      </c>
      <c r="K75" s="6"/>
      <c r="L75" s="2"/>
      <c r="M75" s="30"/>
    </row>
    <row r="76" spans="1:14" ht="15.75" x14ac:dyDescent="0.25">
      <c r="A76" s="16"/>
      <c r="B76" s="12">
        <v>45568</v>
      </c>
      <c r="C76" s="2">
        <v>3.7930000000000001</v>
      </c>
      <c r="D76" s="10"/>
      <c r="E76" s="17"/>
      <c r="F76" s="2">
        <v>100.5</v>
      </c>
      <c r="G76" s="10"/>
      <c r="H76" s="10"/>
      <c r="I76" s="10">
        <f t="shared" ref="I76:I79" si="11">LOG(C76*0.000000001)</f>
        <v>-8.421017157297209</v>
      </c>
      <c r="J76" s="6" t="s">
        <v>34</v>
      </c>
      <c r="K76" s="6"/>
      <c r="L76" s="2"/>
      <c r="M76" s="30"/>
    </row>
    <row r="77" spans="1:14" ht="15.75" x14ac:dyDescent="0.25">
      <c r="A77" s="16"/>
      <c r="B77" s="12">
        <v>45568</v>
      </c>
      <c r="C77" s="2">
        <v>4.0949999999999998</v>
      </c>
      <c r="D77" s="10"/>
      <c r="E77" s="17"/>
      <c r="F77" s="2">
        <v>101.7</v>
      </c>
      <c r="G77" s="10"/>
      <c r="H77" s="10"/>
      <c r="I77" s="10">
        <f t="shared" si="11"/>
        <v>-8.3877460939035622</v>
      </c>
      <c r="J77" s="6" t="s">
        <v>34</v>
      </c>
      <c r="K77" s="6"/>
      <c r="L77" s="2"/>
      <c r="M77" s="30"/>
    </row>
    <row r="78" spans="1:14" ht="15.75" x14ac:dyDescent="0.25">
      <c r="A78" s="16"/>
      <c r="B78" s="12">
        <v>45573</v>
      </c>
      <c r="C78" s="2">
        <v>35.75</v>
      </c>
      <c r="D78" s="10"/>
      <c r="E78" s="17"/>
      <c r="F78" s="2">
        <v>100.7</v>
      </c>
      <c r="G78" s="10"/>
      <c r="H78" s="10"/>
      <c r="I78" s="10">
        <f t="shared" si="11"/>
        <v>-7.4467239538629002</v>
      </c>
      <c r="J78" s="6" t="s">
        <v>34</v>
      </c>
      <c r="K78" s="6"/>
      <c r="L78" s="2"/>
      <c r="M78" s="30"/>
    </row>
    <row r="79" spans="1:14" ht="15.75" x14ac:dyDescent="0.25">
      <c r="A79" s="16"/>
      <c r="B79" s="12">
        <v>45573</v>
      </c>
      <c r="C79" s="2">
        <v>34.090000000000003</v>
      </c>
      <c r="D79" s="10"/>
      <c r="E79" s="17"/>
      <c r="F79" s="2">
        <v>102.8</v>
      </c>
      <c r="G79" s="10"/>
      <c r="H79" s="10"/>
      <c r="I79" s="10">
        <f t="shared" si="11"/>
        <v>-7.4673729987711086</v>
      </c>
      <c r="J79" s="6" t="s">
        <v>34</v>
      </c>
      <c r="K79" s="6"/>
      <c r="L79" s="2"/>
      <c r="M79" s="30"/>
    </row>
    <row r="80" spans="1:14" ht="15" thickBot="1" x14ac:dyDescent="0.25">
      <c r="A80" s="32"/>
      <c r="B80" s="33"/>
      <c r="C80" s="34"/>
      <c r="D80" s="34"/>
      <c r="E80" s="34"/>
      <c r="F80" s="34"/>
      <c r="G80" s="34"/>
      <c r="H80" s="34"/>
      <c r="I80" s="34"/>
      <c r="J80" s="34"/>
      <c r="K80" s="35"/>
      <c r="L80" s="33"/>
      <c r="M80" s="36"/>
      <c r="N80" s="36"/>
    </row>
    <row r="81" spans="1:14" ht="15" x14ac:dyDescent="0.25">
      <c r="A81" s="8" t="s">
        <v>17</v>
      </c>
      <c r="B81" s="12"/>
      <c r="C81" s="2"/>
      <c r="D81" s="13"/>
      <c r="E81" s="13"/>
      <c r="F81" s="2" t="s">
        <v>1</v>
      </c>
      <c r="G81" s="4" t="s">
        <v>89</v>
      </c>
      <c r="H81" s="13"/>
      <c r="I81" s="10"/>
      <c r="J81" s="10"/>
      <c r="K81" s="6"/>
      <c r="L81" s="2"/>
      <c r="M81" s="36"/>
      <c r="N81" s="36"/>
    </row>
    <row r="82" spans="1:14" ht="15" x14ac:dyDescent="0.25">
      <c r="A82" s="9">
        <v>34485</v>
      </c>
      <c r="B82" s="2" t="s">
        <v>4</v>
      </c>
      <c r="C82" s="10" t="s">
        <v>21</v>
      </c>
      <c r="D82" s="10" t="s">
        <v>6</v>
      </c>
      <c r="E82" s="10" t="s">
        <v>7</v>
      </c>
      <c r="F82" s="10" t="s">
        <v>32</v>
      </c>
      <c r="G82" s="10" t="s">
        <v>9</v>
      </c>
      <c r="H82" s="10" t="s">
        <v>7</v>
      </c>
      <c r="I82" s="10" t="s">
        <v>19</v>
      </c>
      <c r="J82" s="10"/>
      <c r="K82" s="6"/>
      <c r="L82" s="2"/>
      <c r="M82" s="6"/>
    </row>
    <row r="83" spans="1:14" x14ac:dyDescent="0.2">
      <c r="A83" s="28" t="s">
        <v>25</v>
      </c>
      <c r="B83" s="18">
        <v>45506</v>
      </c>
      <c r="C83" s="10">
        <v>79.19</v>
      </c>
      <c r="D83" s="56">
        <f>AVERAGE(C83:C89)</f>
        <v>38.29</v>
      </c>
      <c r="E83" s="13">
        <f>STDEV(C83:C89)/SQRT(COUNT(C83:C89))</f>
        <v>11.441161654307662</v>
      </c>
      <c r="F83" s="2">
        <v>100</v>
      </c>
      <c r="G83" s="13">
        <f>AVERAGE(F83:F89)</f>
        <v>86.784999999999982</v>
      </c>
      <c r="H83" s="13">
        <f>STDEV(F83:F89)/SQRT(COUNT(F83:F89))</f>
        <v>6.8833324051654312</v>
      </c>
      <c r="I83" s="10">
        <f>LOG(C92*0.000000001)</f>
        <v>-7.3662286539174442</v>
      </c>
      <c r="J83" s="48" t="s">
        <v>27</v>
      </c>
      <c r="K83" s="6"/>
      <c r="L83" s="2"/>
    </row>
    <row r="84" spans="1:14" ht="15" x14ac:dyDescent="0.25">
      <c r="A84" s="28" t="s">
        <v>25</v>
      </c>
      <c r="B84" s="12">
        <v>45512</v>
      </c>
      <c r="C84" s="2">
        <v>26.93</v>
      </c>
      <c r="D84" s="10"/>
      <c r="E84" s="10"/>
      <c r="F84" s="2">
        <v>100</v>
      </c>
      <c r="G84" s="10"/>
      <c r="H84" s="10"/>
      <c r="I84" s="10">
        <f t="shared" ref="I84" si="12">LOG(C84*0.000000001)</f>
        <v>-7.5697636465884894</v>
      </c>
      <c r="J84" s="6" t="s">
        <v>34</v>
      </c>
      <c r="K84" s="15"/>
      <c r="L84" s="2"/>
    </row>
    <row r="85" spans="1:14" ht="15" x14ac:dyDescent="0.25">
      <c r="A85" s="28" t="s">
        <v>25</v>
      </c>
      <c r="B85" s="12">
        <v>45561</v>
      </c>
      <c r="C85" s="2">
        <v>12.92</v>
      </c>
      <c r="D85" s="10"/>
      <c r="E85" s="17">
        <f>E83/D83</f>
        <v>0.29880286378447796</v>
      </c>
      <c r="F85" s="2">
        <v>100</v>
      </c>
      <c r="G85" s="10"/>
      <c r="H85" s="10"/>
      <c r="I85" s="10">
        <f>LOG(C85*0.000000001)</f>
        <v>-7.8887374863409345</v>
      </c>
      <c r="J85" s="6" t="s">
        <v>34</v>
      </c>
      <c r="K85" s="6"/>
      <c r="L85" s="2"/>
    </row>
    <row r="86" spans="1:14" ht="15" x14ac:dyDescent="0.25">
      <c r="A86" s="28" t="s">
        <v>25</v>
      </c>
      <c r="B86" s="12">
        <v>45562</v>
      </c>
      <c r="C86" s="2">
        <v>11.71</v>
      </c>
      <c r="D86" s="10"/>
      <c r="E86" s="17"/>
      <c r="F86" s="2">
        <v>87.38</v>
      </c>
      <c r="G86" s="10"/>
      <c r="H86" s="10"/>
      <c r="I86" s="10">
        <f>LOG(C86*0.000000001)</f>
        <v>-7.931443104927637</v>
      </c>
      <c r="J86" s="6" t="s">
        <v>34</v>
      </c>
      <c r="K86" s="6"/>
      <c r="L86" s="2"/>
    </row>
    <row r="87" spans="1:14" ht="15" x14ac:dyDescent="0.25">
      <c r="A87" s="28" t="s">
        <v>25</v>
      </c>
      <c r="B87" s="12">
        <v>45567</v>
      </c>
      <c r="C87" s="2">
        <v>33.31</v>
      </c>
      <c r="D87" s="10"/>
      <c r="E87" s="17"/>
      <c r="F87" s="2">
        <v>73.28</v>
      </c>
      <c r="G87" s="10"/>
      <c r="H87" s="10"/>
      <c r="I87" s="10">
        <f>LOG(C87*0.000000001)</f>
        <v>-7.4774253673088236</v>
      </c>
      <c r="J87" s="6" t="s">
        <v>34</v>
      </c>
      <c r="K87" s="6"/>
      <c r="L87" s="2"/>
    </row>
    <row r="88" spans="1:14" ht="15" x14ac:dyDescent="0.25">
      <c r="A88" s="28" t="s">
        <v>25</v>
      </c>
      <c r="B88" s="12">
        <v>45568</v>
      </c>
      <c r="C88" s="2">
        <v>65.680000000000007</v>
      </c>
      <c r="D88" s="10"/>
      <c r="E88" s="17"/>
      <c r="F88" s="2">
        <v>60.05</v>
      </c>
      <c r="G88" s="10"/>
      <c r="H88" s="10"/>
      <c r="I88" s="10">
        <f>LOG(C88*0.000000001)</f>
        <v>-7.1825668558886155</v>
      </c>
      <c r="J88" s="6" t="s">
        <v>34</v>
      </c>
      <c r="K88" s="6"/>
      <c r="L88" s="2"/>
    </row>
    <row r="89" spans="1:14" ht="15" x14ac:dyDescent="0.25">
      <c r="A89" s="11" t="s">
        <v>11</v>
      </c>
      <c r="C89" s="2"/>
      <c r="D89" s="10"/>
      <c r="E89" s="17"/>
      <c r="F89" s="2"/>
      <c r="G89" s="10"/>
      <c r="H89" s="10"/>
      <c r="J89" s="10"/>
      <c r="K89" s="6"/>
      <c r="L89" s="2"/>
    </row>
    <row r="90" spans="1:14" ht="15.75" x14ac:dyDescent="0.25">
      <c r="A90" s="16"/>
      <c r="B90" s="12"/>
      <c r="C90" s="2"/>
      <c r="D90" s="10"/>
      <c r="E90" s="17"/>
      <c r="F90" s="2"/>
      <c r="G90" s="10"/>
      <c r="H90" s="10"/>
      <c r="I90" s="10"/>
      <c r="J90" s="10"/>
      <c r="K90" s="6"/>
      <c r="L90" s="2"/>
    </row>
    <row r="91" spans="1:14" ht="15" x14ac:dyDescent="0.25">
      <c r="A91" s="9">
        <v>34486</v>
      </c>
      <c r="B91" s="2" t="s">
        <v>4</v>
      </c>
      <c r="C91" s="10" t="s">
        <v>21</v>
      </c>
      <c r="D91" s="10" t="s">
        <v>6</v>
      </c>
      <c r="E91" s="10" t="s">
        <v>7</v>
      </c>
      <c r="F91" s="10" t="s">
        <v>32</v>
      </c>
      <c r="G91" s="10" t="s">
        <v>9</v>
      </c>
      <c r="H91" s="10" t="s">
        <v>7</v>
      </c>
      <c r="I91" s="10" t="s">
        <v>19</v>
      </c>
      <c r="J91" s="10"/>
      <c r="K91" s="6"/>
      <c r="L91" s="2"/>
    </row>
    <row r="92" spans="1:14" x14ac:dyDescent="0.2">
      <c r="A92" s="28" t="s">
        <v>25</v>
      </c>
      <c r="B92" s="12">
        <v>45506</v>
      </c>
      <c r="C92" s="2">
        <v>43.03</v>
      </c>
      <c r="D92" s="56">
        <f>AVERAGE(C92:C96)</f>
        <v>26.200000000000003</v>
      </c>
      <c r="E92" s="13">
        <f>STDEV(C92:C96)/SQRT(COUNT(C92:C96))</f>
        <v>5.7899006899945977</v>
      </c>
      <c r="F92" s="2">
        <v>78.55</v>
      </c>
      <c r="G92" s="13">
        <f>AVERAGE(F92:F96)</f>
        <v>92.210000000000008</v>
      </c>
      <c r="H92" s="13">
        <f>STDEV(F92:F96)/SQRT(COUNT(F92:F96))</f>
        <v>5.0961603192992273</v>
      </c>
      <c r="I92" s="10">
        <f>LOG(C92*0.000000001)</f>
        <v>-7.3662286539174442</v>
      </c>
      <c r="J92" s="10" t="s">
        <v>27</v>
      </c>
      <c r="K92" s="6"/>
      <c r="L92" s="2"/>
    </row>
    <row r="93" spans="1:14" x14ac:dyDescent="0.2">
      <c r="A93" s="28" t="s">
        <v>25</v>
      </c>
      <c r="B93" s="12">
        <v>45561</v>
      </c>
      <c r="C93" s="2">
        <v>19.079999999999998</v>
      </c>
      <c r="D93" s="10"/>
      <c r="E93" s="10"/>
      <c r="F93" s="2">
        <v>100</v>
      </c>
      <c r="G93" s="10"/>
      <c r="H93" s="10"/>
      <c r="I93" s="10">
        <f>LOG(C93*0.000000001)</f>
        <v>-7.719421629631924</v>
      </c>
      <c r="J93" s="6" t="s">
        <v>34</v>
      </c>
      <c r="K93" s="6"/>
      <c r="L93" s="2"/>
    </row>
    <row r="94" spans="1:14" ht="15" x14ac:dyDescent="0.25">
      <c r="A94" s="28" t="s">
        <v>25</v>
      </c>
      <c r="B94" s="12">
        <v>45562</v>
      </c>
      <c r="C94" s="2">
        <v>18.09</v>
      </c>
      <c r="D94" s="10"/>
      <c r="E94" s="17">
        <f>E92/D92</f>
        <v>0.22098857595399227</v>
      </c>
      <c r="F94" s="2">
        <v>90.29</v>
      </c>
      <c r="G94" s="10"/>
      <c r="H94" s="10"/>
      <c r="I94" s="10">
        <f>LOG(C94*0.000000001)</f>
        <v>-7.7425614331401862</v>
      </c>
      <c r="J94" s="6" t="s">
        <v>34</v>
      </c>
      <c r="K94" s="6"/>
      <c r="L94" s="2"/>
    </row>
    <row r="95" spans="1:14" ht="15" x14ac:dyDescent="0.25">
      <c r="A95" s="28" t="s">
        <v>25</v>
      </c>
      <c r="B95" s="12">
        <v>45562</v>
      </c>
      <c r="C95" s="2">
        <v>24.6</v>
      </c>
      <c r="D95" s="10"/>
      <c r="E95" s="17"/>
      <c r="F95" s="2">
        <v>100</v>
      </c>
      <c r="G95" s="10"/>
      <c r="H95" s="10"/>
      <c r="I95" s="10">
        <f>LOG(C95*0.000000001)</f>
        <v>-7.6090648928966207</v>
      </c>
      <c r="J95" s="6" t="s">
        <v>34</v>
      </c>
      <c r="K95" s="6"/>
      <c r="L95" s="2"/>
    </row>
    <row r="96" spans="1:14" ht="15" x14ac:dyDescent="0.25">
      <c r="A96" s="50" t="s">
        <v>63</v>
      </c>
      <c r="B96" s="12"/>
      <c r="C96" s="2"/>
      <c r="D96" s="10"/>
      <c r="E96" s="17"/>
      <c r="F96" s="2"/>
      <c r="G96" s="10"/>
      <c r="H96" s="10"/>
      <c r="I96" s="10"/>
      <c r="J96" s="10"/>
      <c r="K96" s="6"/>
      <c r="L96" s="2"/>
    </row>
    <row r="97" spans="1:12" ht="15.75" x14ac:dyDescent="0.25">
      <c r="A97" s="16"/>
      <c r="B97" s="12"/>
      <c r="C97" s="2"/>
      <c r="D97" s="10"/>
      <c r="E97" s="17"/>
      <c r="F97" s="2"/>
      <c r="G97" s="10"/>
      <c r="H97" s="10"/>
      <c r="I97" s="10"/>
      <c r="J97" s="10"/>
      <c r="K97" s="6"/>
      <c r="L97" s="2"/>
    </row>
    <row r="98" spans="1:12" ht="15" x14ac:dyDescent="0.25">
      <c r="A98" s="9">
        <v>34487</v>
      </c>
      <c r="B98" s="2" t="s">
        <v>4</v>
      </c>
      <c r="C98" s="10" t="s">
        <v>21</v>
      </c>
      <c r="D98" s="10" t="s">
        <v>6</v>
      </c>
      <c r="E98" s="10" t="s">
        <v>7</v>
      </c>
      <c r="F98" s="10" t="s">
        <v>32</v>
      </c>
      <c r="G98" s="10" t="s">
        <v>9</v>
      </c>
      <c r="H98" s="10" t="s">
        <v>7</v>
      </c>
      <c r="I98" s="10" t="s">
        <v>19</v>
      </c>
      <c r="J98" s="10"/>
      <c r="K98" s="6"/>
      <c r="L98" s="2"/>
    </row>
    <row r="99" spans="1:12" x14ac:dyDescent="0.2">
      <c r="A99" s="28" t="s">
        <v>25</v>
      </c>
      <c r="B99" s="12">
        <v>45506</v>
      </c>
      <c r="C99" s="2">
        <v>24.47</v>
      </c>
      <c r="D99" s="56">
        <f>AVERAGE(C99:C102)</f>
        <v>32.9</v>
      </c>
      <c r="E99" s="13">
        <f>STDEV(C99:C102)/SQRT(COUNT(C99:C102))</f>
        <v>5.9586267992997675</v>
      </c>
      <c r="F99" s="2">
        <v>77.95</v>
      </c>
      <c r="G99" s="13">
        <f>AVERAGE(F99:F102)</f>
        <v>88.943333333333342</v>
      </c>
      <c r="H99" s="13">
        <f>STDEV(F99:F102)/SQRT(COUNT(F99:F102))</f>
        <v>6.0432478390716735</v>
      </c>
      <c r="I99" s="10">
        <f t="shared" ref="I99:I100" si="13">LOG(C99*0.000000001)</f>
        <v>-7.6113660306482105</v>
      </c>
      <c r="J99" s="10" t="s">
        <v>27</v>
      </c>
      <c r="K99" s="6"/>
      <c r="L99" s="2"/>
    </row>
    <row r="100" spans="1:12" x14ac:dyDescent="0.2">
      <c r="A100" s="28" t="s">
        <v>25</v>
      </c>
      <c r="B100" s="12">
        <v>45561</v>
      </c>
      <c r="C100" s="2">
        <v>44.41</v>
      </c>
      <c r="D100" s="10"/>
      <c r="E100" s="10"/>
      <c r="F100" s="2">
        <v>98.79</v>
      </c>
      <c r="G100" s="10"/>
      <c r="H100" s="10"/>
      <c r="I100" s="10">
        <f t="shared" si="13"/>
        <v>-7.352519226826324</v>
      </c>
      <c r="J100" s="6" t="s">
        <v>34</v>
      </c>
      <c r="K100" s="6"/>
      <c r="L100" s="2"/>
    </row>
    <row r="101" spans="1:12" ht="15" x14ac:dyDescent="0.25">
      <c r="A101" s="28" t="s">
        <v>25</v>
      </c>
      <c r="B101" s="12">
        <v>45562</v>
      </c>
      <c r="C101" s="2">
        <v>29.82</v>
      </c>
      <c r="D101" s="10"/>
      <c r="E101" s="17">
        <f>E99/D99</f>
        <v>0.18111327657446102</v>
      </c>
      <c r="F101" s="2">
        <v>90.09</v>
      </c>
      <c r="G101" s="10"/>
      <c r="H101" s="10"/>
      <c r="I101" s="10">
        <f>LOG(C101*0.000000001)</f>
        <v>-7.5254923608830238</v>
      </c>
      <c r="J101" s="6" t="s">
        <v>34</v>
      </c>
      <c r="K101" s="6"/>
      <c r="L101" s="2"/>
    </row>
    <row r="102" spans="1:12" ht="15" x14ac:dyDescent="0.25">
      <c r="A102" s="50" t="s">
        <v>62</v>
      </c>
      <c r="B102" s="12"/>
      <c r="C102" s="2"/>
      <c r="D102" s="10"/>
      <c r="E102" s="17"/>
      <c r="F102" s="2"/>
      <c r="G102" s="10"/>
      <c r="H102" s="10"/>
      <c r="I102" s="10"/>
      <c r="J102" s="6"/>
      <c r="K102" s="6"/>
      <c r="L102" s="2"/>
    </row>
    <row r="103" spans="1:12" ht="15.75" x14ac:dyDescent="0.25">
      <c r="A103" s="16"/>
      <c r="B103" s="12"/>
      <c r="C103" s="2"/>
      <c r="D103" s="10"/>
      <c r="E103" s="17"/>
      <c r="F103" s="2"/>
      <c r="G103" s="10"/>
      <c r="H103" s="10"/>
      <c r="I103" s="10"/>
      <c r="J103" s="10"/>
      <c r="K103" s="6"/>
      <c r="L103" s="2"/>
    </row>
    <row r="104" spans="1:12" ht="15" x14ac:dyDescent="0.25">
      <c r="A104" s="9">
        <v>34488</v>
      </c>
      <c r="B104" s="2" t="s">
        <v>4</v>
      </c>
      <c r="C104" s="10" t="s">
        <v>21</v>
      </c>
      <c r="D104" s="10" t="s">
        <v>6</v>
      </c>
      <c r="E104" s="10" t="s">
        <v>7</v>
      </c>
      <c r="F104" s="10" t="s">
        <v>32</v>
      </c>
      <c r="G104" s="10" t="s">
        <v>9</v>
      </c>
      <c r="H104" s="10" t="s">
        <v>7</v>
      </c>
      <c r="I104" s="10" t="s">
        <v>19</v>
      </c>
      <c r="J104" s="10"/>
      <c r="K104" s="6"/>
      <c r="L104" s="2"/>
    </row>
    <row r="105" spans="1:12" x14ac:dyDescent="0.2">
      <c r="A105" s="28" t="s">
        <v>25</v>
      </c>
      <c r="B105" s="12">
        <v>45506</v>
      </c>
      <c r="C105" s="2">
        <v>118.6</v>
      </c>
      <c r="D105" s="13">
        <f>AVERAGE(C105:C108)</f>
        <v>188.33333333333334</v>
      </c>
      <c r="E105" s="13">
        <f>STDEV(C105:C108)/SQRT(COUNT(C105:C108))</f>
        <v>47.786376487214199</v>
      </c>
      <c r="F105" s="2">
        <v>85.8</v>
      </c>
      <c r="G105" s="13">
        <f>AVERAGE(F105:F108)</f>
        <v>89.856666666666669</v>
      </c>
      <c r="H105" s="13">
        <f>STDEV(F105:F108)/SQRT(COUNT(F105:F108))</f>
        <v>5.1054099846252434</v>
      </c>
      <c r="I105" s="10">
        <f t="shared" ref="I105:I106" si="14">LOG(C105*0.000000001)</f>
        <v>-6.9259153109717566</v>
      </c>
      <c r="J105" s="10" t="s">
        <v>27</v>
      </c>
      <c r="K105" s="6"/>
      <c r="L105" s="2"/>
    </row>
    <row r="106" spans="1:12" x14ac:dyDescent="0.2">
      <c r="A106" s="28" t="s">
        <v>25</v>
      </c>
      <c r="B106" s="12">
        <v>45561</v>
      </c>
      <c r="C106" s="2">
        <v>166.6</v>
      </c>
      <c r="D106" s="10"/>
      <c r="E106" s="10"/>
      <c r="F106" s="2">
        <v>100</v>
      </c>
      <c r="G106" s="10"/>
      <c r="H106" s="10"/>
      <c r="I106" s="10">
        <f t="shared" si="14"/>
        <v>-6.7783250029292308</v>
      </c>
      <c r="J106" s="6" t="s">
        <v>34</v>
      </c>
      <c r="K106" s="6"/>
      <c r="L106" s="2"/>
    </row>
    <row r="107" spans="1:12" ht="15" x14ac:dyDescent="0.25">
      <c r="A107" s="28" t="s">
        <v>25</v>
      </c>
      <c r="B107" s="12">
        <v>45562</v>
      </c>
      <c r="C107" s="2">
        <v>279.8</v>
      </c>
      <c r="D107" s="10"/>
      <c r="E107" s="17">
        <f>E105/D105</f>
        <v>0.25373297249848248</v>
      </c>
      <c r="F107" s="2">
        <v>83.77</v>
      </c>
      <c r="G107" s="10"/>
      <c r="H107" s="10"/>
      <c r="I107" s="10">
        <f>LOG(C107*0.000000001)</f>
        <v>-6.5531522898441912</v>
      </c>
      <c r="J107" s="6" t="s">
        <v>34</v>
      </c>
      <c r="K107" s="6"/>
      <c r="L107" s="2"/>
    </row>
    <row r="108" spans="1:12" ht="15" x14ac:dyDescent="0.25">
      <c r="A108" s="50" t="s">
        <v>62</v>
      </c>
      <c r="B108" s="12"/>
      <c r="C108" s="2"/>
      <c r="D108" s="10"/>
      <c r="E108" s="17"/>
      <c r="F108" s="2"/>
      <c r="G108" s="10"/>
      <c r="H108" s="10"/>
      <c r="I108" s="10" t="e">
        <f>LOG(C108*0.000000001)</f>
        <v>#NUM!</v>
      </c>
      <c r="J108" s="10"/>
      <c r="K108" s="6"/>
      <c r="L108" s="2"/>
    </row>
    <row r="109" spans="1:12" ht="15.75" x14ac:dyDescent="0.25">
      <c r="A109" s="16"/>
      <c r="B109" s="12"/>
      <c r="C109" s="2"/>
      <c r="D109" s="10"/>
      <c r="E109" s="17"/>
      <c r="F109" s="2"/>
      <c r="G109" s="10"/>
      <c r="H109" s="10"/>
      <c r="I109" s="10"/>
      <c r="J109" s="10"/>
      <c r="K109" s="6"/>
      <c r="L109" s="2"/>
    </row>
    <row r="110" spans="1:12" ht="15" x14ac:dyDescent="0.25">
      <c r="A110" s="9">
        <v>34489</v>
      </c>
      <c r="B110" s="2" t="s">
        <v>4</v>
      </c>
      <c r="C110" s="10" t="s">
        <v>21</v>
      </c>
      <c r="D110" s="10" t="s">
        <v>6</v>
      </c>
      <c r="E110" s="10" t="s">
        <v>7</v>
      </c>
      <c r="F110" s="10" t="s">
        <v>32</v>
      </c>
      <c r="G110" s="10" t="s">
        <v>9</v>
      </c>
      <c r="H110" s="10" t="s">
        <v>7</v>
      </c>
      <c r="I110" s="10" t="s">
        <v>19</v>
      </c>
      <c r="J110" s="10"/>
      <c r="K110" s="6"/>
      <c r="L110" s="2"/>
    </row>
    <row r="111" spans="1:12" x14ac:dyDescent="0.2">
      <c r="A111" s="28" t="s">
        <v>25</v>
      </c>
      <c r="B111" s="18">
        <v>45506</v>
      </c>
      <c r="C111" s="42" t="s">
        <v>65</v>
      </c>
      <c r="D111" s="56">
        <f>AVERAGE(C111:C116)</f>
        <v>1722</v>
      </c>
      <c r="E111" s="56">
        <f>STDEV(C111:C116)/SQRT(COUNT(C111:C116))</f>
        <v>11.846237095944575</v>
      </c>
      <c r="F111" s="42" t="s">
        <v>66</v>
      </c>
      <c r="G111" s="29">
        <f>AVERAGE(F111:F116)</f>
        <v>94.316666666666663</v>
      </c>
      <c r="H111" s="29">
        <f>STDEV(F111:F116)/SQRT(COUNT(F111:F116))</f>
        <v>5.3420480883063739</v>
      </c>
      <c r="I111" s="42" t="e">
        <f t="shared" ref="I111:I112" si="15">LOG(C111*0.000000001)</f>
        <v>#VALUE!</v>
      </c>
      <c r="J111" s="42" t="s">
        <v>27</v>
      </c>
      <c r="K111" s="49" t="s">
        <v>38</v>
      </c>
      <c r="L111" s="2"/>
    </row>
    <row r="112" spans="1:12" x14ac:dyDescent="0.2">
      <c r="A112" s="28" t="s">
        <v>25</v>
      </c>
      <c r="B112" s="12">
        <v>45512</v>
      </c>
      <c r="C112" s="2"/>
      <c r="D112" s="10"/>
      <c r="E112" s="10"/>
      <c r="F112" s="2"/>
      <c r="G112" s="10"/>
      <c r="H112" s="10"/>
      <c r="I112" s="10" t="e">
        <f t="shared" si="15"/>
        <v>#NUM!</v>
      </c>
      <c r="J112" s="10" t="s">
        <v>27</v>
      </c>
      <c r="K112" s="43" t="s">
        <v>33</v>
      </c>
      <c r="L112" s="2"/>
    </row>
    <row r="113" spans="1:12" ht="15" x14ac:dyDescent="0.25">
      <c r="A113" s="28" t="s">
        <v>25</v>
      </c>
      <c r="B113" s="12">
        <v>45561</v>
      </c>
      <c r="C113" s="2">
        <v>1742</v>
      </c>
      <c r="D113" s="10"/>
      <c r="E113" s="17">
        <f>E111/D111</f>
        <v>6.8793479070525989E-3</v>
      </c>
      <c r="F113" s="2">
        <v>100</v>
      </c>
      <c r="G113" s="10"/>
      <c r="H113" s="10"/>
      <c r="I113" s="10">
        <f>LOG(C113*0.000000001)</f>
        <v>-5.7589518493283558</v>
      </c>
      <c r="J113" s="6" t="s">
        <v>34</v>
      </c>
      <c r="K113" s="6"/>
      <c r="L113" s="2"/>
    </row>
    <row r="114" spans="1:12" ht="15" x14ac:dyDescent="0.25">
      <c r="A114" s="28" t="s">
        <v>25</v>
      </c>
      <c r="B114" s="12">
        <v>45562</v>
      </c>
      <c r="C114" s="2">
        <v>1701</v>
      </c>
      <c r="D114" s="10"/>
      <c r="E114" s="17"/>
      <c r="F114" s="2">
        <v>83.64</v>
      </c>
      <c r="G114" s="10"/>
      <c r="H114" s="10"/>
      <c r="I114" s="10">
        <f>LOG(C114*0.000000001)</f>
        <v>-5.769295686387431</v>
      </c>
      <c r="J114" s="6" t="s">
        <v>34</v>
      </c>
      <c r="K114" s="6"/>
      <c r="L114" s="2"/>
    </row>
    <row r="115" spans="1:12" ht="15" x14ac:dyDescent="0.25">
      <c r="A115" s="28" t="s">
        <v>25</v>
      </c>
      <c r="B115" s="12">
        <v>45567</v>
      </c>
      <c r="C115" s="2">
        <v>1723</v>
      </c>
      <c r="D115" s="10"/>
      <c r="E115" s="17"/>
      <c r="F115" s="2">
        <v>99.31</v>
      </c>
      <c r="G115" s="10"/>
      <c r="H115" s="10"/>
      <c r="I115" s="10">
        <f>LOG(C115*0.000000001)</f>
        <v>-5.7637147225519714</v>
      </c>
      <c r="J115" s="6" t="s">
        <v>34</v>
      </c>
      <c r="K115" s="6"/>
      <c r="L115" s="2"/>
    </row>
    <row r="116" spans="1:12" ht="15" x14ac:dyDescent="0.25">
      <c r="A116" s="11" t="s">
        <v>11</v>
      </c>
      <c r="B116" s="12"/>
      <c r="C116" s="2"/>
      <c r="D116" s="10"/>
      <c r="E116" s="17"/>
      <c r="F116" s="2"/>
      <c r="G116" s="10"/>
      <c r="H116" s="10"/>
      <c r="I116" s="10"/>
      <c r="J116" s="10"/>
      <c r="K116" s="6"/>
      <c r="L116" s="2"/>
    </row>
    <row r="117" spans="1:12" ht="15.75" x14ac:dyDescent="0.25">
      <c r="A117" s="16"/>
      <c r="B117" s="12"/>
      <c r="C117" s="2"/>
      <c r="D117" s="10"/>
      <c r="E117" s="17"/>
      <c r="F117" s="2"/>
      <c r="G117" s="10"/>
      <c r="H117" s="10"/>
      <c r="I117" s="10"/>
      <c r="J117" s="10"/>
      <c r="K117" s="6"/>
      <c r="L117" s="2"/>
    </row>
    <row r="118" spans="1:12" ht="15" x14ac:dyDescent="0.25">
      <c r="A118" s="9">
        <v>34490</v>
      </c>
      <c r="B118" s="2" t="s">
        <v>4</v>
      </c>
      <c r="C118" s="10" t="s">
        <v>21</v>
      </c>
      <c r="D118" s="10" t="s">
        <v>6</v>
      </c>
      <c r="E118" s="10" t="s">
        <v>7</v>
      </c>
      <c r="F118" s="10" t="s">
        <v>32</v>
      </c>
      <c r="G118" s="10" t="s">
        <v>9</v>
      </c>
      <c r="H118" s="10" t="s">
        <v>7</v>
      </c>
      <c r="I118" s="10" t="s">
        <v>19</v>
      </c>
      <c r="J118" s="10"/>
      <c r="K118" s="6"/>
      <c r="L118" s="2"/>
    </row>
    <row r="119" spans="1:12" x14ac:dyDescent="0.2">
      <c r="A119" s="28" t="s">
        <v>25</v>
      </c>
      <c r="B119" s="18">
        <v>45506</v>
      </c>
      <c r="C119" s="42" t="s">
        <v>67</v>
      </c>
      <c r="D119" s="13">
        <f>AVERAGE(C119:C123)</f>
        <v>22.91</v>
      </c>
      <c r="E119" s="13">
        <f>STDEV(C119:C123)/SQRT(COUNT(C119:C123))</f>
        <v>3.6342858078766032</v>
      </c>
      <c r="F119" s="42" t="s">
        <v>40</v>
      </c>
      <c r="G119" s="13">
        <f>AVERAGE(F119:F123)</f>
        <v>95.986666666666679</v>
      </c>
      <c r="H119" s="13">
        <f>STDEV(F119:F123)/SQRT(COUNT(F119:F123))</f>
        <v>3.2056737894621214</v>
      </c>
      <c r="I119" s="42" t="e">
        <f t="shared" ref="I119:I120" si="16">LOG(C119*0.000000001)</f>
        <v>#VALUE!</v>
      </c>
      <c r="J119" s="42" t="s">
        <v>27</v>
      </c>
      <c r="K119" s="49" t="s">
        <v>38</v>
      </c>
      <c r="L119" s="2"/>
    </row>
    <row r="120" spans="1:12" x14ac:dyDescent="0.2">
      <c r="A120" s="28" t="s">
        <v>25</v>
      </c>
      <c r="B120" s="12">
        <v>45561</v>
      </c>
      <c r="C120" s="2">
        <v>29.66</v>
      </c>
      <c r="D120" s="10"/>
      <c r="E120" s="10"/>
      <c r="F120" s="2">
        <v>89.65</v>
      </c>
      <c r="G120" s="10"/>
      <c r="H120" s="10"/>
      <c r="I120" s="10">
        <f t="shared" si="16"/>
        <v>-7.5278288533076365</v>
      </c>
      <c r="J120" s="6" t="s">
        <v>34</v>
      </c>
      <c r="K120" s="6"/>
      <c r="L120" s="2"/>
    </row>
    <row r="121" spans="1:12" ht="15" x14ac:dyDescent="0.25">
      <c r="A121" s="28" t="s">
        <v>25</v>
      </c>
      <c r="B121" s="12">
        <v>45562</v>
      </c>
      <c r="C121" s="2">
        <v>21.87</v>
      </c>
      <c r="D121" s="10"/>
      <c r="E121" s="17">
        <f>E119/D119</f>
        <v>0.15863316490076837</v>
      </c>
      <c r="F121" s="2">
        <v>100</v>
      </c>
      <c r="G121" s="10"/>
      <c r="H121" s="10"/>
      <c r="I121" s="10">
        <f>LOG(C121*0.000000001)</f>
        <v>-7.6601512169623627</v>
      </c>
      <c r="J121" s="6" t="s">
        <v>34</v>
      </c>
      <c r="K121" s="6"/>
      <c r="L121" s="2"/>
    </row>
    <row r="122" spans="1:12" ht="15" x14ac:dyDescent="0.25">
      <c r="A122" s="28" t="s">
        <v>25</v>
      </c>
      <c r="B122" s="12">
        <v>45567</v>
      </c>
      <c r="C122" s="2">
        <v>17.2</v>
      </c>
      <c r="D122" s="10"/>
      <c r="E122" s="17"/>
      <c r="F122" s="2">
        <v>98.31</v>
      </c>
      <c r="G122" s="10"/>
      <c r="H122" s="10"/>
      <c r="I122" s="10">
        <f>LOG(C122*0.000000001)</f>
        <v>-7.7644715530924513</v>
      </c>
      <c r="J122" s="6" t="s">
        <v>34</v>
      </c>
      <c r="K122" s="6"/>
      <c r="L122" s="2"/>
    </row>
    <row r="123" spans="1:12" ht="15" x14ac:dyDescent="0.25">
      <c r="A123" s="11" t="s">
        <v>11</v>
      </c>
      <c r="B123" s="12"/>
      <c r="C123" s="2"/>
      <c r="D123" s="10"/>
      <c r="E123" s="17"/>
      <c r="F123" s="2"/>
      <c r="G123" s="10"/>
      <c r="H123" s="10"/>
      <c r="I123" s="10"/>
      <c r="J123" s="6"/>
      <c r="K123" s="6"/>
      <c r="L123" s="2"/>
    </row>
    <row r="124" spans="1:12" ht="15" x14ac:dyDescent="0.25">
      <c r="B124" s="12"/>
      <c r="C124" s="2"/>
      <c r="D124" s="10"/>
      <c r="E124" s="17"/>
      <c r="F124" s="2"/>
      <c r="G124" s="10"/>
      <c r="H124" s="10"/>
      <c r="I124" s="10"/>
      <c r="J124" s="6"/>
      <c r="K124" s="6"/>
      <c r="L124" s="2"/>
    </row>
    <row r="125" spans="1:12" ht="15" x14ac:dyDescent="0.25">
      <c r="A125" s="9">
        <v>34491</v>
      </c>
      <c r="B125" s="2" t="s">
        <v>4</v>
      </c>
      <c r="C125" s="10" t="s">
        <v>21</v>
      </c>
      <c r="D125" s="10" t="s">
        <v>6</v>
      </c>
      <c r="E125" s="10" t="s">
        <v>7</v>
      </c>
      <c r="F125" s="10" t="s">
        <v>32</v>
      </c>
      <c r="G125" s="10" t="s">
        <v>9</v>
      </c>
      <c r="H125" s="10" t="s">
        <v>7</v>
      </c>
      <c r="I125" s="10" t="s">
        <v>19</v>
      </c>
      <c r="J125" s="6"/>
      <c r="K125" s="6"/>
      <c r="L125" s="2"/>
    </row>
    <row r="126" spans="1:12" x14ac:dyDescent="0.2">
      <c r="A126" s="28" t="s">
        <v>25</v>
      </c>
      <c r="B126" s="44">
        <v>45512</v>
      </c>
      <c r="C126" s="2" t="s">
        <v>79</v>
      </c>
      <c r="D126" s="13">
        <f>AVERAGE(C126:C130)</f>
        <v>21.122499999999999</v>
      </c>
      <c r="E126" s="13">
        <f>STDEV(C126:C130)/SQRT(COUNT(C126:C130))</f>
        <v>5.1986174043361446</v>
      </c>
      <c r="F126" s="2" t="s">
        <v>80</v>
      </c>
      <c r="G126" s="13">
        <f>AVERAGE(F126:F130)</f>
        <v>93.36</v>
      </c>
      <c r="H126" s="13">
        <f>STDEV(F126:F130)/SQRT(COUNT(F126:F130))</f>
        <v>3.4237868897854415</v>
      </c>
      <c r="I126" s="10" t="e">
        <f t="shared" ref="I126:I127" si="17">LOG(C126*0.000000001)</f>
        <v>#VALUE!</v>
      </c>
      <c r="J126" s="10" t="s">
        <v>27</v>
      </c>
      <c r="K126" s="49" t="s">
        <v>81</v>
      </c>
      <c r="L126" s="2"/>
    </row>
    <row r="127" spans="1:12" x14ac:dyDescent="0.2">
      <c r="A127" s="28" t="s">
        <v>25</v>
      </c>
      <c r="B127" s="12">
        <v>45561</v>
      </c>
      <c r="C127" s="2">
        <v>20.56</v>
      </c>
      <c r="D127" s="10"/>
      <c r="E127" s="10"/>
      <c r="F127" s="2">
        <v>86.43</v>
      </c>
      <c r="G127" s="10"/>
      <c r="H127" s="10"/>
      <c r="I127" s="10">
        <f t="shared" si="17"/>
        <v>-7.6869768896767621</v>
      </c>
      <c r="J127" s="6" t="s">
        <v>34</v>
      </c>
      <c r="K127" s="6"/>
      <c r="L127" s="2"/>
    </row>
    <row r="128" spans="1:12" ht="15" x14ac:dyDescent="0.25">
      <c r="A128" s="28" t="s">
        <v>25</v>
      </c>
      <c r="B128" s="12">
        <v>45562</v>
      </c>
      <c r="C128" s="2">
        <v>35.549999999999997</v>
      </c>
      <c r="D128" s="10"/>
      <c r="E128" s="17">
        <f>E126/D126</f>
        <v>0.24611752417261901</v>
      </c>
      <c r="F128" s="2">
        <v>88.58</v>
      </c>
      <c r="G128" s="10"/>
      <c r="H128" s="10"/>
      <c r="I128" s="10">
        <f>LOG(C128*0.000000001)</f>
        <v>-7.4491603949342151</v>
      </c>
      <c r="J128" s="6" t="s">
        <v>34</v>
      </c>
      <c r="K128" s="6"/>
      <c r="L128" s="2"/>
    </row>
    <row r="129" spans="1:12" ht="15" x14ac:dyDescent="0.25">
      <c r="A129" s="28" t="s">
        <v>25</v>
      </c>
      <c r="B129" s="12">
        <v>45567</v>
      </c>
      <c r="C129" s="2">
        <v>17.329999999999998</v>
      </c>
      <c r="D129" s="10"/>
      <c r="E129" s="17"/>
      <c r="F129" s="2">
        <v>98.43</v>
      </c>
      <c r="G129" s="10"/>
      <c r="H129" s="10"/>
      <c r="I129" s="10">
        <f>LOG(C129*0.000000001)</f>
        <v>-7.7612014372860827</v>
      </c>
      <c r="J129" s="6" t="s">
        <v>34</v>
      </c>
      <c r="K129" s="6"/>
      <c r="L129" s="2"/>
    </row>
    <row r="130" spans="1:12" ht="15" x14ac:dyDescent="0.25">
      <c r="B130" s="12">
        <v>45568</v>
      </c>
      <c r="C130" s="2">
        <v>11.05</v>
      </c>
      <c r="D130" s="10"/>
      <c r="E130" s="17"/>
      <c r="F130" s="2">
        <v>100</v>
      </c>
      <c r="G130" s="10"/>
      <c r="H130" s="10"/>
      <c r="I130" s="10">
        <f>LOG(C130*0.000000001)</f>
        <v>-7.9566377219788702</v>
      </c>
      <c r="J130" s="6" t="s">
        <v>34</v>
      </c>
      <c r="K130" s="6"/>
      <c r="L130" s="2"/>
    </row>
    <row r="131" spans="1:12" ht="15" x14ac:dyDescent="0.25">
      <c r="A131" s="11" t="s">
        <v>11</v>
      </c>
      <c r="B131" s="12"/>
      <c r="C131" s="2"/>
      <c r="D131" s="10"/>
      <c r="E131" s="17"/>
      <c r="F131" s="2"/>
      <c r="G131" s="10"/>
      <c r="H131" s="10"/>
      <c r="I131" s="10"/>
      <c r="J131" s="6"/>
      <c r="K131" s="6"/>
      <c r="L131" s="2"/>
    </row>
    <row r="132" spans="1:12" ht="15.75" x14ac:dyDescent="0.25">
      <c r="A132" s="16"/>
      <c r="B132" s="12"/>
      <c r="C132" s="2"/>
      <c r="D132" s="10"/>
      <c r="E132" s="17"/>
      <c r="F132" s="2"/>
      <c r="G132" s="10"/>
      <c r="H132" s="10"/>
      <c r="I132" s="10"/>
      <c r="J132" s="6"/>
      <c r="K132" s="6"/>
      <c r="L132" s="2"/>
    </row>
    <row r="133" spans="1:12" ht="15" x14ac:dyDescent="0.25">
      <c r="A133" s="9">
        <v>34492</v>
      </c>
      <c r="B133" s="2" t="s">
        <v>4</v>
      </c>
      <c r="C133" s="10" t="s">
        <v>21</v>
      </c>
      <c r="D133" s="10" t="s">
        <v>6</v>
      </c>
      <c r="E133" s="10" t="s">
        <v>7</v>
      </c>
      <c r="F133" s="10" t="s">
        <v>32</v>
      </c>
      <c r="G133" s="10" t="s">
        <v>9</v>
      </c>
      <c r="H133" s="10" t="s">
        <v>7</v>
      </c>
      <c r="I133" s="10" t="s">
        <v>19</v>
      </c>
      <c r="J133" s="6"/>
      <c r="K133" s="6"/>
      <c r="L133" s="2"/>
    </row>
    <row r="134" spans="1:12" x14ac:dyDescent="0.2">
      <c r="A134" s="28" t="s">
        <v>25</v>
      </c>
      <c r="B134" s="44">
        <v>45512</v>
      </c>
      <c r="C134" s="42" t="s">
        <v>68</v>
      </c>
      <c r="D134" s="13">
        <f>AVERAGE(C134:C138)</f>
        <v>19.053333333333331</v>
      </c>
      <c r="E134" s="13">
        <f>STDEV(C134:C138)/SQRT(COUNT(C134:C138))</f>
        <v>1.3020155315680553</v>
      </c>
      <c r="F134" s="42" t="s">
        <v>40</v>
      </c>
      <c r="G134" s="13">
        <f>AVERAGE(F134:F138)</f>
        <v>99.09333333333332</v>
      </c>
      <c r="H134" s="13">
        <f>STDEV(F134:F138)/SQRT(COUNT(F134:F138))</f>
        <v>0.90666666666666629</v>
      </c>
      <c r="I134" s="42" t="e">
        <f t="shared" ref="I134:I135" si="18">LOG(C134*0.000000001)</f>
        <v>#VALUE!</v>
      </c>
      <c r="J134" s="42" t="s">
        <v>27</v>
      </c>
      <c r="K134" s="49" t="s">
        <v>38</v>
      </c>
      <c r="L134" s="2"/>
    </row>
    <row r="135" spans="1:12" x14ac:dyDescent="0.2">
      <c r="A135" s="28" t="s">
        <v>25</v>
      </c>
      <c r="B135" s="12">
        <v>45561</v>
      </c>
      <c r="C135" s="2">
        <v>17.5</v>
      </c>
      <c r="D135" s="10"/>
      <c r="E135" s="10"/>
      <c r="F135" s="2">
        <v>97.28</v>
      </c>
      <c r="G135" s="10"/>
      <c r="H135" s="10"/>
      <c r="I135" s="10">
        <f t="shared" si="18"/>
        <v>-7.7569619513137056</v>
      </c>
      <c r="J135" s="6" t="s">
        <v>34</v>
      </c>
      <c r="K135" s="6"/>
      <c r="L135" s="2"/>
    </row>
    <row r="136" spans="1:12" ht="15" x14ac:dyDescent="0.25">
      <c r="A136" s="28" t="s">
        <v>25</v>
      </c>
      <c r="B136" s="12">
        <v>45562</v>
      </c>
      <c r="C136" s="2">
        <v>21.64</v>
      </c>
      <c r="D136" s="10"/>
      <c r="E136" s="17">
        <f>E134/D134</f>
        <v>6.833531481287905E-2</v>
      </c>
      <c r="F136" s="2">
        <v>100</v>
      </c>
      <c r="G136" s="10"/>
      <c r="H136" s="10"/>
      <c r="I136" s="10">
        <f>LOG(C136*0.000000001)</f>
        <v>-7.6647427435654683</v>
      </c>
      <c r="J136" s="6" t="s">
        <v>34</v>
      </c>
      <c r="K136" s="6"/>
      <c r="L136" s="2"/>
    </row>
    <row r="137" spans="1:12" ht="15" x14ac:dyDescent="0.25">
      <c r="A137" s="28" t="s">
        <v>25</v>
      </c>
      <c r="B137" s="12">
        <v>45567</v>
      </c>
      <c r="C137" s="2">
        <v>18.02</v>
      </c>
      <c r="D137" s="10"/>
      <c r="E137" s="17"/>
      <c r="F137" s="2">
        <v>100</v>
      </c>
      <c r="G137" s="10"/>
      <c r="H137" s="10"/>
      <c r="I137" s="10">
        <f>LOG(C137*0.000000001)</f>
        <v>-7.7442452133569555</v>
      </c>
      <c r="J137" s="6" t="s">
        <v>34</v>
      </c>
      <c r="K137" s="6"/>
      <c r="L137" s="2"/>
    </row>
    <row r="138" spans="1:12" ht="15" x14ac:dyDescent="0.25">
      <c r="A138" s="11" t="s">
        <v>11</v>
      </c>
      <c r="B138" s="12"/>
      <c r="C138" s="2"/>
      <c r="D138" s="10"/>
      <c r="E138" s="17"/>
      <c r="F138" s="2"/>
      <c r="G138" s="10"/>
      <c r="H138" s="10"/>
      <c r="I138" s="10"/>
      <c r="J138" s="6"/>
      <c r="K138" s="6"/>
      <c r="L138" s="2"/>
    </row>
    <row r="139" spans="1:12" ht="15.75" x14ac:dyDescent="0.25">
      <c r="A139" s="16"/>
      <c r="B139" s="12"/>
      <c r="C139" s="2"/>
      <c r="D139" s="10"/>
      <c r="E139" s="17"/>
      <c r="F139" s="2"/>
      <c r="G139" s="10"/>
      <c r="H139" s="10"/>
      <c r="I139" s="10"/>
      <c r="J139" s="6"/>
      <c r="K139" s="6"/>
      <c r="L139" s="2"/>
    </row>
    <row r="140" spans="1:12" ht="15" x14ac:dyDescent="0.25">
      <c r="A140" s="9">
        <v>34493</v>
      </c>
      <c r="B140" s="2" t="s">
        <v>4</v>
      </c>
      <c r="C140" s="10" t="s">
        <v>21</v>
      </c>
      <c r="D140" s="10" t="s">
        <v>6</v>
      </c>
      <c r="E140" s="10" t="s">
        <v>7</v>
      </c>
      <c r="F140" s="10" t="s">
        <v>32</v>
      </c>
      <c r="G140" s="10" t="s">
        <v>9</v>
      </c>
      <c r="H140" s="10" t="s">
        <v>7</v>
      </c>
      <c r="I140" s="10" t="s">
        <v>19</v>
      </c>
      <c r="J140" s="6"/>
      <c r="K140" s="6"/>
      <c r="L140" s="2"/>
    </row>
    <row r="141" spans="1:12" x14ac:dyDescent="0.2">
      <c r="A141" s="28" t="s">
        <v>25</v>
      </c>
      <c r="B141" s="44">
        <v>45512</v>
      </c>
      <c r="C141" s="42" t="s">
        <v>69</v>
      </c>
      <c r="D141" s="13">
        <f>AVERAGE(C141:C145)</f>
        <v>31.633333333333329</v>
      </c>
      <c r="E141" s="13">
        <f>STDEV(C141:C145)/SQRT(COUNT(C141:C145))</f>
        <v>7.085323641945461</v>
      </c>
      <c r="F141" s="42" t="s">
        <v>40</v>
      </c>
      <c r="G141" s="13">
        <f>AVERAGE(F141:F145)</f>
        <v>92.723333333333343</v>
      </c>
      <c r="H141" s="13">
        <f>STDEV(F141:F145)/SQRT(COUNT(F141:F145))</f>
        <v>7.2766666666666646</v>
      </c>
      <c r="I141" s="42" t="e">
        <f>LOG(C141*0.000000001)</f>
        <v>#VALUE!</v>
      </c>
      <c r="J141" s="42" t="s">
        <v>27</v>
      </c>
      <c r="K141" s="49" t="s">
        <v>38</v>
      </c>
      <c r="L141" s="2"/>
    </row>
    <row r="142" spans="1:12" x14ac:dyDescent="0.2">
      <c r="A142" s="28" t="s">
        <v>25</v>
      </c>
      <c r="B142" s="12">
        <v>45561</v>
      </c>
      <c r="C142" s="2">
        <v>44.45</v>
      </c>
      <c r="D142" s="10"/>
      <c r="E142" s="10"/>
      <c r="F142" s="2">
        <v>78.17</v>
      </c>
      <c r="G142" s="10"/>
      <c r="H142" s="10"/>
      <c r="I142" s="10">
        <f t="shared" ref="I142" si="19">LOG(C142*0.000000001)</f>
        <v>-7.3521282346937671</v>
      </c>
      <c r="J142" s="6" t="s">
        <v>34</v>
      </c>
      <c r="K142" s="6"/>
      <c r="L142" s="2"/>
    </row>
    <row r="143" spans="1:12" ht="15" x14ac:dyDescent="0.25">
      <c r="A143" s="28" t="s">
        <v>25</v>
      </c>
      <c r="B143" s="12">
        <v>45562</v>
      </c>
      <c r="C143" s="2">
        <v>30.46</v>
      </c>
      <c r="D143" s="10"/>
      <c r="E143" s="17">
        <f>E141/D141</f>
        <v>0.22398283378120534</v>
      </c>
      <c r="F143" s="2">
        <v>100</v>
      </c>
      <c r="G143" s="10"/>
      <c r="H143" s="10"/>
      <c r="I143" s="10">
        <f>LOG(C143*0.000000001)</f>
        <v>-7.5162701009999759</v>
      </c>
      <c r="J143" s="6" t="s">
        <v>34</v>
      </c>
      <c r="K143" s="6"/>
      <c r="L143" s="2"/>
    </row>
    <row r="144" spans="1:12" ht="15" x14ac:dyDescent="0.25">
      <c r="A144" s="28" t="s">
        <v>25</v>
      </c>
      <c r="B144" s="12">
        <v>45567</v>
      </c>
      <c r="C144" s="2">
        <v>19.989999999999998</v>
      </c>
      <c r="D144" s="10"/>
      <c r="E144" s="17"/>
      <c r="F144" s="2">
        <v>100</v>
      </c>
      <c r="G144" s="10"/>
      <c r="H144" s="10"/>
      <c r="I144" s="10">
        <f>LOG(C144*0.000000001)</f>
        <v>-7.6991872058818833</v>
      </c>
      <c r="J144" s="6" t="s">
        <v>34</v>
      </c>
      <c r="K144" s="6"/>
      <c r="L144" s="2"/>
    </row>
    <row r="145" spans="1:12" ht="15" x14ac:dyDescent="0.25">
      <c r="A145" s="11" t="s">
        <v>11</v>
      </c>
      <c r="B145" s="12"/>
      <c r="C145" s="2"/>
      <c r="D145" s="10"/>
      <c r="E145" s="17"/>
      <c r="F145" s="2"/>
      <c r="G145" s="10"/>
      <c r="H145" s="10"/>
      <c r="I145" s="10"/>
      <c r="J145" s="6"/>
      <c r="K145" s="6"/>
      <c r="L145" s="2"/>
    </row>
    <row r="146" spans="1:12" ht="15.75" x14ac:dyDescent="0.25">
      <c r="A146" s="16"/>
      <c r="B146" s="12"/>
      <c r="C146" s="2"/>
      <c r="D146" s="10"/>
      <c r="E146" s="17"/>
      <c r="F146" s="2"/>
      <c r="G146" s="10"/>
      <c r="H146" s="10"/>
      <c r="I146" s="10"/>
      <c r="J146" s="6"/>
      <c r="K146" s="6"/>
      <c r="L146" s="2"/>
    </row>
    <row r="147" spans="1:12" ht="15" x14ac:dyDescent="0.25">
      <c r="A147" s="9">
        <v>34494</v>
      </c>
      <c r="B147" s="2" t="s">
        <v>4</v>
      </c>
      <c r="C147" s="10" t="s">
        <v>21</v>
      </c>
      <c r="D147" s="10" t="s">
        <v>6</v>
      </c>
      <c r="E147" s="10" t="s">
        <v>7</v>
      </c>
      <c r="F147" s="10" t="s">
        <v>32</v>
      </c>
      <c r="G147" s="10" t="s">
        <v>9</v>
      </c>
      <c r="H147" s="10" t="s">
        <v>7</v>
      </c>
      <c r="I147" s="10" t="s">
        <v>19</v>
      </c>
      <c r="J147" s="6"/>
      <c r="K147" s="6"/>
      <c r="L147" s="2"/>
    </row>
    <row r="148" spans="1:12" x14ac:dyDescent="0.2">
      <c r="A148" s="28" t="s">
        <v>25</v>
      </c>
      <c r="B148" s="44">
        <v>45512</v>
      </c>
      <c r="C148" s="42" t="s">
        <v>70</v>
      </c>
      <c r="D148" s="13">
        <f>AVERAGE(C148:C152)</f>
        <v>112.19333333333333</v>
      </c>
      <c r="E148" s="13">
        <f>STDEV(C148:C152)/SQRT(COUNT(C148:C152))</f>
        <v>28.205532160277414</v>
      </c>
      <c r="F148" s="42" t="s">
        <v>40</v>
      </c>
      <c r="G148" s="13">
        <f>AVERAGE(F148:F152)</f>
        <v>94.089999999999989</v>
      </c>
      <c r="H148" s="13">
        <f>STDEV(F148:F152)/SQRT(COUNT(F148:F152))</f>
        <v>4.5466581133839377</v>
      </c>
      <c r="I148" s="42" t="e">
        <f>LOG(C148*0.000000001)</f>
        <v>#VALUE!</v>
      </c>
      <c r="J148" s="42" t="s">
        <v>27</v>
      </c>
      <c r="K148" s="49" t="s">
        <v>38</v>
      </c>
      <c r="L148" s="2"/>
    </row>
    <row r="149" spans="1:12" x14ac:dyDescent="0.2">
      <c r="A149" s="28" t="s">
        <v>25</v>
      </c>
      <c r="B149" s="12">
        <v>45561</v>
      </c>
      <c r="C149" s="2">
        <v>84.6</v>
      </c>
      <c r="D149" s="10"/>
      <c r="E149" s="10"/>
      <c r="F149" s="2">
        <v>85.15</v>
      </c>
      <c r="G149" s="10"/>
      <c r="H149" s="10"/>
      <c r="I149" s="10">
        <f t="shared" ref="I149" si="20">LOG(C149*0.000000001)</f>
        <v>-7.0726296369609765</v>
      </c>
      <c r="J149" s="6" t="s">
        <v>34</v>
      </c>
      <c r="K149" s="6"/>
      <c r="L149" s="2"/>
    </row>
    <row r="150" spans="1:12" ht="15" x14ac:dyDescent="0.25">
      <c r="A150" s="28" t="s">
        <v>25</v>
      </c>
      <c r="B150" s="12">
        <v>45562</v>
      </c>
      <c r="C150" s="2">
        <v>168.6</v>
      </c>
      <c r="D150" s="10"/>
      <c r="E150" s="17">
        <f>E148/D148</f>
        <v>0.25140114231633565</v>
      </c>
      <c r="F150" s="2">
        <v>100</v>
      </c>
      <c r="G150" s="10"/>
      <c r="H150" s="10"/>
      <c r="I150" s="10">
        <f>LOG(C150*0.000000001)</f>
        <v>-6.7731424297112763</v>
      </c>
      <c r="J150" s="6" t="s">
        <v>34</v>
      </c>
      <c r="K150" s="6"/>
      <c r="L150" s="2"/>
    </row>
    <row r="151" spans="1:12" ht="15" x14ac:dyDescent="0.25">
      <c r="A151" s="28" t="s">
        <v>25</v>
      </c>
      <c r="B151" s="12">
        <v>45567</v>
      </c>
      <c r="C151" s="2">
        <v>83.38</v>
      </c>
      <c r="D151" s="10"/>
      <c r="E151" s="17"/>
      <c r="F151" s="2">
        <v>97.12</v>
      </c>
      <c r="G151" s="10"/>
      <c r="H151" s="10"/>
      <c r="I151" s="10">
        <f>LOG(C151*0.000000001)</f>
        <v>-7.0789381092097212</v>
      </c>
      <c r="J151" s="6" t="s">
        <v>34</v>
      </c>
      <c r="K151" s="6"/>
      <c r="L151" s="2"/>
    </row>
    <row r="152" spans="1:12" ht="15" x14ac:dyDescent="0.25">
      <c r="A152" s="11" t="s">
        <v>11</v>
      </c>
      <c r="B152" s="12"/>
      <c r="C152" s="2"/>
      <c r="D152" s="10"/>
      <c r="E152" s="17"/>
      <c r="F152" s="2"/>
      <c r="G152" s="10"/>
      <c r="H152" s="10"/>
      <c r="I152" s="10"/>
      <c r="J152" s="6"/>
      <c r="K152" s="6"/>
      <c r="L152" s="2"/>
    </row>
    <row r="154" spans="1:12" ht="15" x14ac:dyDescent="0.25">
      <c r="A154" s="1" t="s">
        <v>14</v>
      </c>
      <c r="B154" s="18"/>
      <c r="C154" s="6"/>
      <c r="D154" s="6"/>
      <c r="E154" s="6"/>
      <c r="F154" s="6"/>
      <c r="G154" s="6"/>
      <c r="H154" s="41"/>
      <c r="I154" s="6"/>
      <c r="J154" s="6"/>
    </row>
    <row r="155" spans="1:12" x14ac:dyDescent="0.2">
      <c r="A155" s="27" t="s">
        <v>24</v>
      </c>
      <c r="B155" s="2" t="s">
        <v>4</v>
      </c>
      <c r="C155" s="10" t="s">
        <v>18</v>
      </c>
      <c r="D155" s="10" t="s">
        <v>6</v>
      </c>
      <c r="E155" s="10" t="s">
        <v>7</v>
      </c>
      <c r="F155" s="10" t="s">
        <v>32</v>
      </c>
      <c r="G155" s="10" t="s">
        <v>9</v>
      </c>
      <c r="H155" s="10" t="s">
        <v>7</v>
      </c>
      <c r="I155" s="10" t="s">
        <v>19</v>
      </c>
    </row>
    <row r="156" spans="1:12" x14ac:dyDescent="0.2">
      <c r="A156" s="28" t="s">
        <v>37</v>
      </c>
      <c r="B156" s="12">
        <v>45506</v>
      </c>
      <c r="C156" s="10">
        <v>5.5039999999999996</v>
      </c>
      <c r="D156" s="13">
        <f>AVERAGE(C156:C160)</f>
        <v>3.5542000000000002</v>
      </c>
      <c r="E156" s="13">
        <f>STDEV(C156:C160)/SQRT(COUNT(C156:C160))</f>
        <v>0.57327701855211299</v>
      </c>
      <c r="F156" s="10">
        <v>100</v>
      </c>
      <c r="G156" s="13">
        <f>AVERAGE(F156:F160)</f>
        <v>99.01</v>
      </c>
      <c r="H156" s="13">
        <f>STDEV(F156:F160)/SQRT(COUNT(F156:F160))</f>
        <v>0.99000000000000055</v>
      </c>
      <c r="I156" s="10">
        <f>LOG(C156*0.000000001)</f>
        <v>-8.2593215747725459</v>
      </c>
      <c r="J156" s="10" t="s">
        <v>27</v>
      </c>
      <c r="K156" s="6"/>
    </row>
    <row r="157" spans="1:12" x14ac:dyDescent="0.2">
      <c r="A157" s="11"/>
      <c r="B157" s="12">
        <v>45512</v>
      </c>
      <c r="C157" s="10">
        <v>3.9169999999999998</v>
      </c>
      <c r="D157" s="10"/>
      <c r="E157" s="10"/>
      <c r="F157" s="10">
        <v>100</v>
      </c>
      <c r="G157" s="10"/>
      <c r="H157" s="10"/>
      <c r="I157" s="10">
        <f t="shared" ref="I157:I160" si="21">LOG(C157*0.000000001)</f>
        <v>-8.4070464284521336</v>
      </c>
      <c r="J157" s="10" t="s">
        <v>27</v>
      </c>
      <c r="K157" s="6"/>
    </row>
    <row r="158" spans="1:12" ht="15.75" x14ac:dyDescent="0.25">
      <c r="A158" s="16"/>
      <c r="B158" s="12">
        <v>45561</v>
      </c>
      <c r="C158" s="10">
        <v>2.5230000000000001</v>
      </c>
      <c r="D158" s="29"/>
      <c r="E158" s="17">
        <f>E156/D156</f>
        <v>0.16129565543641691</v>
      </c>
      <c r="F158" s="10">
        <v>100</v>
      </c>
      <c r="G158" s="10"/>
      <c r="H158" s="10"/>
      <c r="I158" s="10">
        <f t="shared" si="21"/>
        <v>-8.5980827494824261</v>
      </c>
      <c r="J158" s="6" t="s">
        <v>34</v>
      </c>
      <c r="K158" s="6"/>
    </row>
    <row r="159" spans="1:12" x14ac:dyDescent="0.2">
      <c r="B159" s="12">
        <v>45562</v>
      </c>
      <c r="C159" s="10">
        <v>3.528</v>
      </c>
      <c r="D159" s="10"/>
      <c r="E159" s="10"/>
      <c r="F159" s="10">
        <v>95.05</v>
      </c>
      <c r="G159" s="10"/>
      <c r="H159" s="10"/>
      <c r="I159" s="10">
        <f t="shared" si="21"/>
        <v>-8.4524714235402172</v>
      </c>
      <c r="J159" s="6" t="s">
        <v>34</v>
      </c>
      <c r="K159" s="6"/>
    </row>
    <row r="160" spans="1:12" x14ac:dyDescent="0.2">
      <c r="A160" s="11" t="s">
        <v>64</v>
      </c>
      <c r="B160" s="12">
        <v>45567</v>
      </c>
      <c r="C160" s="10">
        <v>2.2989999999999999</v>
      </c>
      <c r="D160" s="10"/>
      <c r="E160" s="10"/>
      <c r="F160" s="10">
        <v>100</v>
      </c>
      <c r="G160" s="10"/>
      <c r="H160" s="10"/>
      <c r="I160" s="10">
        <f t="shared" si="21"/>
        <v>-8.6384610287307204</v>
      </c>
      <c r="J160" s="6" t="s">
        <v>34</v>
      </c>
      <c r="K160" s="6"/>
    </row>
    <row r="161" spans="1:11" x14ac:dyDescent="0.2">
      <c r="A161" s="11"/>
      <c r="B161" s="37"/>
      <c r="C161" s="10"/>
      <c r="D161" s="10"/>
      <c r="E161" s="10"/>
      <c r="F161" s="10"/>
      <c r="G161" s="10"/>
      <c r="H161" s="10"/>
      <c r="I161" s="10"/>
      <c r="J161" s="10"/>
      <c r="K161" s="6"/>
    </row>
    <row r="162" spans="1:11" x14ac:dyDescent="0.2">
      <c r="A162" s="11"/>
      <c r="B162" s="37"/>
      <c r="C162" s="10"/>
      <c r="D162" s="10"/>
      <c r="E162" s="10"/>
      <c r="F162" s="10"/>
      <c r="G162" s="10"/>
      <c r="H162" s="10"/>
      <c r="I162" s="10"/>
      <c r="J162" s="10"/>
      <c r="K162" s="6"/>
    </row>
    <row r="163" spans="1:11" ht="15" thickBot="1" x14ac:dyDescent="0.25">
      <c r="A163" s="39"/>
      <c r="B163" s="34"/>
      <c r="C163" s="34"/>
      <c r="D163" s="34"/>
      <c r="E163" s="34"/>
      <c r="F163" s="34"/>
      <c r="G163" s="34"/>
      <c r="H163" s="34"/>
      <c r="I163" s="34"/>
      <c r="J163" s="34"/>
      <c r="K163" s="39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25C777-A412-4037-8401-87DBC0FC9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0706BB-C45C-4D59-A08C-81CDE49FCC79}">
  <ds:schemaRefs>
    <ds:schemaRef ds:uri="http://purl.org/dc/elements/1.1/"/>
    <ds:schemaRef ds:uri="http://schemas.microsoft.com/office/2006/documentManagement/types"/>
    <ds:schemaRef ds:uri="8cafe7d8-4bd4-4378-b54d-cfdec05ca8b5"/>
    <ds:schemaRef ds:uri="1a253495-b0d9-40a4-8e1c-242bf5431677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782FE2-DD18-4A32-B089-FCB3074D66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 ag-antag</vt:lpstr>
      <vt:lpstr>2B ag-antag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Laura Kozell</cp:lastModifiedBy>
  <cp:revision/>
  <cp:lastPrinted>2024-10-10T20:00:07Z</cp:lastPrinted>
  <dcterms:created xsi:type="dcterms:W3CDTF">2019-03-27T21:10:15Z</dcterms:created>
  <dcterms:modified xsi:type="dcterms:W3CDTF">2024-10-12T00:37:57Z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0x010100AE50DEA2807158499EE67B236B723043</vt:lpwstr>
  </property>
  <property fmtid="{D5CDD505-2E9C-101B-9397-08002B2CF9AE}" pid="3" name="MediaServiceImageTags">
    <vt:lpwstr/>
  </property>
</Properties>
</file>