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hsuitg.sharepoint.com/sites/SM.Janowsky-Lab/Shared Documents/General/X Drive/CONTRACTS/5th contract/Fiscal 2024/34485-94 DA 5HT Jan 2024/Data/"/>
    </mc:Choice>
  </mc:AlternateContent>
  <xr:revisionPtr revIDLastSave="211" documentId="13_ncr:1_{CB339DB9-507F-234D-91DD-5769A60BCFE5}" xr6:coauthVersionLast="47" xr6:coauthVersionMax="47" xr10:uidLastSave="{A41F8C68-4922-48A3-8957-3425B602804B}"/>
  <bookViews>
    <workbookView xWindow="-108" yWindow="-108" windowWidth="23256" windowHeight="12456" xr2:uid="{00000000-000D-0000-FFFF-FFFF00000000}"/>
  </bookViews>
  <sheets>
    <sheet name="D2 agonist" sheetId="1" r:id="rId1"/>
    <sheet name="D2 antagonist" sheetId="2" r:id="rId2"/>
    <sheet name="D3 agonist" sheetId="5" r:id="rId3"/>
    <sheet name="D3 antagonist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0" i="6" l="1"/>
  <c r="G150" i="6"/>
  <c r="E150" i="6"/>
  <c r="D150" i="6"/>
  <c r="H133" i="6"/>
  <c r="G133" i="6"/>
  <c r="E133" i="6"/>
  <c r="D133" i="6"/>
  <c r="G116" i="6"/>
  <c r="H116" i="6"/>
  <c r="E116" i="6"/>
  <c r="D116" i="6"/>
  <c r="G106" i="6"/>
  <c r="H106" i="6"/>
  <c r="E106" i="6"/>
  <c r="D106" i="6"/>
  <c r="H95" i="6"/>
  <c r="G95" i="6"/>
  <c r="D95" i="6"/>
  <c r="H86" i="6"/>
  <c r="G86" i="6"/>
  <c r="E86" i="6"/>
  <c r="D86" i="6"/>
  <c r="H72" i="6"/>
  <c r="G72" i="6"/>
  <c r="E72" i="6"/>
  <c r="E74" i="6" s="1"/>
  <c r="D72" i="6"/>
  <c r="H62" i="6"/>
  <c r="G62" i="6"/>
  <c r="D62" i="6"/>
  <c r="H47" i="6"/>
  <c r="G47" i="6"/>
  <c r="E47" i="6"/>
  <c r="D47" i="6"/>
  <c r="H30" i="6"/>
  <c r="G30" i="6"/>
  <c r="D30" i="6"/>
  <c r="E30" i="6"/>
  <c r="H21" i="6"/>
  <c r="G21" i="6"/>
  <c r="D21" i="6"/>
  <c r="E21" i="6"/>
  <c r="E6" i="6"/>
  <c r="D6" i="6"/>
  <c r="H140" i="5"/>
  <c r="G140" i="5"/>
  <c r="E140" i="5"/>
  <c r="D140" i="5"/>
  <c r="H131" i="5"/>
  <c r="G131" i="5"/>
  <c r="D131" i="5"/>
  <c r="E133" i="5" s="1"/>
  <c r="G121" i="5"/>
  <c r="H121" i="5"/>
  <c r="D121" i="5"/>
  <c r="H113" i="5"/>
  <c r="G113" i="5"/>
  <c r="E113" i="5"/>
  <c r="E115" i="5" s="1"/>
  <c r="D113" i="5"/>
  <c r="H100" i="5"/>
  <c r="G100" i="5"/>
  <c r="E100" i="5"/>
  <c r="D100" i="5"/>
  <c r="H68" i="5"/>
  <c r="G68" i="5"/>
  <c r="E68" i="5"/>
  <c r="D68" i="5"/>
  <c r="H54" i="5"/>
  <c r="G54" i="5"/>
  <c r="E54" i="5"/>
  <c r="D54" i="5"/>
  <c r="H43" i="5"/>
  <c r="G43" i="5"/>
  <c r="E43" i="5"/>
  <c r="D43" i="5"/>
  <c r="H31" i="5"/>
  <c r="G31" i="5"/>
  <c r="E31" i="5"/>
  <c r="D31" i="5"/>
  <c r="H6" i="5"/>
  <c r="G6" i="5"/>
  <c r="E6" i="5"/>
  <c r="D6" i="5"/>
  <c r="H140" i="2"/>
  <c r="G140" i="2"/>
  <c r="E140" i="2"/>
  <c r="D140" i="2"/>
  <c r="H127" i="2"/>
  <c r="G127" i="2"/>
  <c r="D127" i="2"/>
  <c r="E127" i="2"/>
  <c r="H107" i="2"/>
  <c r="G107" i="2"/>
  <c r="E107" i="2"/>
  <c r="D107" i="2"/>
  <c r="H94" i="2"/>
  <c r="G94" i="2"/>
  <c r="E94" i="2"/>
  <c r="E96" i="2" s="1"/>
  <c r="D94" i="2"/>
  <c r="H85" i="2"/>
  <c r="G85" i="2"/>
  <c r="E85" i="2"/>
  <c r="D85" i="2"/>
  <c r="H76" i="2"/>
  <c r="G76" i="2"/>
  <c r="E76" i="2"/>
  <c r="E78" i="2" s="1"/>
  <c r="D76" i="2"/>
  <c r="H67" i="2"/>
  <c r="G67" i="2"/>
  <c r="E67" i="2"/>
  <c r="D67" i="2"/>
  <c r="H47" i="2"/>
  <c r="G47" i="2"/>
  <c r="E47" i="2"/>
  <c r="D47" i="2"/>
  <c r="H38" i="2"/>
  <c r="G38" i="2"/>
  <c r="D38" i="2"/>
  <c r="H24" i="2"/>
  <c r="G24" i="2"/>
  <c r="D24" i="2"/>
  <c r="E26" i="2" s="1"/>
  <c r="H6" i="2"/>
  <c r="G6" i="2"/>
  <c r="E6" i="2"/>
  <c r="D6" i="2"/>
  <c r="H118" i="1"/>
  <c r="G118" i="1"/>
  <c r="D118" i="1"/>
  <c r="E120" i="1" s="1"/>
  <c r="H109" i="1"/>
  <c r="G109" i="1"/>
  <c r="D109" i="1"/>
  <c r="E111" i="1" s="1"/>
  <c r="H100" i="1"/>
  <c r="G100" i="1"/>
  <c r="E100" i="1"/>
  <c r="D100" i="1"/>
  <c r="H91" i="1"/>
  <c r="G91" i="1"/>
  <c r="D91" i="1"/>
  <c r="E82" i="1"/>
  <c r="E84" i="1" s="1"/>
  <c r="D82" i="1"/>
  <c r="H82" i="1"/>
  <c r="G82" i="1"/>
  <c r="H62" i="1"/>
  <c r="D52" i="1"/>
  <c r="E54" i="1" s="1"/>
  <c r="D42" i="1"/>
  <c r="E44" i="1" s="1"/>
  <c r="H42" i="1"/>
  <c r="D32" i="1"/>
  <c r="G22" i="1"/>
  <c r="D22" i="1"/>
  <c r="E24" i="1" s="1"/>
  <c r="E6" i="1"/>
  <c r="E8" i="1" s="1"/>
  <c r="D6" i="1"/>
  <c r="G6" i="1"/>
  <c r="F122" i="2"/>
  <c r="F121" i="2"/>
  <c r="F118" i="2"/>
  <c r="F116" i="2"/>
  <c r="F61" i="2"/>
  <c r="F60" i="2"/>
  <c r="F57" i="2"/>
  <c r="F56" i="2"/>
  <c r="F19" i="2"/>
  <c r="F18" i="2"/>
  <c r="F128" i="6"/>
  <c r="F42" i="6"/>
  <c r="F144" i="6"/>
  <c r="F81" i="6"/>
  <c r="F143" i="6"/>
  <c r="F127" i="6"/>
  <c r="F57" i="6"/>
  <c r="F41" i="6"/>
  <c r="F80" i="6"/>
  <c r="F56" i="6"/>
  <c r="F126" i="6"/>
  <c r="F142" i="6"/>
  <c r="F125" i="6"/>
  <c r="F55" i="6"/>
  <c r="F40" i="6"/>
  <c r="F54" i="6"/>
  <c r="F79" i="6"/>
  <c r="F141" i="6"/>
  <c r="F53" i="6"/>
  <c r="F124" i="6"/>
  <c r="F39" i="6"/>
  <c r="F78" i="6"/>
  <c r="F123" i="6"/>
  <c r="F38" i="6"/>
  <c r="F140" i="6"/>
  <c r="F14" i="6"/>
  <c r="F13" i="6"/>
  <c r="F100" i="6"/>
  <c r="F155" i="6"/>
  <c r="F52" i="6"/>
  <c r="F37" i="6"/>
  <c r="F156" i="6"/>
  <c r="F138" i="6"/>
  <c r="F121" i="6"/>
  <c r="F77" i="6"/>
  <c r="F67" i="6"/>
  <c r="F51" i="6"/>
  <c r="F36" i="6"/>
  <c r="F154" i="6"/>
  <c r="F137" i="6"/>
  <c r="F120" i="6"/>
  <c r="F111" i="6"/>
  <c r="F110" i="6"/>
  <c r="F99" i="6"/>
  <c r="F76" i="6"/>
  <c r="F66" i="6"/>
  <c r="E62" i="6"/>
  <c r="F50" i="6"/>
  <c r="F35" i="6"/>
  <c r="F12" i="6"/>
  <c r="F102" i="2"/>
  <c r="F134" i="2"/>
  <c r="F114" i="2"/>
  <c r="F113" i="2"/>
  <c r="F54" i="2"/>
  <c r="F31" i="2"/>
  <c r="E24" i="2"/>
  <c r="F112" i="2"/>
  <c r="F52" i="2"/>
  <c r="F17" i="2"/>
  <c r="F16" i="2"/>
  <c r="F40" i="2"/>
  <c r="F41" i="2"/>
  <c r="F34" i="6"/>
  <c r="F65" i="6"/>
  <c r="F98" i="6"/>
  <c r="F49" i="6"/>
  <c r="F64" i="6"/>
  <c r="F74" i="6"/>
  <c r="F88" i="6"/>
  <c r="F97" i="6"/>
  <c r="F108" i="6"/>
  <c r="F118" i="6"/>
  <c r="F152" i="6"/>
  <c r="F24" i="6"/>
  <c r="F11" i="6"/>
  <c r="F10" i="6"/>
  <c r="E121" i="5"/>
  <c r="F144" i="2"/>
  <c r="F143" i="2"/>
  <c r="F131" i="2"/>
  <c r="F130" i="2"/>
  <c r="F111" i="2"/>
  <c r="F110" i="2"/>
  <c r="F96" i="2"/>
  <c r="F88" i="2"/>
  <c r="F87" i="2"/>
  <c r="F80" i="2"/>
  <c r="F79" i="2"/>
  <c r="F78" i="2"/>
  <c r="F71" i="2"/>
  <c r="F70" i="2"/>
  <c r="F51" i="2"/>
  <c r="F50" i="2"/>
  <c r="F49" i="2"/>
  <c r="E38" i="2"/>
  <c r="F28" i="2"/>
  <c r="F27" i="2"/>
  <c r="F15" i="2"/>
  <c r="F14" i="2"/>
  <c r="F13" i="2"/>
  <c r="F12" i="2"/>
  <c r="F11" i="2"/>
  <c r="F10" i="2"/>
  <c r="F129" i="2"/>
  <c r="F142" i="2"/>
  <c r="F128" i="2"/>
  <c r="F109" i="2"/>
  <c r="F108" i="2"/>
  <c r="F95" i="2"/>
  <c r="F68" i="2"/>
  <c r="F26" i="2"/>
  <c r="F25" i="2"/>
  <c r="F9" i="2"/>
  <c r="F8" i="2"/>
  <c r="F135" i="6"/>
  <c r="F134" i="6"/>
  <c r="F151" i="6"/>
  <c r="F117" i="6"/>
  <c r="F107" i="6"/>
  <c r="F87" i="6"/>
  <c r="F63" i="6"/>
  <c r="F48" i="6"/>
  <c r="F32" i="6"/>
  <c r="F31" i="6"/>
  <c r="F22" i="6"/>
  <c r="F21" i="6"/>
  <c r="G42" i="1"/>
  <c r="E42" i="1"/>
  <c r="H6" i="1"/>
  <c r="F116" i="6"/>
  <c r="F106" i="6"/>
  <c r="F95" i="6"/>
  <c r="F150" i="6"/>
  <c r="F86" i="6"/>
  <c r="F62" i="6"/>
  <c r="F47" i="6"/>
  <c r="F7" i="6"/>
  <c r="H6" i="6" s="1"/>
  <c r="F140" i="2"/>
  <c r="F127" i="2"/>
  <c r="F107" i="2"/>
  <c r="F94" i="2"/>
  <c r="F85" i="2"/>
  <c r="F76" i="2"/>
  <c r="F47" i="2"/>
  <c r="F7" i="2"/>
  <c r="F6" i="2"/>
  <c r="E109" i="1"/>
  <c r="G89" i="5"/>
  <c r="G77" i="5"/>
  <c r="E131" i="5"/>
  <c r="E118" i="1"/>
  <c r="E91" i="1"/>
  <c r="E93" i="1"/>
  <c r="D62" i="1"/>
  <c r="E52" i="1"/>
  <c r="G32" i="1"/>
  <c r="D89" i="5"/>
  <c r="D77" i="5"/>
  <c r="E95" i="6"/>
  <c r="G72" i="1"/>
  <c r="E89" i="5"/>
  <c r="E91" i="5" s="1"/>
  <c r="E77" i="5"/>
  <c r="E79" i="5" s="1"/>
  <c r="H52" i="1"/>
  <c r="G52" i="1"/>
  <c r="E72" i="1"/>
  <c r="E74" i="1"/>
  <c r="D72" i="1"/>
  <c r="H72" i="1"/>
  <c r="E62" i="1"/>
  <c r="E64" i="1"/>
  <c r="G62" i="1"/>
  <c r="H77" i="5"/>
  <c r="H89" i="5"/>
  <c r="H22" i="1"/>
  <c r="E22" i="1"/>
  <c r="H32" i="1"/>
  <c r="E32" i="1"/>
  <c r="E34" i="1"/>
  <c r="E40" i="2"/>
  <c r="E152" i="6" l="1"/>
  <c r="E135" i="6"/>
  <c r="E118" i="6"/>
  <c r="E108" i="6"/>
  <c r="E97" i="6"/>
  <c r="E88" i="6"/>
  <c r="E64" i="6"/>
  <c r="E49" i="6"/>
  <c r="E32" i="6"/>
  <c r="G6" i="6"/>
  <c r="E23" i="6"/>
  <c r="E8" i="6"/>
  <c r="E142" i="5"/>
  <c r="E123" i="5"/>
  <c r="E102" i="5"/>
  <c r="E70" i="5"/>
  <c r="E56" i="5"/>
  <c r="E45" i="5"/>
  <c r="E33" i="5"/>
  <c r="E8" i="5"/>
  <c r="E142" i="2"/>
  <c r="E129" i="2"/>
  <c r="E109" i="2"/>
  <c r="E87" i="2"/>
  <c r="E69" i="2"/>
  <c r="E49" i="2"/>
  <c r="E8" i="2"/>
  <c r="E102" i="1"/>
</calcChain>
</file>

<file path=xl/sharedStrings.xml><?xml version="1.0" encoding="utf-8"?>
<sst xmlns="http://schemas.openxmlformats.org/spreadsheetml/2006/main" count="617" uniqueCount="117">
  <si>
    <t>EC50 (nM)</t>
  </si>
  <si>
    <t>ave</t>
  </si>
  <si>
    <t>sem</t>
  </si>
  <si>
    <t>%quin max</t>
  </si>
  <si>
    <t>IC50 (nM)</t>
  </si>
  <si>
    <t>Summary of D2 mitogenesis</t>
  </si>
  <si>
    <t>D2 antagonist</t>
  </si>
  <si>
    <t>%inhibition</t>
  </si>
  <si>
    <t>DATE</t>
  </si>
  <si>
    <t>Date</t>
  </si>
  <si>
    <t>D3 antagonist</t>
  </si>
  <si>
    <t>D3 agonist</t>
  </si>
  <si>
    <t>D2 agonist</t>
  </si>
  <si>
    <t>Quin -6</t>
  </si>
  <si>
    <t>DA -6</t>
  </si>
  <si>
    <t>NGB -5</t>
  </si>
  <si>
    <t>D2 Agonist</t>
  </si>
  <si>
    <t>D3 Antagonist</t>
  </si>
  <si>
    <t>D3 Agonist</t>
  </si>
  <si>
    <t>D2 Anatagonist</t>
  </si>
  <si>
    <t>Butaclamol -6</t>
  </si>
  <si>
    <t>Passages:</t>
  </si>
  <si>
    <t>butaclamol -6</t>
  </si>
  <si>
    <t>NIDA February 2022: 34276-34279, 34284-34285</t>
  </si>
  <si>
    <t>&gt;10,000</t>
  </si>
  <si>
    <t>Grubbs Outlier</t>
  </si>
  <si>
    <t>34485-5</t>
  </si>
  <si>
    <t>34486 -5</t>
  </si>
  <si>
    <t>34487 -5</t>
  </si>
  <si>
    <t>34488 -5</t>
  </si>
  <si>
    <t>34489 -5</t>
  </si>
  <si>
    <t>34490-5</t>
  </si>
  <si>
    <t>34491-5</t>
  </si>
  <si>
    <t>34492-5</t>
  </si>
  <si>
    <t>34493-5</t>
  </si>
  <si>
    <t>34494-5</t>
  </si>
  <si>
    <t>34485 -5</t>
  </si>
  <si>
    <t>34490 -5</t>
  </si>
  <si>
    <t>34491 -5</t>
  </si>
  <si>
    <t>34492 -5</t>
  </si>
  <si>
    <t>34493 -5</t>
  </si>
  <si>
    <t>34494 -5</t>
  </si>
  <si>
    <t>NIDA February 2024: 34485-494</t>
  </si>
  <si>
    <t>0.3016*</t>
  </si>
  <si>
    <t>No curve</t>
  </si>
  <si>
    <t>No curve; decrease [top]</t>
  </si>
  <si>
    <t>DONE</t>
  </si>
  <si>
    <t>NA</t>
  </si>
  <si>
    <t>Top = 77%</t>
  </si>
  <si>
    <t>Top = 60%</t>
  </si>
  <si>
    <t>0.3203*</t>
  </si>
  <si>
    <t>0.5968*</t>
  </si>
  <si>
    <t>0.5185*</t>
  </si>
  <si>
    <t>0.4628*</t>
  </si>
  <si>
    <t>16, 18, 20</t>
  </si>
  <si>
    <t>30.01*</t>
  </si>
  <si>
    <t>27.59*</t>
  </si>
  <si>
    <t>27.11*</t>
  </si>
  <si>
    <t>56.8*</t>
  </si>
  <si>
    <t>21.04*</t>
  </si>
  <si>
    <t>24.05*</t>
  </si>
  <si>
    <t>23.42*</t>
  </si>
  <si>
    <t>4.623*</t>
  </si>
  <si>
    <t>15.87*</t>
  </si>
  <si>
    <t>255.4*</t>
  </si>
  <si>
    <t>54.8*</t>
  </si>
  <si>
    <t>197.2*</t>
  </si>
  <si>
    <t>100*</t>
  </si>
  <si>
    <t>156.1*</t>
  </si>
  <si>
    <t>83.94*</t>
  </si>
  <si>
    <t>139.2*</t>
  </si>
  <si>
    <t>47.79*</t>
  </si>
  <si>
    <t>806.4*</t>
  </si>
  <si>
    <t>56.65*</t>
  </si>
  <si>
    <t>*=Grubbs Outlier</t>
  </si>
  <si>
    <t>0.2823*</t>
  </si>
  <si>
    <t>Curve top = 42%</t>
  </si>
  <si>
    <t>* = Grubbs Outlier</t>
  </si>
  <si>
    <t>15, 17, 19, 21, 23</t>
  </si>
  <si>
    <t>439.2*</t>
  </si>
  <si>
    <t>69.85*</t>
  </si>
  <si>
    <t>208.6*</t>
  </si>
  <si>
    <t>81.09*</t>
  </si>
  <si>
    <t>59.99*</t>
  </si>
  <si>
    <t>34.48*</t>
  </si>
  <si>
    <t>105.1*</t>
  </si>
  <si>
    <t>8.06*</t>
  </si>
  <si>
    <t>63.69*</t>
  </si>
  <si>
    <t>34.29*</t>
  </si>
  <si>
    <t>69.24*</t>
  </si>
  <si>
    <t>46.17*</t>
  </si>
  <si>
    <t>* = Bad Curve</t>
  </si>
  <si>
    <t>0.2409*</t>
  </si>
  <si>
    <t xml:space="preserve">Flat curve </t>
  </si>
  <si>
    <t>72.06*</t>
  </si>
  <si>
    <t>0.059*</t>
  </si>
  <si>
    <t>17, 19, 21, 23, 25</t>
  </si>
  <si>
    <t>28.94*</t>
  </si>
  <si>
    <t>18, 20, 22, 24, 26</t>
  </si>
  <si>
    <t>2225*</t>
  </si>
  <si>
    <t>38.86*</t>
  </si>
  <si>
    <t>N=13</t>
  </si>
  <si>
    <t>N=4</t>
  </si>
  <si>
    <t>N=3</t>
  </si>
  <si>
    <t>N=5</t>
  </si>
  <si>
    <t>N=14</t>
  </si>
  <si>
    <t>N=9</t>
  </si>
  <si>
    <t xml:space="preserve"> </t>
  </si>
  <si>
    <t>N=2</t>
  </si>
  <si>
    <t>N=15</t>
  </si>
  <si>
    <t>N=16</t>
  </si>
  <si>
    <t>N=8</t>
  </si>
  <si>
    <t>N=21</t>
  </si>
  <si>
    <t>N=6</t>
  </si>
  <si>
    <t>N=10</t>
  </si>
  <si>
    <t>N=11</t>
  </si>
  <si>
    <t>Data checked 8/28/24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</si>
</sst>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/d/yy;@"/>
    <numFmt numFmtId="165" formatCode="0.0000"/>
    <numFmt numFmtId="166" formatCode="0.000"/>
    <numFmt numFmtId="167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0" fontId="1" fillId="0" borderId="0" xfId="0" applyFont="1"/>
    <xf numFmtId="166" fontId="0" fillId="0" borderId="0" xfId="0" applyNumberFormat="1"/>
    <xf numFmtId="166" fontId="0" fillId="0" borderId="2" xfId="0" applyNumberFormat="1" applyBorder="1"/>
    <xf numFmtId="166" fontId="0" fillId="0" borderId="3" xfId="0" applyNumberFormat="1" applyBorder="1"/>
    <xf numFmtId="0" fontId="0" fillId="0" borderId="0" xfId="0" applyAlignment="1">
      <alignment horizontal="left"/>
    </xf>
    <xf numFmtId="0" fontId="2" fillId="0" borderId="0" xfId="0" applyFont="1"/>
    <xf numFmtId="0" fontId="3" fillId="0" borderId="0" xfId="0" applyFont="1"/>
    <xf numFmtId="2" fontId="0" fillId="0" borderId="3" xfId="0" applyNumberFormat="1" applyBorder="1"/>
    <xf numFmtId="0" fontId="3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1" fontId="1" fillId="0" borderId="0" xfId="0" applyNumberFormat="1" applyFont="1" applyAlignment="1">
      <alignment horizontal="left"/>
    </xf>
    <xf numFmtId="0" fontId="4" fillId="0" borderId="0" xfId="0" applyFont="1"/>
    <xf numFmtId="167" fontId="0" fillId="0" borderId="0" xfId="0" applyNumberFormat="1"/>
    <xf numFmtId="3" fontId="0" fillId="0" borderId="0" xfId="0" applyNumberFormat="1"/>
    <xf numFmtId="10" fontId="5" fillId="0" borderId="0" xfId="0" applyNumberFormat="1" applyFont="1"/>
    <xf numFmtId="4" fontId="0" fillId="0" borderId="0" xfId="0" applyNumberFormat="1"/>
    <xf numFmtId="0" fontId="5" fillId="0" borderId="0" xfId="0" applyFont="1"/>
    <xf numFmtId="2" fontId="4" fillId="0" borderId="0" xfId="0" applyNumberFormat="1" applyFont="1"/>
    <xf numFmtId="2" fontId="5" fillId="0" borderId="0" xfId="0" applyNumberFormat="1" applyFont="1"/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3"/>
  <sheetViews>
    <sheetView tabSelected="1" topLeftCell="A18" zoomScale="160" zoomScaleNormal="160" workbookViewId="0">
      <selection activeCell="I37" sqref="I37"/>
    </sheetView>
  </sheetViews>
  <sheetFormatPr defaultColWidth="8.88671875" defaultRowHeight="14.4" x14ac:dyDescent="0.3"/>
  <cols>
    <col min="1" max="1" width="10.109375" style="13" customWidth="1"/>
    <col min="2" max="2" width="14.6640625" customWidth="1"/>
    <col min="3" max="3" width="10.6640625" bestFit="1" customWidth="1"/>
    <col min="6" max="6" width="10.33203125" customWidth="1"/>
    <col min="7" max="7" width="9.44140625" bestFit="1" customWidth="1"/>
    <col min="8" max="8" width="18.88671875" style="6" bestFit="1" customWidth="1"/>
  </cols>
  <sheetData>
    <row r="1" spans="1:8" x14ac:dyDescent="0.3">
      <c r="A1" s="13" t="s">
        <v>5</v>
      </c>
      <c r="E1" t="s">
        <v>21</v>
      </c>
      <c r="F1" s="13" t="s">
        <v>54</v>
      </c>
      <c r="H1" s="9" t="s">
        <v>116</v>
      </c>
    </row>
    <row r="2" spans="1:8" x14ac:dyDescent="0.3">
      <c r="A2" s="13" t="s">
        <v>42</v>
      </c>
    </row>
    <row r="3" spans="1:8" ht="18" x14ac:dyDescent="0.35">
      <c r="A3" s="17" t="s">
        <v>16</v>
      </c>
    </row>
    <row r="5" spans="1:8" x14ac:dyDescent="0.3">
      <c r="A5" s="18" t="s">
        <v>12</v>
      </c>
      <c r="B5" s="4" t="s">
        <v>8</v>
      </c>
      <c r="C5" s="4" t="s">
        <v>0</v>
      </c>
      <c r="D5" s="4" t="s">
        <v>1</v>
      </c>
      <c r="E5" s="4" t="s">
        <v>2</v>
      </c>
      <c r="F5" s="4" t="s">
        <v>3</v>
      </c>
      <c r="G5" s="4" t="s">
        <v>1</v>
      </c>
      <c r="H5" s="16" t="s">
        <v>2</v>
      </c>
    </row>
    <row r="6" spans="1:8" x14ac:dyDescent="0.3">
      <c r="A6" s="19" t="s">
        <v>13</v>
      </c>
      <c r="B6" s="1">
        <v>45359</v>
      </c>
      <c r="C6">
        <v>16.100000000000001</v>
      </c>
      <c r="D6" s="22">
        <f>AVERAGE(C6:C18)</f>
        <v>10.487846153846155</v>
      </c>
      <c r="E6" s="22">
        <f>STDEV(C6:C18)/SQRT(COUNT(C6:C18))</f>
        <v>1.1773072919021927</v>
      </c>
      <c r="F6">
        <v>102.1</v>
      </c>
      <c r="G6" s="6">
        <f>AVERAGE(F6:F18)</f>
        <v>100.83538461538461</v>
      </c>
      <c r="H6" s="6">
        <f>STDEV(F6:F18)/SQRT(COUNT(F6:F18))</f>
        <v>0.48985557183962636</v>
      </c>
    </row>
    <row r="7" spans="1:8" x14ac:dyDescent="0.3">
      <c r="A7" s="19"/>
      <c r="B7" s="1">
        <v>45359</v>
      </c>
      <c r="C7">
        <v>19.43</v>
      </c>
      <c r="D7" s="6"/>
      <c r="F7">
        <v>105.2</v>
      </c>
    </row>
    <row r="8" spans="1:8" x14ac:dyDescent="0.3">
      <c r="B8" s="1">
        <v>45359</v>
      </c>
      <c r="C8">
        <v>11.32</v>
      </c>
      <c r="D8" s="6"/>
      <c r="E8" s="8">
        <f>E6/D6</f>
        <v>0.11225443953241485</v>
      </c>
      <c r="F8">
        <v>101.6</v>
      </c>
      <c r="G8" s="6"/>
    </row>
    <row r="9" spans="1:8" x14ac:dyDescent="0.3">
      <c r="A9" s="19"/>
      <c r="B9" s="1">
        <v>45359</v>
      </c>
      <c r="C9">
        <v>9.5619999999999994</v>
      </c>
      <c r="D9" s="6"/>
      <c r="F9">
        <v>100</v>
      </c>
      <c r="G9" s="6"/>
    </row>
    <row r="10" spans="1:8" x14ac:dyDescent="0.3">
      <c r="A10" s="19"/>
      <c r="B10" s="1">
        <v>45366</v>
      </c>
      <c r="C10">
        <v>10.7</v>
      </c>
      <c r="D10" s="6"/>
      <c r="F10">
        <v>99.49</v>
      </c>
      <c r="G10" s="6"/>
      <c r="H10" s="6" t="s">
        <v>107</v>
      </c>
    </row>
    <row r="11" spans="1:8" x14ac:dyDescent="0.3">
      <c r="A11" s="19"/>
      <c r="B11" s="1">
        <v>45366</v>
      </c>
      <c r="C11">
        <v>7.2320000000000002</v>
      </c>
      <c r="D11" s="6"/>
      <c r="F11">
        <v>100.2</v>
      </c>
      <c r="G11" s="6"/>
    </row>
    <row r="12" spans="1:8" x14ac:dyDescent="0.3">
      <c r="A12" s="19"/>
      <c r="B12" s="1">
        <v>45366</v>
      </c>
      <c r="C12">
        <v>9.6370000000000005</v>
      </c>
      <c r="D12" s="6"/>
      <c r="F12">
        <v>101.5</v>
      </c>
      <c r="G12" s="6"/>
    </row>
    <row r="13" spans="1:8" x14ac:dyDescent="0.3">
      <c r="A13" s="19"/>
      <c r="B13" s="1">
        <v>45366</v>
      </c>
      <c r="C13">
        <v>8.173</v>
      </c>
      <c r="F13">
        <v>99.36</v>
      </c>
    </row>
    <row r="14" spans="1:8" x14ac:dyDescent="0.3">
      <c r="A14" s="19"/>
      <c r="B14" s="1">
        <v>45366</v>
      </c>
      <c r="C14">
        <v>16.25</v>
      </c>
      <c r="D14" s="6"/>
      <c r="F14">
        <v>101.8</v>
      </c>
      <c r="G14" s="6"/>
    </row>
    <row r="15" spans="1:8" x14ac:dyDescent="0.3">
      <c r="A15" s="19"/>
      <c r="B15" s="1">
        <v>45373</v>
      </c>
      <c r="C15">
        <v>7.4859999999999998</v>
      </c>
      <c r="D15" s="6"/>
      <c r="F15">
        <v>97.81</v>
      </c>
      <c r="G15" s="6"/>
    </row>
    <row r="16" spans="1:8" x14ac:dyDescent="0.3">
      <c r="A16" s="19"/>
      <c r="B16" s="1">
        <v>45373</v>
      </c>
      <c r="C16">
        <v>5.2670000000000003</v>
      </c>
      <c r="D16" s="6"/>
      <c r="F16">
        <v>100.5</v>
      </c>
      <c r="G16" s="6"/>
    </row>
    <row r="17" spans="1:8" x14ac:dyDescent="0.3">
      <c r="A17" s="19"/>
      <c r="B17" s="1">
        <v>45373</v>
      </c>
      <c r="C17">
        <v>7.2380000000000004</v>
      </c>
      <c r="D17" s="6"/>
      <c r="F17">
        <v>101.1</v>
      </c>
      <c r="G17" s="6"/>
    </row>
    <row r="18" spans="1:8" x14ac:dyDescent="0.3">
      <c r="A18" s="19" t="s">
        <v>101</v>
      </c>
      <c r="B18" s="1">
        <v>45373</v>
      </c>
      <c r="C18">
        <v>7.9470000000000001</v>
      </c>
      <c r="D18" s="6"/>
      <c r="F18">
        <v>100.2</v>
      </c>
      <c r="G18" s="6"/>
    </row>
    <row r="19" spans="1:8" x14ac:dyDescent="0.3">
      <c r="A19" s="19" t="s">
        <v>46</v>
      </c>
      <c r="B19" s="1"/>
      <c r="D19" s="6"/>
      <c r="G19" s="6"/>
    </row>
    <row r="20" spans="1:8" x14ac:dyDescent="0.3">
      <c r="A20" s="19"/>
      <c r="B20" s="1"/>
    </row>
    <row r="21" spans="1:8" x14ac:dyDescent="0.3">
      <c r="A21" s="18" t="s">
        <v>12</v>
      </c>
      <c r="B21" s="4" t="s">
        <v>8</v>
      </c>
      <c r="C21" s="4" t="s">
        <v>0</v>
      </c>
      <c r="D21" s="4" t="s">
        <v>1</v>
      </c>
      <c r="E21" s="4" t="s">
        <v>2</v>
      </c>
      <c r="F21" s="4" t="s">
        <v>3</v>
      </c>
      <c r="G21" s="4" t="s">
        <v>1</v>
      </c>
      <c r="H21" s="16" t="s">
        <v>2</v>
      </c>
    </row>
    <row r="22" spans="1:8" x14ac:dyDescent="0.3">
      <c r="A22" s="19" t="s">
        <v>14</v>
      </c>
      <c r="B22" s="1">
        <v>45359</v>
      </c>
      <c r="C22">
        <v>20.18</v>
      </c>
      <c r="D22" s="6">
        <f>AVERAGE(C22:C30)</f>
        <v>16.404999999999998</v>
      </c>
      <c r="E22" s="6">
        <f>STDEV(C22:C30)/SQRT(COUNT(C22:C30))</f>
        <v>1.76186690757277</v>
      </c>
      <c r="F22">
        <v>90.12</v>
      </c>
      <c r="G22" s="6">
        <f>AVERAGE(F22:F29)</f>
        <v>97.677499999999995</v>
      </c>
      <c r="H22" s="6">
        <f>STDEV(F22:F29)/SQRT(COUNT(F22:F29))</f>
        <v>2.7398369020801217</v>
      </c>
    </row>
    <row r="23" spans="1:8" x14ac:dyDescent="0.3">
      <c r="A23" s="19"/>
      <c r="B23" s="1">
        <v>45359</v>
      </c>
      <c r="C23">
        <v>18.010000000000002</v>
      </c>
      <c r="F23">
        <v>99.14</v>
      </c>
    </row>
    <row r="24" spans="1:8" x14ac:dyDescent="0.3">
      <c r="A24" s="19"/>
      <c r="B24" s="1">
        <v>45366</v>
      </c>
      <c r="C24">
        <v>15.44</v>
      </c>
      <c r="E24" s="8">
        <f>E22/D22</f>
        <v>0.1073981656551521</v>
      </c>
      <c r="F24">
        <v>98.25</v>
      </c>
    </row>
    <row r="25" spans="1:8" x14ac:dyDescent="0.3">
      <c r="A25" s="19"/>
      <c r="B25" s="1">
        <v>45366</v>
      </c>
      <c r="C25">
        <v>11.99</v>
      </c>
      <c r="F25">
        <v>103.2</v>
      </c>
    </row>
    <row r="26" spans="1:8" x14ac:dyDescent="0.3">
      <c r="A26" s="19" t="s">
        <v>102</v>
      </c>
      <c r="B26" s="1"/>
    </row>
    <row r="27" spans="1:8" x14ac:dyDescent="0.3">
      <c r="A27" s="19" t="s">
        <v>46</v>
      </c>
      <c r="B27" s="1"/>
    </row>
    <row r="28" spans="1:8" x14ac:dyDescent="0.3">
      <c r="A28" s="19"/>
      <c r="B28" s="1"/>
    </row>
    <row r="29" spans="1:8" x14ac:dyDescent="0.3">
      <c r="A29" s="19"/>
      <c r="B29" s="1"/>
    </row>
    <row r="30" spans="1:8" x14ac:dyDescent="0.3">
      <c r="A30" s="19"/>
      <c r="B30" s="1"/>
      <c r="C30" s="2"/>
    </row>
    <row r="31" spans="1:8" x14ac:dyDescent="0.3">
      <c r="A31" s="18" t="s">
        <v>12</v>
      </c>
      <c r="B31" s="4" t="s">
        <v>8</v>
      </c>
      <c r="C31" s="4" t="s">
        <v>0</v>
      </c>
      <c r="D31" s="4" t="s">
        <v>1</v>
      </c>
      <c r="E31" s="4" t="s">
        <v>2</v>
      </c>
      <c r="F31" s="4" t="s">
        <v>3</v>
      </c>
      <c r="G31" s="4" t="s">
        <v>1</v>
      </c>
      <c r="H31" s="16" t="s">
        <v>2</v>
      </c>
    </row>
    <row r="32" spans="1:8" x14ac:dyDescent="0.3">
      <c r="A32" s="19" t="s">
        <v>26</v>
      </c>
      <c r="B32" s="1">
        <v>45359</v>
      </c>
      <c r="C32">
        <v>2.2679999999999998</v>
      </c>
      <c r="D32" s="10">
        <f>AVERAGE(C32:C40)</f>
        <v>2.1533333333333333</v>
      </c>
      <c r="E32" s="10">
        <f>STDEV(C32:C40)/SQRT(COUNT(C32:C40))</f>
        <v>0.36651072441486771</v>
      </c>
      <c r="F32">
        <v>34.049999999999997</v>
      </c>
      <c r="G32" s="6">
        <f>AVERAGE(F32:F40)</f>
        <v>38.053333333333335</v>
      </c>
      <c r="H32" s="6">
        <f>STDEV(F32:F40)/SQRT(COUNT(F32:F40))</f>
        <v>3.2455422419750581</v>
      </c>
    </row>
    <row r="33" spans="1:9" x14ac:dyDescent="0.3">
      <c r="A33" s="19"/>
      <c r="B33" s="1">
        <v>45366</v>
      </c>
      <c r="C33">
        <v>2.7229999999999999</v>
      </c>
      <c r="F33">
        <v>44.48</v>
      </c>
    </row>
    <row r="34" spans="1:9" x14ac:dyDescent="0.3">
      <c r="A34" s="13">
        <v>-6</v>
      </c>
      <c r="B34" s="1">
        <v>45366</v>
      </c>
      <c r="C34">
        <v>1.4690000000000001</v>
      </c>
      <c r="E34" s="8">
        <f>E32/D32</f>
        <v>0.17020621876851441</v>
      </c>
      <c r="F34">
        <v>35.630000000000003</v>
      </c>
      <c r="G34" s="6"/>
    </row>
    <row r="35" spans="1:9" x14ac:dyDescent="0.3">
      <c r="A35" s="19"/>
      <c r="B35" s="1"/>
      <c r="E35" s="8"/>
    </row>
    <row r="36" spans="1:9" x14ac:dyDescent="0.3">
      <c r="A36" s="19" t="s">
        <v>103</v>
      </c>
      <c r="B36" s="1"/>
    </row>
    <row r="37" spans="1:9" x14ac:dyDescent="0.3">
      <c r="A37" s="19" t="s">
        <v>46</v>
      </c>
      <c r="B37" s="1"/>
    </row>
    <row r="38" spans="1:9" x14ac:dyDescent="0.3">
      <c r="A38" s="19"/>
      <c r="B38" s="1"/>
    </row>
    <row r="39" spans="1:9" x14ac:dyDescent="0.3">
      <c r="A39" s="19"/>
      <c r="B39" s="1"/>
    </row>
    <row r="40" spans="1:9" x14ac:dyDescent="0.3">
      <c r="A40" s="19"/>
      <c r="B40" s="1"/>
    </row>
    <row r="41" spans="1:9" x14ac:dyDescent="0.3">
      <c r="A41" s="18" t="s">
        <v>12</v>
      </c>
      <c r="B41" s="4" t="s">
        <v>8</v>
      </c>
      <c r="C41" s="4" t="s">
        <v>0</v>
      </c>
      <c r="D41" s="4" t="s">
        <v>1</v>
      </c>
      <c r="E41" s="4" t="s">
        <v>2</v>
      </c>
      <c r="F41" s="4" t="s">
        <v>3</v>
      </c>
      <c r="G41" s="4" t="s">
        <v>1</v>
      </c>
      <c r="H41" s="16" t="s">
        <v>2</v>
      </c>
      <c r="I41" s="9"/>
    </row>
    <row r="42" spans="1:9" x14ac:dyDescent="0.3">
      <c r="A42" s="19" t="s">
        <v>27</v>
      </c>
      <c r="B42" s="1">
        <v>45359</v>
      </c>
      <c r="C42">
        <v>5.9820000000000002</v>
      </c>
      <c r="D42" s="6">
        <f>AVERAGE(C42:C50)</f>
        <v>9.7767499999999998</v>
      </c>
      <c r="E42" s="6">
        <f>STDEV(C42:C50)/SQRT(COUNT(C42:C50))</f>
        <v>1.5246553367346123</v>
      </c>
      <c r="F42">
        <v>38.04</v>
      </c>
      <c r="G42" s="6">
        <f>AVERAGE(F42:F49)</f>
        <v>45.752500000000005</v>
      </c>
      <c r="H42" s="6">
        <f>STDEV(F42:F49)/SQRT(COUNT(F42:F49))</f>
        <v>4.3503053053779883</v>
      </c>
      <c r="I42" s="9"/>
    </row>
    <row r="43" spans="1:9" x14ac:dyDescent="0.3">
      <c r="A43" s="19">
        <v>-5</v>
      </c>
      <c r="B43" s="1">
        <v>45366</v>
      </c>
      <c r="C43">
        <v>13.35</v>
      </c>
      <c r="F43">
        <v>43.74</v>
      </c>
      <c r="I43" s="9"/>
    </row>
    <row r="44" spans="1:9" x14ac:dyDescent="0.3">
      <c r="A44" s="19">
        <v>-6</v>
      </c>
      <c r="B44" s="1">
        <v>45373</v>
      </c>
      <c r="C44">
        <v>10.48</v>
      </c>
      <c r="E44" s="8">
        <f>E42/D42</f>
        <v>0.15594705160044109</v>
      </c>
      <c r="F44">
        <v>58.24</v>
      </c>
      <c r="I44" s="9"/>
    </row>
    <row r="45" spans="1:9" x14ac:dyDescent="0.3">
      <c r="A45" s="19">
        <v>-5</v>
      </c>
      <c r="B45" s="1">
        <v>45373</v>
      </c>
      <c r="C45">
        <v>9.2949999999999999</v>
      </c>
      <c r="F45">
        <v>42.99</v>
      </c>
    </row>
    <row r="46" spans="1:9" x14ac:dyDescent="0.3">
      <c r="A46" s="19" t="s">
        <v>102</v>
      </c>
      <c r="B46" s="1"/>
      <c r="I46" s="9"/>
    </row>
    <row r="47" spans="1:9" x14ac:dyDescent="0.3">
      <c r="A47" s="19" t="s">
        <v>46</v>
      </c>
      <c r="B47" s="1"/>
      <c r="I47" s="9"/>
    </row>
    <row r="48" spans="1:9" x14ac:dyDescent="0.3">
      <c r="A48" s="19"/>
      <c r="B48" s="1"/>
      <c r="I48" s="9"/>
    </row>
    <row r="49" spans="1:9" x14ac:dyDescent="0.3">
      <c r="A49" s="19"/>
      <c r="B49" s="1"/>
      <c r="I49" s="9"/>
    </row>
    <row r="50" spans="1:9" x14ac:dyDescent="0.3">
      <c r="A50" s="19"/>
      <c r="B50" s="1"/>
      <c r="C50" s="2"/>
      <c r="I50" s="9"/>
    </row>
    <row r="51" spans="1:9" x14ac:dyDescent="0.3">
      <c r="A51" s="18" t="s">
        <v>12</v>
      </c>
      <c r="B51" s="4" t="s">
        <v>8</v>
      </c>
      <c r="C51" s="4" t="s">
        <v>0</v>
      </c>
      <c r="D51" s="4" t="s">
        <v>1</v>
      </c>
      <c r="E51" s="4" t="s">
        <v>2</v>
      </c>
      <c r="F51" s="4" t="s">
        <v>3</v>
      </c>
      <c r="G51" s="4" t="s">
        <v>1</v>
      </c>
      <c r="H51" s="16" t="s">
        <v>2</v>
      </c>
      <c r="I51" s="9"/>
    </row>
    <row r="52" spans="1:9" x14ac:dyDescent="0.3">
      <c r="A52" s="19" t="s">
        <v>28</v>
      </c>
      <c r="B52" s="1">
        <v>45359</v>
      </c>
      <c r="C52">
        <v>4.1440000000000001</v>
      </c>
      <c r="D52" s="6">
        <f>AVERAGE(C52:C58)</f>
        <v>11.286</v>
      </c>
      <c r="E52" s="6">
        <f>STDEV(C52:C58)/SQRT(COUNT(C52:C58))</f>
        <v>2.7880123146547744</v>
      </c>
      <c r="F52">
        <v>30.4</v>
      </c>
      <c r="G52" s="6">
        <f>AVERAGE(F52:F58)</f>
        <v>40.107500000000002</v>
      </c>
      <c r="H52" s="6">
        <f>STDEV(F52:F58)/SQRT(COUNT(F52:F58))</f>
        <v>3.8021515290687615</v>
      </c>
      <c r="I52" s="9"/>
    </row>
    <row r="53" spans="1:9" x14ac:dyDescent="0.3">
      <c r="A53" s="19">
        <v>-5</v>
      </c>
      <c r="B53" s="1">
        <v>45366</v>
      </c>
      <c r="C53">
        <v>10.79</v>
      </c>
      <c r="F53">
        <v>47.86</v>
      </c>
      <c r="I53" s="9"/>
    </row>
    <row r="54" spans="1:9" x14ac:dyDescent="0.3">
      <c r="A54" s="19">
        <v>-5</v>
      </c>
      <c r="B54" s="1">
        <v>45373</v>
      </c>
      <c r="C54">
        <v>12.57</v>
      </c>
      <c r="E54" s="8">
        <f>E52/D52</f>
        <v>0.24703281186024939</v>
      </c>
      <c r="F54">
        <v>44.02</v>
      </c>
      <c r="G54" s="6"/>
    </row>
    <row r="55" spans="1:9" x14ac:dyDescent="0.3">
      <c r="A55" s="19">
        <v>-6</v>
      </c>
      <c r="B55" s="1">
        <v>45373</v>
      </c>
      <c r="C55">
        <v>17.64</v>
      </c>
      <c r="E55" s="8"/>
      <c r="F55">
        <v>38.15</v>
      </c>
    </row>
    <row r="56" spans="1:9" x14ac:dyDescent="0.3">
      <c r="A56" s="19" t="s">
        <v>102</v>
      </c>
      <c r="B56" s="1"/>
    </row>
    <row r="57" spans="1:9" x14ac:dyDescent="0.3">
      <c r="A57" s="19" t="s">
        <v>46</v>
      </c>
      <c r="B57" s="1"/>
    </row>
    <row r="58" spans="1:9" x14ac:dyDescent="0.3">
      <c r="A58" s="19"/>
      <c r="B58" s="1"/>
    </row>
    <row r="59" spans="1:9" x14ac:dyDescent="0.3">
      <c r="A59" s="19"/>
      <c r="B59" s="1"/>
    </row>
    <row r="60" spans="1:9" x14ac:dyDescent="0.3">
      <c r="A60" s="19"/>
      <c r="B60" s="1"/>
    </row>
    <row r="61" spans="1:9" x14ac:dyDescent="0.3">
      <c r="A61" s="18" t="s">
        <v>12</v>
      </c>
      <c r="B61" s="4" t="s">
        <v>8</v>
      </c>
      <c r="C61" s="4" t="s">
        <v>0</v>
      </c>
      <c r="D61" s="4" t="s">
        <v>1</v>
      </c>
      <c r="E61" s="4" t="s">
        <v>2</v>
      </c>
      <c r="F61" s="4" t="s">
        <v>3</v>
      </c>
      <c r="G61" s="4" t="s">
        <v>1</v>
      </c>
      <c r="H61" s="16" t="s">
        <v>2</v>
      </c>
      <c r="I61" s="9"/>
    </row>
    <row r="62" spans="1:9" x14ac:dyDescent="0.3">
      <c r="A62" s="19" t="s">
        <v>29</v>
      </c>
      <c r="B62" s="1">
        <v>45359</v>
      </c>
      <c r="C62" t="s">
        <v>24</v>
      </c>
      <c r="D62" s="6" t="e">
        <f>AVERAGE(C62:C70)</f>
        <v>#DIV/0!</v>
      </c>
      <c r="E62" s="6" t="e">
        <f>STDEV(C62:C70)/SQRT(COUNT(C62:C70))</f>
        <v>#DIV/0!</v>
      </c>
      <c r="F62">
        <v>1.399</v>
      </c>
      <c r="G62" s="6">
        <f>AVERAGE(F62:F69)</f>
        <v>1.853</v>
      </c>
      <c r="H62" s="6">
        <f>STDEV(F62:F69)/SQRT(COUNT(F62:F69))</f>
        <v>0.45399999999999924</v>
      </c>
      <c r="I62" s="9"/>
    </row>
    <row r="63" spans="1:9" x14ac:dyDescent="0.3">
      <c r="A63" s="19"/>
      <c r="B63" s="1">
        <v>45366</v>
      </c>
      <c r="C63" t="s">
        <v>24</v>
      </c>
      <c r="F63">
        <v>2.3069999999999999</v>
      </c>
      <c r="I63" s="9"/>
    </row>
    <row r="64" spans="1:9" x14ac:dyDescent="0.3">
      <c r="A64" s="19"/>
      <c r="B64" s="1"/>
      <c r="E64" s="8" t="e">
        <f>E62/D62</f>
        <v>#DIV/0!</v>
      </c>
      <c r="I64" s="9"/>
    </row>
    <row r="65" spans="1:9" x14ac:dyDescent="0.3">
      <c r="A65" s="19" t="s">
        <v>108</v>
      </c>
      <c r="B65" s="1"/>
    </row>
    <row r="66" spans="1:9" x14ac:dyDescent="0.3">
      <c r="A66" s="19" t="s">
        <v>46</v>
      </c>
      <c r="B66" s="1"/>
      <c r="I66" s="9"/>
    </row>
    <row r="67" spans="1:9" x14ac:dyDescent="0.3">
      <c r="A67" s="19"/>
      <c r="B67" s="1"/>
      <c r="I67" s="9"/>
    </row>
    <row r="68" spans="1:9" x14ac:dyDescent="0.3">
      <c r="A68" s="19"/>
      <c r="B68" s="1"/>
      <c r="I68" s="9"/>
    </row>
    <row r="69" spans="1:9" x14ac:dyDescent="0.3">
      <c r="A69" s="19"/>
      <c r="B69" s="1"/>
      <c r="I69" s="9"/>
    </row>
    <row r="70" spans="1:9" x14ac:dyDescent="0.3">
      <c r="A70" s="19"/>
      <c r="B70" s="1"/>
      <c r="C70" s="2"/>
      <c r="I70" s="9"/>
    </row>
    <row r="71" spans="1:9" x14ac:dyDescent="0.3">
      <c r="A71" s="18" t="s">
        <v>12</v>
      </c>
      <c r="B71" s="4" t="s">
        <v>8</v>
      </c>
      <c r="C71" s="4" t="s">
        <v>0</v>
      </c>
      <c r="D71" s="4" t="s">
        <v>1</v>
      </c>
      <c r="E71" s="4" t="s">
        <v>2</v>
      </c>
      <c r="F71" s="4" t="s">
        <v>3</v>
      </c>
      <c r="G71" s="4" t="s">
        <v>1</v>
      </c>
      <c r="H71" s="16" t="s">
        <v>2</v>
      </c>
      <c r="I71" s="9"/>
    </row>
    <row r="72" spans="1:9" x14ac:dyDescent="0.3">
      <c r="A72" s="19" t="s">
        <v>30</v>
      </c>
      <c r="B72" s="1">
        <v>45359</v>
      </c>
      <c r="C72" s="23" t="s">
        <v>24</v>
      </c>
      <c r="D72" s="6" t="e">
        <f>AVERAGE(C72:C80)</f>
        <v>#DIV/0!</v>
      </c>
      <c r="E72" s="6" t="e">
        <f>STDEV(C72:C80)/SQRT(COUNT(C72:C80))</f>
        <v>#DIV/0!</v>
      </c>
      <c r="F72">
        <v>3.72</v>
      </c>
      <c r="G72" s="6">
        <f>AVERAGE(F72:F79)</f>
        <v>3.7675000000000001</v>
      </c>
      <c r="H72" s="6">
        <f>STDEV(F72:F79)/SQRT(COUNT(F72:F79))</f>
        <v>4.7499999999999876E-2</v>
      </c>
      <c r="I72" s="9"/>
    </row>
    <row r="73" spans="1:9" x14ac:dyDescent="0.3">
      <c r="A73" s="19"/>
      <c r="B73" s="1">
        <v>45366</v>
      </c>
      <c r="C73" t="s">
        <v>24</v>
      </c>
      <c r="F73">
        <v>3.8149999999999999</v>
      </c>
      <c r="I73" s="9"/>
    </row>
    <row r="74" spans="1:9" x14ac:dyDescent="0.3">
      <c r="A74" s="19"/>
      <c r="B74" s="1"/>
      <c r="E74" s="8" t="e">
        <f>E72/D72</f>
        <v>#DIV/0!</v>
      </c>
      <c r="I74" s="9"/>
    </row>
    <row r="75" spans="1:9" x14ac:dyDescent="0.3">
      <c r="A75" s="19" t="s">
        <v>108</v>
      </c>
      <c r="B75" s="1"/>
    </row>
    <row r="76" spans="1:9" x14ac:dyDescent="0.3">
      <c r="A76" s="19" t="s">
        <v>46</v>
      </c>
      <c r="B76" s="1"/>
      <c r="I76" s="9"/>
    </row>
    <row r="77" spans="1:9" x14ac:dyDescent="0.3">
      <c r="A77" s="19"/>
      <c r="B77" s="1"/>
      <c r="I77" s="9"/>
    </row>
    <row r="78" spans="1:9" x14ac:dyDescent="0.3">
      <c r="A78" s="19"/>
      <c r="B78" s="1"/>
      <c r="I78" s="9"/>
    </row>
    <row r="79" spans="1:9" x14ac:dyDescent="0.3">
      <c r="A79" s="19"/>
      <c r="B79" s="1"/>
      <c r="I79" s="9"/>
    </row>
    <row r="80" spans="1:9" x14ac:dyDescent="0.3">
      <c r="A80" s="19"/>
      <c r="B80" s="1"/>
      <c r="C80" s="2"/>
      <c r="I80" s="9"/>
    </row>
    <row r="81" spans="1:9" x14ac:dyDescent="0.3">
      <c r="A81" s="18" t="s">
        <v>12</v>
      </c>
      <c r="B81" s="4" t="s">
        <v>8</v>
      </c>
      <c r="C81" s="4" t="s">
        <v>0</v>
      </c>
      <c r="D81" s="4" t="s">
        <v>1</v>
      </c>
      <c r="E81" s="4" t="s">
        <v>2</v>
      </c>
      <c r="F81" s="4" t="s">
        <v>3</v>
      </c>
      <c r="G81" s="4" t="s">
        <v>1</v>
      </c>
      <c r="H81" s="16" t="s">
        <v>2</v>
      </c>
      <c r="I81" s="9"/>
    </row>
    <row r="82" spans="1:9" x14ac:dyDescent="0.3">
      <c r="A82" s="19" t="s">
        <v>31</v>
      </c>
      <c r="B82" s="1">
        <v>45359</v>
      </c>
      <c r="C82">
        <v>10.69</v>
      </c>
      <c r="D82" s="6">
        <f>AVERAGE(C82:C86)</f>
        <v>14.330000000000002</v>
      </c>
      <c r="E82" s="6">
        <f>STDEV(C82:C86)/SQRT(COUNT(C82:C86))</f>
        <v>1.8405298150260934</v>
      </c>
      <c r="F82">
        <v>31.55</v>
      </c>
      <c r="G82" s="6">
        <f>AVERAGE(F82:F86)</f>
        <v>41.012500000000003</v>
      </c>
      <c r="H82" s="6">
        <f>STDEV(F82:F86)/SQRT(COUNT(F82:F86))</f>
        <v>3.4080795545291966</v>
      </c>
      <c r="I82" s="9"/>
    </row>
    <row r="83" spans="1:9" x14ac:dyDescent="0.3">
      <c r="A83" s="19">
        <v>-5</v>
      </c>
      <c r="B83" s="1">
        <v>45366</v>
      </c>
      <c r="C83">
        <v>12.16</v>
      </c>
      <c r="F83">
        <v>42.55</v>
      </c>
      <c r="I83" s="9"/>
    </row>
    <row r="84" spans="1:9" x14ac:dyDescent="0.3">
      <c r="A84" s="19">
        <v>-5</v>
      </c>
      <c r="B84" s="1">
        <v>45373</v>
      </c>
      <c r="C84">
        <v>18.940000000000001</v>
      </c>
      <c r="E84" s="8">
        <f>E82/D82</f>
        <v>0.12843892638004836</v>
      </c>
      <c r="F84">
        <v>42.14</v>
      </c>
      <c r="I84" s="9"/>
    </row>
    <row r="85" spans="1:9" x14ac:dyDescent="0.3">
      <c r="A85" s="19">
        <v>-5</v>
      </c>
      <c r="B85" s="1">
        <v>45373</v>
      </c>
      <c r="C85">
        <v>15.53</v>
      </c>
      <c r="F85">
        <v>47.81</v>
      </c>
    </row>
    <row r="86" spans="1:9" x14ac:dyDescent="0.3">
      <c r="A86" s="19" t="s">
        <v>102</v>
      </c>
      <c r="B86" s="1"/>
      <c r="I86" s="9"/>
    </row>
    <row r="87" spans="1:9" x14ac:dyDescent="0.3">
      <c r="A87" s="19" t="s">
        <v>46</v>
      </c>
      <c r="B87" s="1"/>
      <c r="I87" s="9"/>
    </row>
    <row r="88" spans="1:9" x14ac:dyDescent="0.3">
      <c r="A88" s="19"/>
      <c r="B88" s="1"/>
      <c r="I88" s="9"/>
    </row>
    <row r="89" spans="1:9" x14ac:dyDescent="0.3">
      <c r="A89" s="19"/>
      <c r="B89" s="1"/>
      <c r="I89" s="9"/>
    </row>
    <row r="90" spans="1:9" x14ac:dyDescent="0.3">
      <c r="A90" s="18" t="s">
        <v>12</v>
      </c>
      <c r="B90" s="4" t="s">
        <v>8</v>
      </c>
      <c r="C90" s="4" t="s">
        <v>0</v>
      </c>
      <c r="D90" s="4" t="s">
        <v>1</v>
      </c>
      <c r="E90" s="4" t="s">
        <v>2</v>
      </c>
      <c r="F90" s="4" t="s">
        <v>3</v>
      </c>
      <c r="G90" s="4" t="s">
        <v>1</v>
      </c>
      <c r="H90" s="16" t="s">
        <v>2</v>
      </c>
      <c r="I90" s="9"/>
    </row>
    <row r="91" spans="1:9" x14ac:dyDescent="0.3">
      <c r="A91" s="19" t="s">
        <v>32</v>
      </c>
      <c r="B91" s="1">
        <v>45359</v>
      </c>
      <c r="C91">
        <v>2.548</v>
      </c>
      <c r="D91" s="6">
        <f>AVERAGE(C91:C96)</f>
        <v>2.9323333333333337</v>
      </c>
      <c r="E91" s="6">
        <f>STDEV(C91:C96)/SQRT(COUNT(C91:C96))</f>
        <v>0.57001588671817782</v>
      </c>
      <c r="F91">
        <v>31.55</v>
      </c>
      <c r="G91" s="6">
        <f>AVERAGE(F91:F96)</f>
        <v>38.5</v>
      </c>
      <c r="H91" s="6">
        <f>STDEV(F91:F96)/SQRT(COUNT(F91:F96))</f>
        <v>4.0212726012213063</v>
      </c>
    </row>
    <row r="92" spans="1:9" x14ac:dyDescent="0.3">
      <c r="A92" s="19"/>
      <c r="B92" s="1">
        <v>45366</v>
      </c>
      <c r="C92">
        <v>4.0540000000000003</v>
      </c>
      <c r="F92">
        <v>38.47</v>
      </c>
    </row>
    <row r="93" spans="1:9" x14ac:dyDescent="0.3">
      <c r="A93" s="19">
        <v>-6</v>
      </c>
      <c r="B93" s="1">
        <v>45366</v>
      </c>
      <c r="C93">
        <v>2.1949999999999998</v>
      </c>
      <c r="E93" s="8">
        <f>E91/D91</f>
        <v>0.19438986701768027</v>
      </c>
      <c r="F93">
        <v>45.48</v>
      </c>
    </row>
    <row r="94" spans="1:9" x14ac:dyDescent="0.3">
      <c r="A94" s="19"/>
      <c r="B94" s="1"/>
    </row>
    <row r="95" spans="1:9" x14ac:dyDescent="0.3">
      <c r="A95" s="19" t="s">
        <v>103</v>
      </c>
      <c r="B95" s="1"/>
    </row>
    <row r="96" spans="1:9" x14ac:dyDescent="0.3">
      <c r="A96" s="19" t="s">
        <v>46</v>
      </c>
      <c r="B96" s="1"/>
    </row>
    <row r="99" spans="1:8" x14ac:dyDescent="0.3">
      <c r="A99" s="18" t="s">
        <v>12</v>
      </c>
      <c r="B99" s="4" t="s">
        <v>8</v>
      </c>
      <c r="C99" s="4" t="s">
        <v>0</v>
      </c>
      <c r="D99" s="4" t="s">
        <v>1</v>
      </c>
      <c r="E99" s="4" t="s">
        <v>2</v>
      </c>
      <c r="F99" s="4" t="s">
        <v>3</v>
      </c>
      <c r="G99" s="4" t="s">
        <v>1</v>
      </c>
      <c r="H99" s="16" t="s">
        <v>2</v>
      </c>
    </row>
    <row r="100" spans="1:8" x14ac:dyDescent="0.3">
      <c r="A100" s="19" t="s">
        <v>33</v>
      </c>
      <c r="B100" s="1">
        <v>45359</v>
      </c>
      <c r="C100">
        <v>4.9320000000000004</v>
      </c>
      <c r="D100" s="6">
        <f>AVERAGE(C100:C105)</f>
        <v>6.512666666666667</v>
      </c>
      <c r="E100" s="6">
        <f>STDEV(C100:C105)/SQRT(COUNT(C100:C105))</f>
        <v>0.84523001471657044</v>
      </c>
      <c r="F100">
        <v>43.12</v>
      </c>
      <c r="G100" s="6">
        <f>AVERAGE(F100:F105)</f>
        <v>50.699999999999996</v>
      </c>
      <c r="H100" s="6">
        <f>STDEV(F100:F105)/SQRT(COUNT(F100:F105))</f>
        <v>5.0612383201478606</v>
      </c>
    </row>
    <row r="101" spans="1:8" x14ac:dyDescent="0.3">
      <c r="A101" s="19">
        <v>-5</v>
      </c>
      <c r="B101" s="1">
        <v>45366</v>
      </c>
      <c r="C101" s="21" t="s">
        <v>57</v>
      </c>
      <c r="F101" s="21" t="s">
        <v>58</v>
      </c>
    </row>
    <row r="102" spans="1:8" x14ac:dyDescent="0.3">
      <c r="A102" s="19">
        <v>-6</v>
      </c>
      <c r="B102" s="1">
        <v>45373</v>
      </c>
      <c r="C102">
        <v>7.8220000000000001</v>
      </c>
      <c r="E102" s="8">
        <f>E100/D100</f>
        <v>0.12978247743626323</v>
      </c>
      <c r="F102">
        <v>48.68</v>
      </c>
    </row>
    <row r="103" spans="1:8" x14ac:dyDescent="0.3">
      <c r="A103" s="19">
        <v>-5</v>
      </c>
      <c r="B103" s="1">
        <v>45373</v>
      </c>
      <c r="C103">
        <v>6.7839999999999998</v>
      </c>
      <c r="F103">
        <v>60.3</v>
      </c>
    </row>
    <row r="104" spans="1:8" x14ac:dyDescent="0.3">
      <c r="A104" s="19" t="s">
        <v>103</v>
      </c>
      <c r="B104" s="1"/>
    </row>
    <row r="105" spans="1:8" x14ac:dyDescent="0.3">
      <c r="A105" s="19" t="s">
        <v>46</v>
      </c>
      <c r="B105" s="1"/>
    </row>
    <row r="108" spans="1:8" x14ac:dyDescent="0.3">
      <c r="A108" s="18" t="s">
        <v>12</v>
      </c>
      <c r="B108" s="4" t="s">
        <v>8</v>
      </c>
      <c r="C108" s="4" t="s">
        <v>0</v>
      </c>
      <c r="D108" s="4" t="s">
        <v>1</v>
      </c>
      <c r="E108" s="4" t="s">
        <v>2</v>
      </c>
      <c r="F108" s="4" t="s">
        <v>3</v>
      </c>
      <c r="G108" s="4" t="s">
        <v>1</v>
      </c>
      <c r="H108" s="16" t="s">
        <v>2</v>
      </c>
    </row>
    <row r="109" spans="1:8" x14ac:dyDescent="0.3">
      <c r="A109" s="19" t="s">
        <v>34</v>
      </c>
      <c r="B109" s="1">
        <v>45359</v>
      </c>
      <c r="C109">
        <v>2.1110000000000002</v>
      </c>
      <c r="D109" s="6">
        <f>AVERAGE(C109:C114)</f>
        <v>5.0336000000000007</v>
      </c>
      <c r="E109" s="6">
        <f>STDEV(C109:C114)/SQRT(COUNT(C109:C114))</f>
        <v>1.2352131637899588</v>
      </c>
      <c r="F109">
        <v>28.3</v>
      </c>
      <c r="G109" s="6">
        <f>AVERAGE(F109:F114)</f>
        <v>41.465999999999994</v>
      </c>
      <c r="H109" s="6">
        <f>STDEV(F109:F114)/SQRT(COUNT(F109:F114))</f>
        <v>4.7398824879948318</v>
      </c>
    </row>
    <row r="110" spans="1:8" x14ac:dyDescent="0.3">
      <c r="A110" s="19">
        <v>-6</v>
      </c>
      <c r="B110" s="1">
        <v>45366</v>
      </c>
      <c r="C110">
        <v>7.98</v>
      </c>
      <c r="F110">
        <v>36.65</v>
      </c>
    </row>
    <row r="111" spans="1:8" x14ac:dyDescent="0.3">
      <c r="A111" s="19">
        <v>-5</v>
      </c>
      <c r="B111" s="1">
        <v>45366</v>
      </c>
      <c r="C111">
        <v>2.6030000000000002</v>
      </c>
      <c r="E111" s="8">
        <f>E109/D109</f>
        <v>0.24539358784765547</v>
      </c>
      <c r="F111">
        <v>43.61</v>
      </c>
    </row>
    <row r="112" spans="1:8" x14ac:dyDescent="0.3">
      <c r="A112" s="19">
        <v>-6</v>
      </c>
      <c r="B112" s="1">
        <v>45373</v>
      </c>
      <c r="C112">
        <v>7.7350000000000003</v>
      </c>
      <c r="F112">
        <v>57.22</v>
      </c>
    </row>
    <row r="113" spans="1:8" x14ac:dyDescent="0.3">
      <c r="A113" s="19">
        <v>-5</v>
      </c>
      <c r="B113" s="1">
        <v>45373</v>
      </c>
      <c r="C113">
        <v>4.7389999999999999</v>
      </c>
      <c r="F113">
        <v>41.55</v>
      </c>
    </row>
    <row r="114" spans="1:8" x14ac:dyDescent="0.3">
      <c r="A114" s="19" t="s">
        <v>104</v>
      </c>
      <c r="B114" s="1"/>
    </row>
    <row r="115" spans="1:8" x14ac:dyDescent="0.3">
      <c r="A115" s="19" t="s">
        <v>46</v>
      </c>
    </row>
    <row r="117" spans="1:8" x14ac:dyDescent="0.3">
      <c r="A117" s="18" t="s">
        <v>12</v>
      </c>
      <c r="B117" s="4" t="s">
        <v>8</v>
      </c>
      <c r="C117" s="4" t="s">
        <v>0</v>
      </c>
      <c r="D117" s="4" t="s">
        <v>1</v>
      </c>
      <c r="E117" s="4" t="s">
        <v>2</v>
      </c>
      <c r="F117" s="4" t="s">
        <v>3</v>
      </c>
      <c r="G117" s="4" t="s">
        <v>1</v>
      </c>
      <c r="H117" s="16" t="s">
        <v>2</v>
      </c>
    </row>
    <row r="118" spans="1:8" x14ac:dyDescent="0.3">
      <c r="A118" s="19" t="s">
        <v>35</v>
      </c>
      <c r="B118" s="1">
        <v>45359</v>
      </c>
      <c r="C118">
        <v>2.464</v>
      </c>
      <c r="D118" s="6">
        <f>AVERAGE(C118:C123)</f>
        <v>2.81325</v>
      </c>
      <c r="E118" s="6">
        <f>STDEV(C118:C123)/SQRT(COUNT(C118:C123))</f>
        <v>0.36951575857239621</v>
      </c>
      <c r="F118">
        <v>28.28</v>
      </c>
      <c r="G118" s="6">
        <f>AVERAGE(F118:F123)</f>
        <v>32.107500000000002</v>
      </c>
      <c r="H118" s="6">
        <f>STDEV(F118:F123)/SQRT(COUNT(F118:F123))</f>
        <v>2.7205066164227407</v>
      </c>
    </row>
    <row r="119" spans="1:8" x14ac:dyDescent="0.3">
      <c r="A119" s="19">
        <v>-5</v>
      </c>
      <c r="B119" s="1">
        <v>45366</v>
      </c>
      <c r="C119">
        <v>2.0179999999999998</v>
      </c>
      <c r="F119">
        <v>29.55</v>
      </c>
    </row>
    <row r="120" spans="1:8" x14ac:dyDescent="0.3">
      <c r="A120" s="19">
        <v>-5</v>
      </c>
      <c r="B120" s="1">
        <v>45373</v>
      </c>
      <c r="C120">
        <v>3.7240000000000002</v>
      </c>
      <c r="E120" s="8">
        <f>E118/D118</f>
        <v>0.1313483545978481</v>
      </c>
      <c r="F120">
        <v>40.159999999999997</v>
      </c>
    </row>
    <row r="121" spans="1:8" x14ac:dyDescent="0.3">
      <c r="A121" s="19">
        <v>-6</v>
      </c>
      <c r="B121" s="1">
        <v>45373</v>
      </c>
      <c r="C121">
        <v>3.0470000000000002</v>
      </c>
      <c r="F121">
        <v>30.44</v>
      </c>
    </row>
    <row r="122" spans="1:8" x14ac:dyDescent="0.3">
      <c r="A122" s="29" t="s">
        <v>102</v>
      </c>
      <c r="B122" s="1"/>
    </row>
    <row r="123" spans="1:8" x14ac:dyDescent="0.3">
      <c r="A123" s="19" t="s">
        <v>46</v>
      </c>
      <c r="B123" s="1"/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46"/>
  <sheetViews>
    <sheetView workbookViewId="0">
      <selection activeCell="G140" sqref="G140:H140"/>
    </sheetView>
  </sheetViews>
  <sheetFormatPr defaultColWidth="8.88671875" defaultRowHeight="14.4" x14ac:dyDescent="0.3"/>
  <cols>
    <col min="1" max="1" width="13" customWidth="1"/>
    <col min="2" max="2" width="9.6640625" bestFit="1" customWidth="1"/>
    <col min="3" max="3" width="10" bestFit="1" customWidth="1"/>
    <col min="6" max="6" width="15.109375" bestFit="1" customWidth="1"/>
    <col min="7" max="8" width="9.109375" style="10"/>
  </cols>
  <sheetData>
    <row r="1" spans="1:8" x14ac:dyDescent="0.3">
      <c r="A1" t="s">
        <v>5</v>
      </c>
      <c r="E1" t="s">
        <v>21</v>
      </c>
      <c r="F1" s="13" t="s">
        <v>98</v>
      </c>
      <c r="G1" s="9" t="s">
        <v>116</v>
      </c>
    </row>
    <row r="2" spans="1:8" x14ac:dyDescent="0.3">
      <c r="A2" t="s">
        <v>23</v>
      </c>
    </row>
    <row r="3" spans="1:8" ht="18" x14ac:dyDescent="0.35">
      <c r="A3" s="15" t="s">
        <v>19</v>
      </c>
    </row>
    <row r="5" spans="1:8" x14ac:dyDescent="0.3">
      <c r="A5" s="3" t="s">
        <v>6</v>
      </c>
      <c r="B5" s="4" t="s">
        <v>9</v>
      </c>
      <c r="C5" s="4" t="s">
        <v>4</v>
      </c>
      <c r="D5" s="4" t="s">
        <v>1</v>
      </c>
      <c r="E5" s="4" t="s">
        <v>2</v>
      </c>
      <c r="F5" s="4" t="s">
        <v>7</v>
      </c>
      <c r="G5" s="11" t="s">
        <v>1</v>
      </c>
      <c r="H5" s="12" t="s">
        <v>2</v>
      </c>
    </row>
    <row r="6" spans="1:8" x14ac:dyDescent="0.3">
      <c r="A6" t="s">
        <v>22</v>
      </c>
      <c r="B6" s="1">
        <v>45366</v>
      </c>
      <c r="C6">
        <v>1.9039999999999999</v>
      </c>
      <c r="D6" s="7">
        <f>AVERAGE(C6:C21)</f>
        <v>2.3576428571428569</v>
      </c>
      <c r="E6" s="7">
        <f>STDEV(C6:C21)/SQRT(COUNT(C6:C21))</f>
        <v>0.15782987805914098</v>
      </c>
      <c r="F6" s="6">
        <f>100-2.79</f>
        <v>97.21</v>
      </c>
      <c r="G6" s="10">
        <f>AVERAGE(F6:F21)</f>
        <v>93.567285714285717</v>
      </c>
      <c r="H6" s="10">
        <f>STDEV(F6:F21)/SQRT(COUNT(F6:F21))</f>
        <v>1.4219574282609519</v>
      </c>
    </row>
    <row r="7" spans="1:8" x14ac:dyDescent="0.3">
      <c r="A7" s="13">
        <v>-6</v>
      </c>
      <c r="B7" s="1">
        <v>45366</v>
      </c>
      <c r="C7">
        <v>1.962</v>
      </c>
      <c r="F7" s="6">
        <f>100-9.575</f>
        <v>90.424999999999997</v>
      </c>
    </row>
    <row r="8" spans="1:8" x14ac:dyDescent="0.3">
      <c r="A8" s="13">
        <v>-6</v>
      </c>
      <c r="B8" s="1">
        <v>45373</v>
      </c>
      <c r="C8">
        <v>1.667</v>
      </c>
      <c r="E8" s="8">
        <f>E6/D6</f>
        <v>6.6943929858150508E-2</v>
      </c>
      <c r="F8" s="6">
        <f>100-1.928</f>
        <v>98.072000000000003</v>
      </c>
    </row>
    <row r="9" spans="1:8" x14ac:dyDescent="0.3">
      <c r="A9" s="13">
        <v>-7</v>
      </c>
      <c r="B9" s="1">
        <v>45373</v>
      </c>
      <c r="C9">
        <v>2.2490000000000001</v>
      </c>
      <c r="F9" s="6">
        <f>100-4.944</f>
        <v>95.055999999999997</v>
      </c>
    </row>
    <row r="10" spans="1:8" x14ac:dyDescent="0.3">
      <c r="A10" s="13">
        <v>-6</v>
      </c>
      <c r="B10" s="1">
        <v>45380</v>
      </c>
      <c r="C10">
        <v>2.2669999999999999</v>
      </c>
      <c r="F10" s="6">
        <f>100-0.434</f>
        <v>99.566000000000003</v>
      </c>
    </row>
    <row r="11" spans="1:8" x14ac:dyDescent="0.3">
      <c r="A11" s="13">
        <v>-7</v>
      </c>
      <c r="B11" s="1">
        <v>45380</v>
      </c>
      <c r="C11">
        <v>3.0139999999999998</v>
      </c>
      <c r="F11" s="6">
        <f>100-9.533</f>
        <v>90.466999999999999</v>
      </c>
    </row>
    <row r="12" spans="1:8" x14ac:dyDescent="0.3">
      <c r="A12" s="13">
        <v>-7</v>
      </c>
      <c r="B12" s="1">
        <v>45380</v>
      </c>
      <c r="C12">
        <v>2.052</v>
      </c>
      <c r="F12" s="6">
        <f>100-1.46</f>
        <v>98.54</v>
      </c>
    </row>
    <row r="13" spans="1:8" x14ac:dyDescent="0.3">
      <c r="A13" s="13">
        <v>-7</v>
      </c>
      <c r="B13" s="1">
        <v>45380</v>
      </c>
      <c r="C13">
        <v>3.1469999999999998</v>
      </c>
      <c r="F13" s="6">
        <f>100-14.34</f>
        <v>85.66</v>
      </c>
    </row>
    <row r="14" spans="1:8" x14ac:dyDescent="0.3">
      <c r="A14" s="19">
        <v>-6</v>
      </c>
      <c r="B14" s="1">
        <v>45380</v>
      </c>
      <c r="C14">
        <v>2.9319999999999999</v>
      </c>
      <c r="F14">
        <f>100-9.05</f>
        <v>90.95</v>
      </c>
    </row>
    <row r="15" spans="1:8" x14ac:dyDescent="0.3">
      <c r="A15" s="13">
        <v>-7</v>
      </c>
      <c r="B15" s="1">
        <v>45380</v>
      </c>
      <c r="C15">
        <v>1.617</v>
      </c>
      <c r="F15">
        <f>100-2.039</f>
        <v>97.960999999999999</v>
      </c>
    </row>
    <row r="16" spans="1:8" x14ac:dyDescent="0.3">
      <c r="A16" s="13">
        <v>-7</v>
      </c>
      <c r="B16" s="1">
        <v>45387</v>
      </c>
      <c r="C16">
        <v>3.0030000000000001</v>
      </c>
      <c r="F16">
        <f>100-4.63</f>
        <v>95.37</v>
      </c>
    </row>
    <row r="17" spans="1:8" x14ac:dyDescent="0.3">
      <c r="A17" s="13">
        <v>-7</v>
      </c>
      <c r="B17" s="1">
        <v>45387</v>
      </c>
      <c r="C17">
        <v>3.1589999999999998</v>
      </c>
      <c r="F17">
        <f>100-15.77</f>
        <v>84.23</v>
      </c>
    </row>
    <row r="18" spans="1:8" x14ac:dyDescent="0.3">
      <c r="A18" s="13">
        <v>-7</v>
      </c>
      <c r="B18" s="1">
        <v>45393</v>
      </c>
      <c r="C18">
        <v>1.5940000000000001</v>
      </c>
      <c r="F18">
        <f>100-0.755</f>
        <v>99.245000000000005</v>
      </c>
    </row>
    <row r="19" spans="1:8" x14ac:dyDescent="0.3">
      <c r="A19" s="13">
        <v>-7</v>
      </c>
      <c r="B19" s="1">
        <v>45393</v>
      </c>
      <c r="C19">
        <v>2.44</v>
      </c>
      <c r="F19">
        <f>100-12.81</f>
        <v>87.19</v>
      </c>
    </row>
    <row r="20" spans="1:8" x14ac:dyDescent="0.3">
      <c r="A20" s="13" t="s">
        <v>105</v>
      </c>
      <c r="B20" s="1"/>
    </row>
    <row r="21" spans="1:8" x14ac:dyDescent="0.3">
      <c r="A21" s="9" t="s">
        <v>46</v>
      </c>
      <c r="B21" s="1"/>
    </row>
    <row r="22" spans="1:8" x14ac:dyDescent="0.3">
      <c r="B22" s="1"/>
    </row>
    <row r="23" spans="1:8" x14ac:dyDescent="0.3">
      <c r="A23" s="3" t="s">
        <v>6</v>
      </c>
      <c r="B23" s="4" t="s">
        <v>9</v>
      </c>
      <c r="C23" s="4" t="s">
        <v>4</v>
      </c>
      <c r="D23" s="4" t="s">
        <v>1</v>
      </c>
      <c r="E23" s="4" t="s">
        <v>2</v>
      </c>
      <c r="F23" s="4" t="s">
        <v>7</v>
      </c>
      <c r="G23" s="11" t="s">
        <v>1</v>
      </c>
      <c r="H23" s="12" t="s">
        <v>2</v>
      </c>
    </row>
    <row r="24" spans="1:8" x14ac:dyDescent="0.3">
      <c r="A24" s="9" t="s">
        <v>36</v>
      </c>
      <c r="B24" s="1">
        <v>45366</v>
      </c>
      <c r="C24">
        <v>514.20000000000005</v>
      </c>
      <c r="D24" s="6">
        <f>AVERAGE(C24:C33)</f>
        <v>266.88000000000005</v>
      </c>
      <c r="E24" s="6">
        <f>STDEV(C24:C33)/SQRT(COUNT(C24:C33))</f>
        <v>81.617586833693821</v>
      </c>
      <c r="F24">
        <v>100</v>
      </c>
      <c r="G24" s="6">
        <f>AVERAGE(F24:F33)</f>
        <v>61</v>
      </c>
      <c r="H24" s="6">
        <f>STDEV(F24:F33)/SQRT(COUNT(F24:F33))</f>
        <v>6.0863519907704662</v>
      </c>
    </row>
    <row r="25" spans="1:8" x14ac:dyDescent="0.3">
      <c r="A25" s="19">
        <v>-5</v>
      </c>
      <c r="B25" s="1">
        <v>45373</v>
      </c>
      <c r="C25">
        <v>5.81</v>
      </c>
      <c r="F25">
        <f>100-28.48</f>
        <v>71.52</v>
      </c>
    </row>
    <row r="26" spans="1:8" x14ac:dyDescent="0.3">
      <c r="A26" s="19">
        <v>-6</v>
      </c>
      <c r="B26" s="1">
        <v>45373</v>
      </c>
      <c r="C26">
        <v>10.66</v>
      </c>
      <c r="E26" s="8">
        <f>E24/D24</f>
        <v>0.30582129359147858</v>
      </c>
      <c r="F26">
        <f>100-55.7</f>
        <v>44.3</v>
      </c>
    </row>
    <row r="27" spans="1:8" x14ac:dyDescent="0.3">
      <c r="A27" s="13">
        <v>-5</v>
      </c>
      <c r="B27" s="1">
        <v>45380</v>
      </c>
      <c r="C27">
        <v>459</v>
      </c>
      <c r="F27">
        <f>100-31.06</f>
        <v>68.94</v>
      </c>
      <c r="H27"/>
    </row>
    <row r="28" spans="1:8" x14ac:dyDescent="0.3">
      <c r="A28" s="19">
        <v>-5</v>
      </c>
      <c r="B28" s="1">
        <v>45380</v>
      </c>
      <c r="C28">
        <v>368.1</v>
      </c>
      <c r="F28">
        <f>100-54.07</f>
        <v>45.93</v>
      </c>
    </row>
    <row r="29" spans="1:8" x14ac:dyDescent="0.3">
      <c r="A29" s="19">
        <v>-5</v>
      </c>
      <c r="B29" s="1">
        <v>45380</v>
      </c>
      <c r="C29">
        <v>30.15</v>
      </c>
      <c r="F29">
        <v>55</v>
      </c>
    </row>
    <row r="30" spans="1:8" x14ac:dyDescent="0.3">
      <c r="A30" s="19">
        <v>-5</v>
      </c>
      <c r="B30" s="1">
        <v>45387</v>
      </c>
      <c r="C30">
        <v>670.9</v>
      </c>
      <c r="F30">
        <v>50</v>
      </c>
    </row>
    <row r="31" spans="1:8" x14ac:dyDescent="0.3">
      <c r="A31" s="19">
        <v>-5</v>
      </c>
      <c r="B31" s="1">
        <v>45387</v>
      </c>
      <c r="C31">
        <v>166.8</v>
      </c>
      <c r="F31">
        <f>100-31.69</f>
        <v>68.31</v>
      </c>
    </row>
    <row r="32" spans="1:8" x14ac:dyDescent="0.3">
      <c r="A32" s="19">
        <v>-5</v>
      </c>
      <c r="B32" s="1">
        <v>45387</v>
      </c>
      <c r="C32">
        <v>176.3</v>
      </c>
      <c r="F32">
        <v>45</v>
      </c>
    </row>
    <row r="33" spans="1:18" x14ac:dyDescent="0.3">
      <c r="A33" s="19"/>
      <c r="B33" s="1"/>
    </row>
    <row r="34" spans="1:18" x14ac:dyDescent="0.3">
      <c r="A34" t="s">
        <v>106</v>
      </c>
      <c r="B34" s="1"/>
    </row>
    <row r="35" spans="1:18" x14ac:dyDescent="0.3">
      <c r="A35" s="9" t="s">
        <v>46</v>
      </c>
      <c r="B35" s="1"/>
    </row>
    <row r="37" spans="1:18" x14ac:dyDescent="0.3">
      <c r="A37" s="3" t="s">
        <v>6</v>
      </c>
      <c r="B37" s="4" t="s">
        <v>9</v>
      </c>
      <c r="C37" s="4" t="s">
        <v>4</v>
      </c>
      <c r="D37" s="4" t="s">
        <v>1</v>
      </c>
      <c r="E37" s="4" t="s">
        <v>2</v>
      </c>
      <c r="F37" s="4" t="s">
        <v>7</v>
      </c>
      <c r="G37" s="11" t="s">
        <v>1</v>
      </c>
      <c r="H37" s="12" t="s">
        <v>2</v>
      </c>
      <c r="Q37" s="10"/>
      <c r="R37" s="10"/>
    </row>
    <row r="38" spans="1:18" x14ac:dyDescent="0.3">
      <c r="A38" s="9" t="s">
        <v>27</v>
      </c>
      <c r="B38" s="1">
        <v>45366</v>
      </c>
      <c r="C38" s="25">
        <v>48.83</v>
      </c>
      <c r="D38" s="6">
        <f>AVERAGE(C38:C45)</f>
        <v>65.083333333333329</v>
      </c>
      <c r="E38" s="6">
        <f>STDEV(C38:C45)/SQRT(COUNT(C38:C45))</f>
        <v>10.803657302557838</v>
      </c>
      <c r="F38">
        <v>62.29</v>
      </c>
      <c r="G38" s="10">
        <f>AVERAGE(F38:F45)</f>
        <v>39.323333333333338</v>
      </c>
      <c r="H38" s="10">
        <f>STDEV(F38:F45)/SQRT(COUNT(F38:F45))</f>
        <v>11.821173564601965</v>
      </c>
      <c r="K38" s="9"/>
      <c r="L38" s="1"/>
      <c r="M38" s="25"/>
      <c r="N38" s="6"/>
      <c r="O38" s="6"/>
      <c r="Q38" s="10"/>
      <c r="R38" s="10"/>
    </row>
    <row r="39" spans="1:18" x14ac:dyDescent="0.3">
      <c r="A39" s="19">
        <v>-5</v>
      </c>
      <c r="B39" s="1">
        <v>45373</v>
      </c>
      <c r="C39" s="21" t="s">
        <v>79</v>
      </c>
      <c r="F39" s="21" t="s">
        <v>80</v>
      </c>
      <c r="I39" s="21" t="s">
        <v>74</v>
      </c>
      <c r="K39" s="19"/>
      <c r="L39" s="1"/>
      <c r="Q39" s="10"/>
      <c r="R39" s="10"/>
    </row>
    <row r="40" spans="1:18" x14ac:dyDescent="0.3">
      <c r="A40" s="19">
        <v>-5</v>
      </c>
      <c r="B40" s="1">
        <v>45380</v>
      </c>
      <c r="C40">
        <v>85.54</v>
      </c>
      <c r="E40" s="8">
        <f>E38/D38</f>
        <v>0.16599729530178498</v>
      </c>
      <c r="F40">
        <f>100-77.02</f>
        <v>22.980000000000004</v>
      </c>
      <c r="K40" s="19"/>
      <c r="L40" s="1"/>
      <c r="O40" s="8"/>
      <c r="Q40" s="10"/>
      <c r="R40" s="10"/>
    </row>
    <row r="41" spans="1:18" x14ac:dyDescent="0.3">
      <c r="A41" s="19">
        <v>-5</v>
      </c>
      <c r="B41" s="1">
        <v>45380</v>
      </c>
      <c r="C41">
        <v>60.88</v>
      </c>
      <c r="F41">
        <f>100-67.3</f>
        <v>32.700000000000003</v>
      </c>
      <c r="K41" s="19"/>
      <c r="L41" s="1"/>
      <c r="Q41" s="10"/>
      <c r="R41" s="10"/>
    </row>
    <row r="42" spans="1:18" x14ac:dyDescent="0.3">
      <c r="A42" s="19" t="s">
        <v>103</v>
      </c>
      <c r="B42" s="1"/>
      <c r="K42" s="19"/>
      <c r="L42" s="1"/>
      <c r="Q42" s="10"/>
      <c r="R42" s="10"/>
    </row>
    <row r="43" spans="1:18" x14ac:dyDescent="0.3">
      <c r="A43" s="19" t="s">
        <v>46</v>
      </c>
      <c r="B43" s="1"/>
      <c r="K43" s="19"/>
      <c r="L43" s="1"/>
      <c r="Q43" s="10"/>
      <c r="R43" s="10"/>
    </row>
    <row r="44" spans="1:18" x14ac:dyDescent="0.3">
      <c r="A44" s="19"/>
      <c r="B44" s="1"/>
      <c r="K44" s="19"/>
      <c r="L44" s="1"/>
      <c r="Q44" s="10"/>
      <c r="R44" s="10"/>
    </row>
    <row r="46" spans="1:18" x14ac:dyDescent="0.3">
      <c r="A46" s="3" t="s">
        <v>6</v>
      </c>
      <c r="B46" s="4" t="s">
        <v>9</v>
      </c>
      <c r="C46" s="4" t="s">
        <v>4</v>
      </c>
      <c r="D46" s="4" t="s">
        <v>1</v>
      </c>
      <c r="E46" s="4" t="s">
        <v>2</v>
      </c>
      <c r="F46" s="4" t="s">
        <v>7</v>
      </c>
      <c r="G46" s="11" t="s">
        <v>1</v>
      </c>
      <c r="H46" s="12" t="s">
        <v>2</v>
      </c>
    </row>
    <row r="47" spans="1:18" x14ac:dyDescent="0.3">
      <c r="A47" s="9" t="s">
        <v>28</v>
      </c>
      <c r="B47" s="1">
        <v>45366</v>
      </c>
      <c r="C47" s="25">
        <v>35.25</v>
      </c>
      <c r="D47" s="6">
        <f>AVERAGE(C47:C65)</f>
        <v>203.74286666666666</v>
      </c>
      <c r="E47" s="6">
        <f>STDEV(C47:C65)/SQRT(COUNT(C47:C65))</f>
        <v>60.032535286163331</v>
      </c>
      <c r="F47">
        <f>100-54.49</f>
        <v>45.51</v>
      </c>
      <c r="G47" s="10">
        <f>AVERAGE(F47:F65)</f>
        <v>50.835333333333331</v>
      </c>
      <c r="H47" s="10">
        <f>STDEV(F47:F65)/SQRT(COUNT(F47:F65))</f>
        <v>3.2972486173239086</v>
      </c>
    </row>
    <row r="48" spans="1:18" x14ac:dyDescent="0.3">
      <c r="A48" s="19">
        <v>-5</v>
      </c>
      <c r="B48" s="1">
        <v>45373</v>
      </c>
      <c r="C48">
        <v>817.1</v>
      </c>
      <c r="F48">
        <v>85</v>
      </c>
    </row>
    <row r="49" spans="1:9" x14ac:dyDescent="0.3">
      <c r="A49" s="19">
        <v>-5</v>
      </c>
      <c r="B49" s="1">
        <v>45380</v>
      </c>
      <c r="C49">
        <v>47.1</v>
      </c>
      <c r="E49" s="8">
        <f>E47/D47</f>
        <v>0.29464852570460542</v>
      </c>
      <c r="F49">
        <f>100-62.31</f>
        <v>37.69</v>
      </c>
    </row>
    <row r="50" spans="1:9" x14ac:dyDescent="0.3">
      <c r="A50" s="13">
        <v>-5</v>
      </c>
      <c r="B50" s="1">
        <v>45380</v>
      </c>
      <c r="C50">
        <v>93.2</v>
      </c>
      <c r="F50">
        <f>100-35</f>
        <v>65</v>
      </c>
    </row>
    <row r="51" spans="1:9" x14ac:dyDescent="0.3">
      <c r="A51" s="13">
        <v>-5</v>
      </c>
      <c r="B51" s="1">
        <v>45380</v>
      </c>
      <c r="C51">
        <v>101.3</v>
      </c>
      <c r="F51">
        <f>100-60.02</f>
        <v>39.979999999999997</v>
      </c>
    </row>
    <row r="52" spans="1:9" x14ac:dyDescent="0.3">
      <c r="A52" s="13">
        <v>-5</v>
      </c>
      <c r="B52" s="1">
        <v>45387</v>
      </c>
      <c r="C52">
        <v>172.6</v>
      </c>
      <c r="F52">
        <f>100-45.08</f>
        <v>54.92</v>
      </c>
    </row>
    <row r="53" spans="1:9" x14ac:dyDescent="0.3">
      <c r="A53" s="13">
        <v>-5</v>
      </c>
      <c r="B53" s="1">
        <v>45387</v>
      </c>
      <c r="C53" s="21" t="s">
        <v>99</v>
      </c>
      <c r="F53" s="21" t="s">
        <v>100</v>
      </c>
      <c r="I53" s="21" t="s">
        <v>74</v>
      </c>
    </row>
    <row r="54" spans="1:9" x14ac:dyDescent="0.3">
      <c r="A54" s="13">
        <v>-5</v>
      </c>
      <c r="B54" s="1">
        <v>45387</v>
      </c>
      <c r="C54">
        <v>7.9130000000000003</v>
      </c>
      <c r="F54">
        <f>100-56.19</f>
        <v>43.81</v>
      </c>
    </row>
    <row r="55" spans="1:9" x14ac:dyDescent="0.3">
      <c r="A55" s="13">
        <v>-5</v>
      </c>
      <c r="B55" s="1">
        <v>45387</v>
      </c>
      <c r="C55">
        <v>361.4</v>
      </c>
      <c r="F55">
        <v>45</v>
      </c>
    </row>
    <row r="56" spans="1:9" x14ac:dyDescent="0.3">
      <c r="A56" s="13">
        <v>-5</v>
      </c>
      <c r="B56" s="1">
        <v>45393</v>
      </c>
      <c r="C56">
        <v>93.72</v>
      </c>
      <c r="F56">
        <f>100-47.62</f>
        <v>52.38</v>
      </c>
    </row>
    <row r="57" spans="1:9" x14ac:dyDescent="0.3">
      <c r="A57" s="13">
        <v>-5</v>
      </c>
      <c r="B57" s="1">
        <v>45393</v>
      </c>
      <c r="C57">
        <v>131.6</v>
      </c>
      <c r="F57">
        <f>100-34.91</f>
        <v>65.09</v>
      </c>
    </row>
    <row r="58" spans="1:9" x14ac:dyDescent="0.3">
      <c r="A58" s="13">
        <v>-5</v>
      </c>
      <c r="B58" s="1">
        <v>45393</v>
      </c>
      <c r="C58">
        <v>102.9</v>
      </c>
      <c r="F58">
        <v>50</v>
      </c>
    </row>
    <row r="59" spans="1:9" x14ac:dyDescent="0.3">
      <c r="A59" s="13">
        <v>-5</v>
      </c>
      <c r="B59" s="1">
        <v>45393</v>
      </c>
      <c r="C59">
        <v>318.8</v>
      </c>
      <c r="F59">
        <v>40</v>
      </c>
    </row>
    <row r="60" spans="1:9" x14ac:dyDescent="0.3">
      <c r="A60" s="13">
        <v>-5</v>
      </c>
      <c r="B60" s="1">
        <v>45393</v>
      </c>
      <c r="C60">
        <v>71.98</v>
      </c>
      <c r="F60">
        <f>100-46.28</f>
        <v>53.72</v>
      </c>
    </row>
    <row r="61" spans="1:9" x14ac:dyDescent="0.3">
      <c r="A61" s="13">
        <v>-5</v>
      </c>
      <c r="B61" s="1">
        <v>45393</v>
      </c>
      <c r="C61">
        <v>86.48</v>
      </c>
      <c r="F61">
        <f>100-60.57</f>
        <v>39.43</v>
      </c>
    </row>
    <row r="62" spans="1:9" x14ac:dyDescent="0.3">
      <c r="A62" s="13">
        <v>-5</v>
      </c>
      <c r="B62" s="1">
        <v>45393</v>
      </c>
      <c r="C62">
        <v>614.79999999999995</v>
      </c>
      <c r="F62">
        <v>45</v>
      </c>
    </row>
    <row r="63" spans="1:9" x14ac:dyDescent="0.3">
      <c r="A63" s="13" t="s">
        <v>109</v>
      </c>
      <c r="B63" s="1"/>
    </row>
    <row r="64" spans="1:9" x14ac:dyDescent="0.3">
      <c r="A64" s="9"/>
      <c r="B64" s="1"/>
    </row>
    <row r="66" spans="1:9" x14ac:dyDescent="0.3">
      <c r="A66" s="3" t="s">
        <v>6</v>
      </c>
      <c r="B66" s="4" t="s">
        <v>9</v>
      </c>
      <c r="C66" s="4" t="s">
        <v>4</v>
      </c>
      <c r="D66" s="4" t="s">
        <v>1</v>
      </c>
      <c r="E66" s="4" t="s">
        <v>2</v>
      </c>
      <c r="F66" s="4" t="s">
        <v>7</v>
      </c>
      <c r="G66" s="11" t="s">
        <v>1</v>
      </c>
      <c r="H66" s="12" t="s">
        <v>2</v>
      </c>
    </row>
    <row r="67" spans="1:9" x14ac:dyDescent="0.3">
      <c r="A67" s="9" t="s">
        <v>29</v>
      </c>
      <c r="B67" s="1">
        <v>45366</v>
      </c>
      <c r="C67">
        <v>2.133</v>
      </c>
      <c r="D67" s="6">
        <f>AVERAGE(C67:C74)</f>
        <v>3.8107999999999995</v>
      </c>
      <c r="E67" s="6">
        <f>STDEV(C67:C74)/SQRT(COUNT(C67:C74))</f>
        <v>0.84346697623558464</v>
      </c>
      <c r="F67">
        <v>100</v>
      </c>
      <c r="G67" s="10">
        <f>AVERAGE(F67:F74)</f>
        <v>98.135339999999999</v>
      </c>
      <c r="H67" s="10">
        <f>STDEV(F67:F74)/SQRT(COUNT(F67:F74))</f>
        <v>0.88546302892893169</v>
      </c>
      <c r="I67" t="s">
        <v>48</v>
      </c>
    </row>
    <row r="68" spans="1:9" x14ac:dyDescent="0.3">
      <c r="A68" s="19">
        <v>-7</v>
      </c>
      <c r="B68" s="1">
        <v>45373</v>
      </c>
      <c r="C68">
        <v>2.7130000000000001</v>
      </c>
      <c r="F68">
        <f>100-0.9585</f>
        <v>99.041499999999999</v>
      </c>
    </row>
    <row r="69" spans="1:9" x14ac:dyDescent="0.3">
      <c r="A69" s="19">
        <v>-7</v>
      </c>
      <c r="B69" s="1">
        <v>45380</v>
      </c>
      <c r="C69">
        <v>6.734</v>
      </c>
      <c r="E69" s="8">
        <f>E67/D67</f>
        <v>0.22133593372404345</v>
      </c>
      <c r="F69">
        <v>97.667000000000002</v>
      </c>
    </row>
    <row r="70" spans="1:9" x14ac:dyDescent="0.3">
      <c r="A70" s="13">
        <v>-7</v>
      </c>
      <c r="B70" s="1">
        <v>45380</v>
      </c>
      <c r="C70">
        <v>4.6459999999999999</v>
      </c>
      <c r="F70">
        <f>100-5.079</f>
        <v>94.921000000000006</v>
      </c>
    </row>
    <row r="71" spans="1:9" x14ac:dyDescent="0.3">
      <c r="A71" s="19">
        <v>-7</v>
      </c>
      <c r="B71" s="1">
        <v>45380</v>
      </c>
      <c r="C71">
        <v>2.8279999999999998</v>
      </c>
      <c r="F71">
        <f>100-0.9528</f>
        <v>99.047200000000004</v>
      </c>
    </row>
    <row r="72" spans="1:9" x14ac:dyDescent="0.3">
      <c r="A72" s="13" t="s">
        <v>104</v>
      </c>
      <c r="B72" s="1"/>
    </row>
    <row r="73" spans="1:9" x14ac:dyDescent="0.3">
      <c r="A73" s="9" t="s">
        <v>46</v>
      </c>
      <c r="B73" s="1"/>
    </row>
    <row r="75" spans="1:9" x14ac:dyDescent="0.3">
      <c r="A75" s="3" t="s">
        <v>6</v>
      </c>
      <c r="B75" s="4" t="s">
        <v>9</v>
      </c>
      <c r="C75" s="4" t="s">
        <v>4</v>
      </c>
      <c r="D75" s="4" t="s">
        <v>1</v>
      </c>
      <c r="E75" s="4" t="s">
        <v>2</v>
      </c>
      <c r="F75" s="4" t="s">
        <v>7</v>
      </c>
      <c r="G75" s="11" t="s">
        <v>1</v>
      </c>
      <c r="H75" s="12" t="s">
        <v>2</v>
      </c>
    </row>
    <row r="76" spans="1:9" x14ac:dyDescent="0.3">
      <c r="A76" s="9" t="s">
        <v>30</v>
      </c>
      <c r="B76" s="1">
        <v>45366</v>
      </c>
      <c r="C76">
        <v>0.4501</v>
      </c>
      <c r="D76" s="6">
        <f>AVERAGE(C76:C83)</f>
        <v>0.62249999999999994</v>
      </c>
      <c r="E76" s="6">
        <f>STDEV(C76:C83)/SQRT(COUNT(C76:C83))</f>
        <v>9.9825923486837845E-2</v>
      </c>
      <c r="F76">
        <f>100-3.278</f>
        <v>96.721999999999994</v>
      </c>
      <c r="G76" s="10">
        <f>AVERAGE(F76:F83)</f>
        <v>96.89500000000001</v>
      </c>
      <c r="H76" s="10">
        <f>STDEV(F76:F83)/SQRT(COUNT(F76:F83))</f>
        <v>1.1150816113630415</v>
      </c>
      <c r="I76" t="s">
        <v>49</v>
      </c>
    </row>
    <row r="77" spans="1:9" x14ac:dyDescent="0.3">
      <c r="A77" s="19">
        <v>-7</v>
      </c>
      <c r="B77" s="1">
        <v>45373</v>
      </c>
      <c r="C77">
        <v>0.33200000000000002</v>
      </c>
      <c r="F77">
        <v>100</v>
      </c>
    </row>
    <row r="78" spans="1:9" x14ac:dyDescent="0.3">
      <c r="A78" s="13">
        <v>-7</v>
      </c>
      <c r="B78" s="1">
        <v>45380</v>
      </c>
      <c r="C78">
        <v>0.77869999999999995</v>
      </c>
      <c r="E78" s="8">
        <f>E76/D76</f>
        <v>0.16036292929612506</v>
      </c>
      <c r="F78">
        <f>100-4.109</f>
        <v>95.891000000000005</v>
      </c>
    </row>
    <row r="79" spans="1:9" x14ac:dyDescent="0.3">
      <c r="A79" s="13">
        <v>-7</v>
      </c>
      <c r="B79" s="1">
        <v>45380</v>
      </c>
      <c r="C79">
        <v>0.69289999999999996</v>
      </c>
      <c r="F79">
        <f>100-1.586</f>
        <v>98.414000000000001</v>
      </c>
    </row>
    <row r="80" spans="1:9" x14ac:dyDescent="0.3">
      <c r="A80" s="19">
        <v>-7</v>
      </c>
      <c r="B80" s="1">
        <v>45380</v>
      </c>
      <c r="C80">
        <v>0.85880000000000001</v>
      </c>
      <c r="F80">
        <f>100-6.552</f>
        <v>93.448000000000008</v>
      </c>
    </row>
    <row r="81" spans="1:9" x14ac:dyDescent="0.3">
      <c r="A81" s="13" t="s">
        <v>104</v>
      </c>
      <c r="B81" s="1"/>
    </row>
    <row r="82" spans="1:9" x14ac:dyDescent="0.3">
      <c r="A82" s="9" t="s">
        <v>46</v>
      </c>
      <c r="B82" s="1"/>
    </row>
    <row r="84" spans="1:9" x14ac:dyDescent="0.3">
      <c r="A84" s="3" t="s">
        <v>6</v>
      </c>
      <c r="B84" s="4" t="s">
        <v>9</v>
      </c>
      <c r="C84" s="4" t="s">
        <v>4</v>
      </c>
      <c r="D84" s="4" t="s">
        <v>1</v>
      </c>
      <c r="E84" s="4" t="s">
        <v>2</v>
      </c>
      <c r="F84" s="4" t="s">
        <v>7</v>
      </c>
      <c r="G84" s="11" t="s">
        <v>1</v>
      </c>
      <c r="H84" s="12" t="s">
        <v>2</v>
      </c>
    </row>
    <row r="85" spans="1:9" x14ac:dyDescent="0.3">
      <c r="A85" s="9" t="s">
        <v>37</v>
      </c>
      <c r="B85" s="1">
        <v>45366</v>
      </c>
      <c r="C85">
        <v>224.1</v>
      </c>
      <c r="D85" s="6">
        <f>AVERAGE(C85:C89)</f>
        <v>178.15249999999997</v>
      </c>
      <c r="E85" s="6">
        <f>STDEV(C85:C89)/SQRT(COUNT(C85:C89))</f>
        <v>35.754711898107466</v>
      </c>
      <c r="F85">
        <f>100-17.36</f>
        <v>82.64</v>
      </c>
      <c r="G85" s="10">
        <f>AVERAGE(F85:F89)</f>
        <v>56.089999999999996</v>
      </c>
      <c r="H85" s="10">
        <f>STDEV(F85:F89)/SQRT(COUNT(F85:F89))</f>
        <v>9.3509919259937444</v>
      </c>
    </row>
    <row r="86" spans="1:9" x14ac:dyDescent="0.3">
      <c r="A86" s="19">
        <v>-5</v>
      </c>
      <c r="B86" s="1">
        <v>45373</v>
      </c>
      <c r="C86">
        <v>218.9</v>
      </c>
      <c r="F86">
        <v>55</v>
      </c>
    </row>
    <row r="87" spans="1:9" x14ac:dyDescent="0.3">
      <c r="A87" s="19">
        <v>-5</v>
      </c>
      <c r="B87" s="1">
        <v>45380</v>
      </c>
      <c r="C87">
        <v>72.31</v>
      </c>
      <c r="E87" s="8">
        <f>E85/D85</f>
        <v>0.20069722231294801</v>
      </c>
      <c r="F87">
        <f>100-53.55</f>
        <v>46.45</v>
      </c>
    </row>
    <row r="88" spans="1:9" x14ac:dyDescent="0.3">
      <c r="A88" s="13">
        <v>-5</v>
      </c>
      <c r="B88" s="1">
        <v>45380</v>
      </c>
      <c r="C88">
        <v>197.3</v>
      </c>
      <c r="F88">
        <f>100-59.73</f>
        <v>40.270000000000003</v>
      </c>
    </row>
    <row r="89" spans="1:9" x14ac:dyDescent="0.3">
      <c r="A89" s="13">
        <v>-5</v>
      </c>
      <c r="B89" s="1">
        <v>45380</v>
      </c>
      <c r="C89" s="21" t="s">
        <v>72</v>
      </c>
      <c r="F89" s="21" t="s">
        <v>73</v>
      </c>
      <c r="I89" s="21" t="s">
        <v>74</v>
      </c>
    </row>
    <row r="90" spans="1:9" x14ac:dyDescent="0.3">
      <c r="A90" s="13" t="s">
        <v>102</v>
      </c>
      <c r="B90" s="1"/>
      <c r="C90" s="21"/>
      <c r="F90" s="21"/>
      <c r="I90" s="21"/>
    </row>
    <row r="91" spans="1:9" x14ac:dyDescent="0.3">
      <c r="A91" s="9" t="s">
        <v>46</v>
      </c>
      <c r="B91" s="1"/>
    </row>
    <row r="92" spans="1:9" x14ac:dyDescent="0.3">
      <c r="A92" s="9"/>
      <c r="B92" s="1"/>
    </row>
    <row r="93" spans="1:9" x14ac:dyDescent="0.3">
      <c r="A93" s="3" t="s">
        <v>6</v>
      </c>
      <c r="B93" s="4" t="s">
        <v>9</v>
      </c>
      <c r="C93" s="4" t="s">
        <v>4</v>
      </c>
      <c r="D93" s="4" t="s">
        <v>1</v>
      </c>
      <c r="E93" s="4" t="s">
        <v>2</v>
      </c>
      <c r="F93" s="4" t="s">
        <v>7</v>
      </c>
      <c r="G93" s="11" t="s">
        <v>1</v>
      </c>
      <c r="H93" s="12" t="s">
        <v>2</v>
      </c>
    </row>
    <row r="94" spans="1:9" x14ac:dyDescent="0.3">
      <c r="A94" s="9" t="s">
        <v>38</v>
      </c>
      <c r="B94" s="1">
        <v>45366</v>
      </c>
      <c r="C94">
        <v>2.379</v>
      </c>
      <c r="D94" s="6">
        <f>AVERAGE(C94:C102)</f>
        <v>279.97655555555559</v>
      </c>
      <c r="E94" s="6">
        <f>STDEV(C94:C102)/SQRT(COUNT(C94:C102))</f>
        <v>67.260968415136389</v>
      </c>
      <c r="F94">
        <f>100-28.72</f>
        <v>71.28</v>
      </c>
      <c r="G94" s="10">
        <f>AVERAGE(F94:F102)</f>
        <v>55.037777777777777</v>
      </c>
      <c r="H94" s="10">
        <f>STDEV(F94:F102)/SQRT(COUNT(F94:F102))</f>
        <v>3.8155292256258471</v>
      </c>
    </row>
    <row r="95" spans="1:9" x14ac:dyDescent="0.3">
      <c r="A95" s="19">
        <v>-5</v>
      </c>
      <c r="B95" s="1">
        <v>45373</v>
      </c>
      <c r="C95">
        <v>10.61</v>
      </c>
      <c r="F95">
        <f>100-44.99</f>
        <v>55.01</v>
      </c>
    </row>
    <row r="96" spans="1:9" x14ac:dyDescent="0.3">
      <c r="A96" s="19">
        <v>-5</v>
      </c>
      <c r="B96" s="1">
        <v>45380</v>
      </c>
      <c r="C96">
        <v>252.3</v>
      </c>
      <c r="E96" s="8">
        <f>E94/D94</f>
        <v>0.24023785949388121</v>
      </c>
      <c r="F96">
        <f>100-39.13</f>
        <v>60.87</v>
      </c>
    </row>
    <row r="97" spans="1:8" x14ac:dyDescent="0.3">
      <c r="A97" s="13">
        <v>-5</v>
      </c>
      <c r="B97" s="1">
        <v>45380</v>
      </c>
      <c r="C97">
        <v>245.4</v>
      </c>
      <c r="F97">
        <v>50</v>
      </c>
    </row>
    <row r="98" spans="1:8" x14ac:dyDescent="0.3">
      <c r="A98" s="13">
        <v>-5</v>
      </c>
      <c r="B98" s="1">
        <v>45380</v>
      </c>
      <c r="C98">
        <v>278.60000000000002</v>
      </c>
      <c r="F98">
        <v>50</v>
      </c>
    </row>
    <row r="99" spans="1:8" x14ac:dyDescent="0.3">
      <c r="A99" s="13">
        <v>-5</v>
      </c>
      <c r="B99" s="1">
        <v>45387</v>
      </c>
      <c r="C99">
        <v>616</v>
      </c>
      <c r="F99">
        <v>45</v>
      </c>
    </row>
    <row r="100" spans="1:8" x14ac:dyDescent="0.3">
      <c r="A100" s="13">
        <v>-5</v>
      </c>
      <c r="B100" s="1">
        <v>45387</v>
      </c>
      <c r="C100">
        <v>396.2</v>
      </c>
      <c r="F100">
        <v>60</v>
      </c>
    </row>
    <row r="101" spans="1:8" x14ac:dyDescent="0.3">
      <c r="A101" s="13">
        <v>-5</v>
      </c>
      <c r="B101" s="1">
        <v>45387</v>
      </c>
      <c r="C101">
        <v>491.8</v>
      </c>
      <c r="F101">
        <v>35</v>
      </c>
    </row>
    <row r="102" spans="1:8" x14ac:dyDescent="0.3">
      <c r="A102" s="13">
        <v>-5</v>
      </c>
      <c r="B102" s="1">
        <v>45387</v>
      </c>
      <c r="C102">
        <v>226.5</v>
      </c>
      <c r="F102">
        <f>100-31.82</f>
        <v>68.180000000000007</v>
      </c>
    </row>
    <row r="103" spans="1:8" x14ac:dyDescent="0.3">
      <c r="A103" s="13" t="s">
        <v>106</v>
      </c>
      <c r="B103" s="1"/>
    </row>
    <row r="104" spans="1:8" x14ac:dyDescent="0.3">
      <c r="A104" s="9" t="s">
        <v>46</v>
      </c>
    </row>
    <row r="106" spans="1:8" x14ac:dyDescent="0.3">
      <c r="A106" s="3" t="s">
        <v>6</v>
      </c>
      <c r="B106" s="4" t="s">
        <v>9</v>
      </c>
      <c r="C106" s="4" t="s">
        <v>4</v>
      </c>
      <c r="D106" s="4" t="s">
        <v>1</v>
      </c>
      <c r="E106" s="4" t="s">
        <v>2</v>
      </c>
      <c r="F106" s="4" t="s">
        <v>7</v>
      </c>
      <c r="G106" s="11" t="s">
        <v>1</v>
      </c>
      <c r="H106" s="12" t="s">
        <v>2</v>
      </c>
    </row>
    <row r="107" spans="1:8" x14ac:dyDescent="0.3">
      <c r="A107" s="9" t="s">
        <v>39</v>
      </c>
      <c r="B107" s="1">
        <v>45366</v>
      </c>
      <c r="C107">
        <v>9.2880000000000003</v>
      </c>
      <c r="D107" s="6">
        <f>AVERAGE(C107:C122)</f>
        <v>443.55706249999992</v>
      </c>
      <c r="E107" s="6">
        <f>STDEV(C107:C122)/SQRT(COUNT(C107:C122))</f>
        <v>142.9175278653004</v>
      </c>
      <c r="F107">
        <f>100-58.19</f>
        <v>41.81</v>
      </c>
      <c r="G107" s="10">
        <f>AVERAGE(F107:F122)</f>
        <v>37.088750000000005</v>
      </c>
      <c r="H107" s="10">
        <f>STDEV(F107:F122)/SQRT(COUNT(F107:F122))</f>
        <v>3.1876737697731801</v>
      </c>
    </row>
    <row r="108" spans="1:8" x14ac:dyDescent="0.3">
      <c r="A108" s="19">
        <v>-5</v>
      </c>
      <c r="B108" s="1">
        <v>45373</v>
      </c>
      <c r="C108">
        <v>38.880000000000003</v>
      </c>
      <c r="F108">
        <f>100-56.3</f>
        <v>43.7</v>
      </c>
    </row>
    <row r="109" spans="1:8" x14ac:dyDescent="0.3">
      <c r="A109" s="19">
        <v>-5</v>
      </c>
      <c r="B109" s="1">
        <v>45373</v>
      </c>
      <c r="C109">
        <v>3.8050000000000002</v>
      </c>
      <c r="E109" s="8">
        <f>E107/D107</f>
        <v>0.32220776073270263</v>
      </c>
      <c r="F109">
        <f>100-46.4</f>
        <v>53.6</v>
      </c>
    </row>
    <row r="110" spans="1:8" x14ac:dyDescent="0.3">
      <c r="A110" s="19">
        <v>-5</v>
      </c>
      <c r="B110" s="1">
        <v>45380</v>
      </c>
      <c r="C110">
        <v>155.4</v>
      </c>
      <c r="F110">
        <f>100-39.13</f>
        <v>60.87</v>
      </c>
    </row>
    <row r="111" spans="1:8" x14ac:dyDescent="0.3">
      <c r="A111" s="19">
        <v>-5</v>
      </c>
      <c r="B111" s="1">
        <v>45380</v>
      </c>
      <c r="C111">
        <v>85.31</v>
      </c>
      <c r="F111">
        <f>100-83.33</f>
        <v>16.670000000000002</v>
      </c>
    </row>
    <row r="112" spans="1:8" x14ac:dyDescent="0.3">
      <c r="A112" s="19">
        <v>-5</v>
      </c>
      <c r="B112" s="1">
        <v>45387</v>
      </c>
      <c r="C112">
        <v>1819</v>
      </c>
      <c r="F112">
        <f>100-75.28</f>
        <v>24.72</v>
      </c>
    </row>
    <row r="113" spans="1:8" x14ac:dyDescent="0.3">
      <c r="A113" s="19">
        <v>-5</v>
      </c>
      <c r="B113" s="1">
        <v>45387</v>
      </c>
      <c r="C113">
        <v>285.5</v>
      </c>
      <c r="F113">
        <f>100-53.39</f>
        <v>46.61</v>
      </c>
    </row>
    <row r="114" spans="1:8" x14ac:dyDescent="0.3">
      <c r="A114" s="19">
        <v>-5</v>
      </c>
      <c r="B114" s="1">
        <v>45387</v>
      </c>
      <c r="C114">
        <v>360</v>
      </c>
      <c r="F114">
        <f>100-65</f>
        <v>35</v>
      </c>
    </row>
    <row r="115" spans="1:8" x14ac:dyDescent="0.3">
      <c r="A115" s="19">
        <v>-5</v>
      </c>
      <c r="B115" s="1">
        <v>45387</v>
      </c>
      <c r="C115">
        <v>1258</v>
      </c>
      <c r="F115">
        <v>25</v>
      </c>
    </row>
    <row r="116" spans="1:8" x14ac:dyDescent="0.3">
      <c r="A116" s="19">
        <v>-5</v>
      </c>
      <c r="B116" s="1">
        <v>45393</v>
      </c>
      <c r="C116">
        <v>18.68</v>
      </c>
      <c r="F116">
        <f>100-66.47</f>
        <v>33.53</v>
      </c>
    </row>
    <row r="117" spans="1:8" x14ac:dyDescent="0.3">
      <c r="A117" s="19">
        <v>-5</v>
      </c>
      <c r="B117" s="1">
        <v>45393</v>
      </c>
      <c r="C117">
        <v>827.8</v>
      </c>
      <c r="F117">
        <v>35</v>
      </c>
    </row>
    <row r="118" spans="1:8" x14ac:dyDescent="0.3">
      <c r="A118" s="19">
        <v>-5</v>
      </c>
      <c r="B118" s="1">
        <v>45393</v>
      </c>
      <c r="C118">
        <v>14.73</v>
      </c>
      <c r="F118">
        <f>100-61.91</f>
        <v>38.090000000000003</v>
      </c>
    </row>
    <row r="119" spans="1:8" x14ac:dyDescent="0.3">
      <c r="A119" s="19">
        <v>-5</v>
      </c>
      <c r="B119" s="1">
        <v>45393</v>
      </c>
      <c r="C119">
        <v>1083</v>
      </c>
      <c r="F119">
        <v>45</v>
      </c>
    </row>
    <row r="120" spans="1:8" x14ac:dyDescent="0.3">
      <c r="A120" s="19">
        <v>-5</v>
      </c>
      <c r="B120" s="1">
        <v>45393</v>
      </c>
      <c r="C120">
        <v>1024</v>
      </c>
      <c r="F120">
        <v>25</v>
      </c>
    </row>
    <row r="121" spans="1:8" x14ac:dyDescent="0.3">
      <c r="A121" s="19">
        <v>-5</v>
      </c>
      <c r="B121" s="1">
        <v>45393</v>
      </c>
      <c r="C121">
        <v>36.950000000000003</v>
      </c>
      <c r="F121">
        <f>100-81.12</f>
        <v>18.879999999999995</v>
      </c>
    </row>
    <row r="122" spans="1:8" x14ac:dyDescent="0.3">
      <c r="A122" s="19">
        <v>-5</v>
      </c>
      <c r="B122" s="1">
        <v>45393</v>
      </c>
      <c r="C122">
        <v>76.569999999999993</v>
      </c>
      <c r="F122">
        <f>100-50.06</f>
        <v>49.94</v>
      </c>
    </row>
    <row r="123" spans="1:8" x14ac:dyDescent="0.3">
      <c r="A123" s="19" t="s">
        <v>110</v>
      </c>
      <c r="B123" s="1"/>
    </row>
    <row r="124" spans="1:8" x14ac:dyDescent="0.3">
      <c r="A124" s="9" t="s">
        <v>46</v>
      </c>
    </row>
    <row r="126" spans="1:8" x14ac:dyDescent="0.3">
      <c r="A126" s="3" t="s">
        <v>6</v>
      </c>
      <c r="B126" s="4" t="s">
        <v>9</v>
      </c>
      <c r="C126" s="4" t="s">
        <v>4</v>
      </c>
      <c r="D126" s="4" t="s">
        <v>1</v>
      </c>
      <c r="E126" s="4" t="s">
        <v>2</v>
      </c>
      <c r="F126" s="4" t="s">
        <v>7</v>
      </c>
      <c r="G126" s="11" t="s">
        <v>1</v>
      </c>
      <c r="H126" s="12" t="s">
        <v>2</v>
      </c>
    </row>
    <row r="127" spans="1:8" x14ac:dyDescent="0.3">
      <c r="A127" s="9" t="s">
        <v>40</v>
      </c>
      <c r="B127" s="1">
        <v>45366</v>
      </c>
      <c r="C127">
        <v>11.54</v>
      </c>
      <c r="D127" s="6">
        <f>AVERAGE(C127:C135)</f>
        <v>435.36500000000001</v>
      </c>
      <c r="E127" s="6">
        <f>STDEV(C127:C135)/SQRT(COUNT(C127:C135))</f>
        <v>153.41556628507888</v>
      </c>
      <c r="F127">
        <f>100-50.7</f>
        <v>49.3</v>
      </c>
      <c r="G127" s="10">
        <f>AVERAGE(F127:F135)</f>
        <v>45.278750000000002</v>
      </c>
      <c r="H127" s="10">
        <f>STDEV(F127:F135)/SQRT(COUNT(F127:F135))</f>
        <v>4.5785760565220661</v>
      </c>
    </row>
    <row r="128" spans="1:8" x14ac:dyDescent="0.3">
      <c r="A128" s="19">
        <v>-5</v>
      </c>
      <c r="B128" s="1">
        <v>45373</v>
      </c>
      <c r="C128">
        <v>39.869999999999997</v>
      </c>
      <c r="F128">
        <f>100-62.17</f>
        <v>37.83</v>
      </c>
    </row>
    <row r="129" spans="1:8" x14ac:dyDescent="0.3">
      <c r="A129" s="19">
        <v>-5</v>
      </c>
      <c r="B129" s="1">
        <v>45373</v>
      </c>
      <c r="C129">
        <v>12.11</v>
      </c>
      <c r="E129" s="8">
        <f>E127/D127</f>
        <v>0.35238378437650908</v>
      </c>
      <c r="F129">
        <f>100-50</f>
        <v>50</v>
      </c>
    </row>
    <row r="130" spans="1:8" x14ac:dyDescent="0.3">
      <c r="A130" s="19">
        <v>-5</v>
      </c>
      <c r="B130" s="1">
        <v>45380</v>
      </c>
      <c r="C130">
        <v>258.39999999999998</v>
      </c>
      <c r="F130">
        <f>100-38.18</f>
        <v>61.82</v>
      </c>
    </row>
    <row r="131" spans="1:8" x14ac:dyDescent="0.3">
      <c r="A131" s="19">
        <v>-5</v>
      </c>
      <c r="B131" s="1">
        <v>45380</v>
      </c>
      <c r="C131">
        <v>601</v>
      </c>
      <c r="F131">
        <f>100-40</f>
        <v>60</v>
      </c>
    </row>
    <row r="132" spans="1:8" x14ac:dyDescent="0.3">
      <c r="A132" s="19">
        <v>-5</v>
      </c>
      <c r="B132" s="1">
        <v>45387</v>
      </c>
      <c r="C132">
        <v>554.20000000000005</v>
      </c>
      <c r="F132">
        <v>35</v>
      </c>
    </row>
    <row r="133" spans="1:8" x14ac:dyDescent="0.3">
      <c r="A133" s="19">
        <v>-5</v>
      </c>
      <c r="B133" s="1">
        <v>45387</v>
      </c>
      <c r="C133">
        <v>795.8</v>
      </c>
      <c r="F133">
        <v>45</v>
      </c>
    </row>
    <row r="134" spans="1:8" x14ac:dyDescent="0.3">
      <c r="A134" s="19">
        <v>-5</v>
      </c>
      <c r="B134" s="1">
        <v>45387</v>
      </c>
      <c r="C134">
        <v>1210</v>
      </c>
      <c r="F134">
        <f>100-76.72</f>
        <v>23.28</v>
      </c>
    </row>
    <row r="135" spans="1:8" x14ac:dyDescent="0.3">
      <c r="A135" s="19" t="s">
        <v>111</v>
      </c>
      <c r="B135" s="1"/>
    </row>
    <row r="136" spans="1:8" x14ac:dyDescent="0.3">
      <c r="A136" s="19" t="s">
        <v>46</v>
      </c>
      <c r="B136" s="1"/>
    </row>
    <row r="139" spans="1:8" x14ac:dyDescent="0.3">
      <c r="A139" s="3" t="s">
        <v>6</v>
      </c>
      <c r="B139" s="4" t="s">
        <v>9</v>
      </c>
      <c r="C139" s="4" t="s">
        <v>4</v>
      </c>
      <c r="D139" s="4" t="s">
        <v>1</v>
      </c>
      <c r="E139" s="4" t="s">
        <v>2</v>
      </c>
      <c r="F139" s="4" t="s">
        <v>7</v>
      </c>
      <c r="G139" s="11" t="s">
        <v>1</v>
      </c>
      <c r="H139" s="12" t="s">
        <v>2</v>
      </c>
    </row>
    <row r="140" spans="1:8" x14ac:dyDescent="0.3">
      <c r="A140" s="9" t="s">
        <v>41</v>
      </c>
      <c r="B140" s="1">
        <v>45366</v>
      </c>
      <c r="C140">
        <v>161.4</v>
      </c>
      <c r="D140" s="6">
        <f>AVERAGE(C140:C144)</f>
        <v>162.75</v>
      </c>
      <c r="E140" s="6">
        <f>STDEV(C140:C144)/SQRT(COUNT(C140:C144))</f>
        <v>36.304021815771328</v>
      </c>
      <c r="F140">
        <f>100-4.62</f>
        <v>95.38</v>
      </c>
      <c r="G140" s="10">
        <f>AVERAGE(F140:F144)</f>
        <v>79.31219999999999</v>
      </c>
      <c r="H140" s="10">
        <f>STDEV(F140:F144)/SQRT(COUNT(F140:F144))</f>
        <v>6.8362386470924497</v>
      </c>
    </row>
    <row r="141" spans="1:8" x14ac:dyDescent="0.3">
      <c r="A141" s="19">
        <v>-5</v>
      </c>
      <c r="B141" s="1">
        <v>45373</v>
      </c>
      <c r="C141">
        <v>195.8</v>
      </c>
      <c r="F141">
        <v>75</v>
      </c>
    </row>
    <row r="142" spans="1:8" x14ac:dyDescent="0.3">
      <c r="A142" s="19">
        <v>-5</v>
      </c>
      <c r="B142" s="1">
        <v>45373</v>
      </c>
      <c r="C142">
        <v>154.80000000000001</v>
      </c>
      <c r="E142" s="8">
        <f>E140/D140</f>
        <v>0.22306618627202046</v>
      </c>
      <c r="F142">
        <f>100-23.42</f>
        <v>76.58</v>
      </c>
    </row>
    <row r="143" spans="1:8" x14ac:dyDescent="0.3">
      <c r="A143" s="13">
        <v>-5</v>
      </c>
      <c r="B143" s="1">
        <v>45380</v>
      </c>
      <c r="C143">
        <v>39.25</v>
      </c>
      <c r="F143">
        <f>100-42.66</f>
        <v>57.34</v>
      </c>
    </row>
    <row r="144" spans="1:8" x14ac:dyDescent="0.3">
      <c r="A144" s="19">
        <v>-5</v>
      </c>
      <c r="B144" s="1">
        <v>45380</v>
      </c>
      <c r="C144">
        <v>262.5</v>
      </c>
      <c r="F144">
        <f>100-7.739</f>
        <v>92.260999999999996</v>
      </c>
    </row>
    <row r="145" spans="1:1" x14ac:dyDescent="0.3">
      <c r="A145" t="s">
        <v>104</v>
      </c>
    </row>
    <row r="146" spans="1:1" x14ac:dyDescent="0.3">
      <c r="A146" s="9" t="s">
        <v>46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53"/>
  <sheetViews>
    <sheetView topLeftCell="A3" zoomScaleNormal="100" workbookViewId="0">
      <selection activeCell="I15" sqref="I15"/>
    </sheetView>
  </sheetViews>
  <sheetFormatPr defaultColWidth="8.88671875" defaultRowHeight="14.4" x14ac:dyDescent="0.3"/>
  <cols>
    <col min="1" max="1" width="10.109375" style="13" customWidth="1"/>
    <col min="2" max="2" width="14.6640625" customWidth="1"/>
    <col min="3" max="3" width="10.6640625" bestFit="1" customWidth="1"/>
    <col min="6" max="6" width="10.6640625" bestFit="1" customWidth="1"/>
    <col min="10" max="10" width="9.6640625" bestFit="1" customWidth="1"/>
  </cols>
  <sheetData>
    <row r="1" spans="1:10" x14ac:dyDescent="0.3">
      <c r="A1" s="13" t="s">
        <v>5</v>
      </c>
      <c r="E1" t="s">
        <v>21</v>
      </c>
      <c r="F1" s="13" t="s">
        <v>78</v>
      </c>
      <c r="H1" s="9" t="s">
        <v>116</v>
      </c>
    </row>
    <row r="2" spans="1:10" x14ac:dyDescent="0.3">
      <c r="A2" s="13" t="s">
        <v>42</v>
      </c>
    </row>
    <row r="3" spans="1:10" ht="18" x14ac:dyDescent="0.35">
      <c r="A3" s="17" t="s">
        <v>18</v>
      </c>
    </row>
    <row r="5" spans="1:10" x14ac:dyDescent="0.3">
      <c r="A5" s="18" t="s">
        <v>11</v>
      </c>
      <c r="B5" s="4" t="s">
        <v>8</v>
      </c>
      <c r="C5" s="4" t="s">
        <v>0</v>
      </c>
      <c r="D5" s="4" t="s">
        <v>1</v>
      </c>
      <c r="E5" s="4" t="s">
        <v>2</v>
      </c>
      <c r="F5" s="4" t="s">
        <v>3</v>
      </c>
      <c r="G5" s="4" t="s">
        <v>1</v>
      </c>
      <c r="H5" s="5" t="s">
        <v>2</v>
      </c>
      <c r="J5" s="2"/>
    </row>
    <row r="6" spans="1:10" x14ac:dyDescent="0.3">
      <c r="A6" s="19" t="s">
        <v>13</v>
      </c>
      <c r="B6" s="1">
        <v>45359</v>
      </c>
      <c r="C6">
        <v>2.2450000000000001</v>
      </c>
      <c r="D6" s="6">
        <f>AVERAGE(C6:C29)</f>
        <v>2.7269999999999999</v>
      </c>
      <c r="E6" s="6">
        <f>STDEV(C6:C29)/SQRT(COUNT(C6:C29))</f>
        <v>0.26599189926798611</v>
      </c>
      <c r="F6">
        <v>103.6</v>
      </c>
      <c r="G6" s="6">
        <f>AVERAGE(F6:F29)</f>
        <v>100.6057142857143</v>
      </c>
      <c r="H6" s="6">
        <f>STDEV(F6:F29)/SQRT(COUNT(F6:F29))</f>
        <v>0.81296856713926069</v>
      </c>
      <c r="J6" s="2"/>
    </row>
    <row r="7" spans="1:10" x14ac:dyDescent="0.3">
      <c r="A7" s="19"/>
      <c r="B7" s="1">
        <v>45359</v>
      </c>
      <c r="C7">
        <v>3.8039999999999998</v>
      </c>
      <c r="D7" s="6"/>
      <c r="F7">
        <v>105.1</v>
      </c>
      <c r="G7" s="6"/>
      <c r="J7" s="2"/>
    </row>
    <row r="8" spans="1:10" x14ac:dyDescent="0.3">
      <c r="B8" s="1">
        <v>45359</v>
      </c>
      <c r="C8">
        <v>2.1030000000000002</v>
      </c>
      <c r="D8" s="6"/>
      <c r="E8" s="8">
        <f>E6/D6</f>
        <v>9.7540117076635902E-2</v>
      </c>
      <c r="F8">
        <v>98.84</v>
      </c>
      <c r="G8" s="6"/>
    </row>
    <row r="9" spans="1:10" x14ac:dyDescent="0.3">
      <c r="A9" s="19"/>
      <c r="B9" s="1">
        <v>45359</v>
      </c>
      <c r="C9">
        <v>3.7570000000000001</v>
      </c>
      <c r="D9" s="6"/>
      <c r="F9">
        <v>103.4</v>
      </c>
      <c r="G9" s="6"/>
    </row>
    <row r="10" spans="1:10" x14ac:dyDescent="0.3">
      <c r="A10" s="19"/>
      <c r="B10" s="1">
        <v>45366</v>
      </c>
      <c r="C10">
        <v>4.0679999999999996</v>
      </c>
      <c r="D10" s="6"/>
      <c r="F10">
        <v>99.07</v>
      </c>
      <c r="G10" s="6"/>
    </row>
    <row r="11" spans="1:10" x14ac:dyDescent="0.3">
      <c r="A11" s="19"/>
      <c r="B11" s="1">
        <v>45366</v>
      </c>
      <c r="C11">
        <v>2.6669999999999998</v>
      </c>
      <c r="D11" s="6"/>
      <c r="F11">
        <v>110</v>
      </c>
      <c r="G11" s="6"/>
    </row>
    <row r="12" spans="1:10" x14ac:dyDescent="0.3">
      <c r="A12" s="19"/>
      <c r="B12" s="1">
        <v>45366</v>
      </c>
      <c r="C12">
        <v>6.0460000000000003</v>
      </c>
      <c r="D12" s="6"/>
      <c r="F12">
        <v>104.2</v>
      </c>
      <c r="G12" s="6"/>
    </row>
    <row r="13" spans="1:10" x14ac:dyDescent="0.3">
      <c r="A13" s="19"/>
      <c r="B13" s="1">
        <v>45366</v>
      </c>
      <c r="C13">
        <v>1.3620000000000001</v>
      </c>
      <c r="D13" s="6"/>
      <c r="F13">
        <v>97.51</v>
      </c>
      <c r="G13" s="6"/>
    </row>
    <row r="14" spans="1:10" x14ac:dyDescent="0.3">
      <c r="A14" s="19"/>
      <c r="B14" s="1">
        <v>45366</v>
      </c>
      <c r="C14">
        <v>4.0359999999999996</v>
      </c>
      <c r="D14" s="6"/>
      <c r="F14">
        <v>101.9</v>
      </c>
      <c r="G14" s="6"/>
    </row>
    <row r="15" spans="1:10" x14ac:dyDescent="0.3">
      <c r="A15" s="19"/>
      <c r="B15" s="1">
        <v>45373</v>
      </c>
      <c r="C15">
        <v>3.3620000000000001</v>
      </c>
      <c r="D15" s="6"/>
      <c r="F15">
        <v>99.09</v>
      </c>
      <c r="G15" s="6"/>
    </row>
    <row r="16" spans="1:10" x14ac:dyDescent="0.3">
      <c r="A16" s="19"/>
      <c r="B16" s="1">
        <v>45373</v>
      </c>
      <c r="C16">
        <v>2.1840000000000002</v>
      </c>
      <c r="D16" s="6"/>
      <c r="F16">
        <v>100.8</v>
      </c>
      <c r="G16" s="6"/>
    </row>
    <row r="17" spans="1:8" x14ac:dyDescent="0.3">
      <c r="A17" s="19"/>
      <c r="B17" s="1">
        <v>45373</v>
      </c>
      <c r="C17">
        <v>1.994</v>
      </c>
      <c r="D17" s="6"/>
      <c r="F17">
        <v>98.63</v>
      </c>
      <c r="G17" s="6"/>
    </row>
    <row r="18" spans="1:8" x14ac:dyDescent="0.3">
      <c r="A18" s="19"/>
      <c r="B18" s="1">
        <v>45373</v>
      </c>
      <c r="C18">
        <v>3.359</v>
      </c>
      <c r="D18" s="6"/>
      <c r="F18">
        <v>102.1</v>
      </c>
      <c r="G18" s="6"/>
    </row>
    <row r="19" spans="1:8" x14ac:dyDescent="0.3">
      <c r="A19" s="19"/>
      <c r="B19" s="1">
        <v>45373</v>
      </c>
      <c r="C19">
        <v>3.5009999999999999</v>
      </c>
      <c r="D19" s="6"/>
      <c r="F19">
        <v>102.2</v>
      </c>
      <c r="G19" s="6"/>
    </row>
    <row r="20" spans="1:8" x14ac:dyDescent="0.3">
      <c r="A20" s="19"/>
      <c r="B20" s="1">
        <v>45373</v>
      </c>
      <c r="C20">
        <v>3.214</v>
      </c>
      <c r="D20" s="6"/>
      <c r="F20">
        <v>100.2</v>
      </c>
      <c r="G20" s="6"/>
    </row>
    <row r="21" spans="1:8" x14ac:dyDescent="0.3">
      <c r="A21" s="19"/>
      <c r="B21" s="1">
        <v>45380</v>
      </c>
      <c r="C21">
        <v>1.9530000000000001</v>
      </c>
      <c r="D21" s="6"/>
      <c r="F21">
        <v>99.91</v>
      </c>
      <c r="G21" s="6"/>
    </row>
    <row r="22" spans="1:8" x14ac:dyDescent="0.3">
      <c r="A22" s="19"/>
      <c r="B22" s="1">
        <v>45380</v>
      </c>
      <c r="C22">
        <v>1.53</v>
      </c>
      <c r="D22" s="6"/>
      <c r="F22">
        <v>98.07</v>
      </c>
      <c r="G22" s="6"/>
    </row>
    <row r="23" spans="1:8" x14ac:dyDescent="0.3">
      <c r="A23" s="19"/>
      <c r="B23" s="1">
        <v>45380</v>
      </c>
      <c r="C23">
        <v>1.373</v>
      </c>
      <c r="D23" s="6"/>
      <c r="F23">
        <v>90.71</v>
      </c>
      <c r="G23" s="6"/>
    </row>
    <row r="24" spans="1:8" x14ac:dyDescent="0.3">
      <c r="A24" s="19"/>
      <c r="B24" s="1">
        <v>45380</v>
      </c>
      <c r="C24">
        <v>1.3029999999999999</v>
      </c>
      <c r="D24" s="6"/>
      <c r="F24">
        <v>99.45</v>
      </c>
      <c r="G24" s="6"/>
    </row>
    <row r="25" spans="1:8" x14ac:dyDescent="0.3">
      <c r="A25" s="19"/>
      <c r="B25" s="1">
        <v>45387</v>
      </c>
      <c r="C25">
        <v>1.7969999999999999</v>
      </c>
      <c r="D25" s="6"/>
      <c r="F25">
        <v>98.93</v>
      </c>
      <c r="G25" s="6"/>
    </row>
    <row r="26" spans="1:8" x14ac:dyDescent="0.3">
      <c r="A26" s="19"/>
      <c r="B26" s="1">
        <v>45387</v>
      </c>
      <c r="C26">
        <v>1.609</v>
      </c>
      <c r="D26" s="6"/>
      <c r="F26">
        <v>99.01</v>
      </c>
      <c r="G26" s="6"/>
    </row>
    <row r="27" spans="1:8" x14ac:dyDescent="0.3">
      <c r="A27" s="19" t="s">
        <v>112</v>
      </c>
      <c r="B27" s="1"/>
      <c r="D27" s="6"/>
      <c r="G27" s="6"/>
    </row>
    <row r="28" spans="1:8" x14ac:dyDescent="0.3">
      <c r="A28" s="19" t="s">
        <v>46</v>
      </c>
      <c r="B28" s="1"/>
      <c r="D28" s="6"/>
      <c r="G28" s="6"/>
    </row>
    <row r="29" spans="1:8" x14ac:dyDescent="0.3">
      <c r="A29" s="19"/>
      <c r="B29" s="1"/>
      <c r="D29" s="6"/>
      <c r="G29" s="6"/>
    </row>
    <row r="30" spans="1:8" x14ac:dyDescent="0.3">
      <c r="A30" s="18" t="s">
        <v>11</v>
      </c>
      <c r="B30" s="4" t="s">
        <v>8</v>
      </c>
      <c r="C30" s="4" t="s">
        <v>0</v>
      </c>
      <c r="D30" s="4" t="s">
        <v>1</v>
      </c>
      <c r="E30" s="4" t="s">
        <v>2</v>
      </c>
      <c r="F30" s="4" t="s">
        <v>3</v>
      </c>
      <c r="G30" s="4" t="s">
        <v>1</v>
      </c>
      <c r="H30" s="5" t="s">
        <v>2</v>
      </c>
    </row>
    <row r="31" spans="1:8" x14ac:dyDescent="0.3">
      <c r="A31" s="19" t="s">
        <v>14</v>
      </c>
      <c r="B31" s="1">
        <v>45359</v>
      </c>
      <c r="C31">
        <v>0.92889999999999995</v>
      </c>
      <c r="D31" s="6">
        <f>AVERAGE(C31:C41)</f>
        <v>1.8442375</v>
      </c>
      <c r="E31" s="6">
        <f>STDEV(C31:C41)/SQRT(COUNT(C31:C41))</f>
        <v>0.61913492757968935</v>
      </c>
      <c r="F31">
        <v>85.56</v>
      </c>
      <c r="G31" s="6">
        <f>AVERAGE(F31:F41)</f>
        <v>101.47</v>
      </c>
      <c r="H31" s="6">
        <f>STDEV(F31:F41)/SQRT(COUNT(F31:F41))</f>
        <v>4.1307890114532668</v>
      </c>
    </row>
    <row r="32" spans="1:8" x14ac:dyDescent="0.3">
      <c r="A32" s="19"/>
      <c r="B32" s="1">
        <v>45359</v>
      </c>
      <c r="C32">
        <v>1.036</v>
      </c>
      <c r="F32">
        <v>110</v>
      </c>
    </row>
    <row r="33" spans="1:9" x14ac:dyDescent="0.3">
      <c r="A33" s="19"/>
      <c r="B33" s="1">
        <v>45366</v>
      </c>
      <c r="C33">
        <v>1.538</v>
      </c>
      <c r="E33" s="8">
        <f>E31/D31</f>
        <v>0.33571322976552065</v>
      </c>
      <c r="F33">
        <v>86.55</v>
      </c>
    </row>
    <row r="34" spans="1:9" x14ac:dyDescent="0.3">
      <c r="A34" s="19"/>
      <c r="B34" s="1">
        <v>45366</v>
      </c>
      <c r="C34">
        <v>1.087</v>
      </c>
      <c r="F34">
        <v>110</v>
      </c>
    </row>
    <row r="35" spans="1:9" x14ac:dyDescent="0.3">
      <c r="A35" s="19"/>
      <c r="B35" s="1">
        <v>45373</v>
      </c>
      <c r="C35">
        <v>2.2480000000000002</v>
      </c>
      <c r="F35">
        <v>110</v>
      </c>
    </row>
    <row r="36" spans="1:9" x14ac:dyDescent="0.3">
      <c r="A36" s="19"/>
      <c r="B36" s="1">
        <v>45373</v>
      </c>
      <c r="C36">
        <v>6.03</v>
      </c>
      <c r="F36">
        <v>90.25</v>
      </c>
    </row>
    <row r="37" spans="1:9" x14ac:dyDescent="0.3">
      <c r="A37" s="19"/>
      <c r="B37" s="1">
        <v>45380</v>
      </c>
      <c r="C37">
        <v>0.94240000000000002</v>
      </c>
      <c r="F37">
        <v>109.4</v>
      </c>
    </row>
    <row r="38" spans="1:9" x14ac:dyDescent="0.3">
      <c r="A38" s="19"/>
      <c r="B38" s="1">
        <v>45380</v>
      </c>
      <c r="C38">
        <v>0.94359999999999999</v>
      </c>
      <c r="F38">
        <v>110</v>
      </c>
    </row>
    <row r="39" spans="1:9" x14ac:dyDescent="0.3">
      <c r="A39" s="19" t="s">
        <v>111</v>
      </c>
      <c r="B39" s="1"/>
    </row>
    <row r="40" spans="1:9" x14ac:dyDescent="0.3">
      <c r="A40" s="19" t="s">
        <v>46</v>
      </c>
      <c r="B40" s="1"/>
    </row>
    <row r="41" spans="1:9" x14ac:dyDescent="0.3">
      <c r="A41" s="19"/>
      <c r="B41" s="1"/>
      <c r="C41" s="2"/>
    </row>
    <row r="42" spans="1:9" x14ac:dyDescent="0.3">
      <c r="A42" s="18" t="s">
        <v>11</v>
      </c>
      <c r="B42" s="4" t="s">
        <v>8</v>
      </c>
      <c r="C42" s="4" t="s">
        <v>0</v>
      </c>
      <c r="D42" s="4" t="s">
        <v>1</v>
      </c>
      <c r="E42" s="4" t="s">
        <v>2</v>
      </c>
      <c r="F42" s="4" t="s">
        <v>3</v>
      </c>
      <c r="G42" s="4" t="s">
        <v>1</v>
      </c>
      <c r="H42" s="5" t="s">
        <v>2</v>
      </c>
    </row>
    <row r="43" spans="1:9" x14ac:dyDescent="0.3">
      <c r="A43" s="19" t="s">
        <v>36</v>
      </c>
      <c r="B43" s="1">
        <v>45359</v>
      </c>
      <c r="C43" s="21" t="s">
        <v>43</v>
      </c>
      <c r="D43" s="10">
        <f>AVERAGE(C43:C52)</f>
        <v>0.76541999999999999</v>
      </c>
      <c r="E43" s="10">
        <f>STDEV(C43:C52)/SQRT(COUNT(C43:C52))</f>
        <v>0.2626401976088199</v>
      </c>
      <c r="F43" s="21" t="s">
        <v>59</v>
      </c>
      <c r="G43" s="6">
        <f>AVERAGE(F43:F52)</f>
        <v>27.494</v>
      </c>
      <c r="H43" s="6">
        <f>STDEV(F43:F52)/SQRT(COUNT(F43:F52))</f>
        <v>2.3469482312143155</v>
      </c>
      <c r="I43" s="21" t="s">
        <v>45</v>
      </c>
    </row>
    <row r="44" spans="1:9" x14ac:dyDescent="0.3">
      <c r="A44" s="19">
        <v>-6</v>
      </c>
      <c r="B44" s="1">
        <v>45366</v>
      </c>
      <c r="C44" s="21" t="s">
        <v>62</v>
      </c>
      <c r="D44" s="6"/>
      <c r="F44" s="21" t="s">
        <v>63</v>
      </c>
      <c r="G44" s="6"/>
      <c r="I44" s="21" t="s">
        <v>25</v>
      </c>
    </row>
    <row r="45" spans="1:9" x14ac:dyDescent="0.3">
      <c r="A45" s="19">
        <v>-7</v>
      </c>
      <c r="B45" s="1">
        <v>45366</v>
      </c>
      <c r="C45">
        <v>0.1565</v>
      </c>
      <c r="D45" s="6"/>
      <c r="E45" s="8">
        <f>E43/D43</f>
        <v>0.34313213348072941</v>
      </c>
      <c r="F45">
        <v>20.09</v>
      </c>
      <c r="G45" s="6"/>
    </row>
    <row r="46" spans="1:9" x14ac:dyDescent="0.3">
      <c r="A46" s="19">
        <v>-6</v>
      </c>
      <c r="B46" s="1">
        <v>45373</v>
      </c>
      <c r="C46">
        <v>1.4930000000000001</v>
      </c>
      <c r="D46" s="6"/>
      <c r="F46">
        <v>29</v>
      </c>
      <c r="G46" s="6"/>
    </row>
    <row r="47" spans="1:9" x14ac:dyDescent="0.3">
      <c r="A47" s="19">
        <v>-6</v>
      </c>
      <c r="B47" s="1">
        <v>45373</v>
      </c>
      <c r="C47">
        <v>1.2709999999999999</v>
      </c>
      <c r="D47" s="6"/>
      <c r="F47">
        <v>26.37</v>
      </c>
      <c r="G47" s="6"/>
    </row>
    <row r="48" spans="1:9" x14ac:dyDescent="0.3">
      <c r="A48" s="19">
        <v>-6</v>
      </c>
      <c r="B48" s="1">
        <v>45380</v>
      </c>
      <c r="C48">
        <v>0.57369999999999999</v>
      </c>
      <c r="D48" s="6"/>
      <c r="F48">
        <v>34.69</v>
      </c>
      <c r="G48" s="6"/>
    </row>
    <row r="49" spans="1:9" x14ac:dyDescent="0.3">
      <c r="A49" s="19">
        <v>-6</v>
      </c>
      <c r="B49" s="1">
        <v>45380</v>
      </c>
      <c r="C49">
        <v>0.33289999999999997</v>
      </c>
      <c r="D49" s="6"/>
      <c r="F49">
        <v>27.32</v>
      </c>
      <c r="G49" s="6"/>
    </row>
    <row r="50" spans="1:9" x14ac:dyDescent="0.3">
      <c r="A50" s="19" t="s">
        <v>104</v>
      </c>
      <c r="B50" s="1"/>
      <c r="D50" s="6"/>
      <c r="G50" s="6"/>
    </row>
    <row r="51" spans="1:9" x14ac:dyDescent="0.3">
      <c r="A51" s="19" t="s">
        <v>46</v>
      </c>
      <c r="B51" s="1"/>
      <c r="D51" s="6"/>
      <c r="G51" s="6"/>
    </row>
    <row r="52" spans="1:9" x14ac:dyDescent="0.3">
      <c r="A52" s="19"/>
      <c r="B52" s="1"/>
      <c r="D52" s="6"/>
      <c r="G52" s="6"/>
    </row>
    <row r="53" spans="1:9" x14ac:dyDescent="0.3">
      <c r="A53" s="18" t="s">
        <v>11</v>
      </c>
      <c r="B53" s="4" t="s">
        <v>8</v>
      </c>
      <c r="C53" s="4" t="s">
        <v>0</v>
      </c>
      <c r="D53" s="4" t="s">
        <v>1</v>
      </c>
      <c r="E53" s="4" t="s">
        <v>2</v>
      </c>
      <c r="F53" s="4" t="s">
        <v>3</v>
      </c>
      <c r="G53" s="4" t="s">
        <v>1</v>
      </c>
      <c r="H53" s="5" t="s">
        <v>2</v>
      </c>
    </row>
    <row r="54" spans="1:9" x14ac:dyDescent="0.3">
      <c r="A54" s="19" t="s">
        <v>27</v>
      </c>
      <c r="B54" s="1">
        <v>45359</v>
      </c>
      <c r="C54" s="21" t="s">
        <v>53</v>
      </c>
      <c r="D54" s="10">
        <f>AVERAGE(C54:C66)</f>
        <v>1.2738533333333331</v>
      </c>
      <c r="E54" s="10">
        <f>STDEV(C54:C66)/SQRT(COUNT(C54:C66))</f>
        <v>0.39158205470458785</v>
      </c>
      <c r="F54" s="21" t="s">
        <v>60</v>
      </c>
      <c r="G54" s="6">
        <f>AVERAGE(F54:F66)</f>
        <v>30.763333333333328</v>
      </c>
      <c r="H54" s="6">
        <f>STDEV(F54:F66)/SQRT(COUNT(F54:F66))</f>
        <v>3.5265835686492206</v>
      </c>
      <c r="I54" s="21" t="s">
        <v>45</v>
      </c>
    </row>
    <row r="55" spans="1:9" x14ac:dyDescent="0.3">
      <c r="A55" s="19">
        <v>-6</v>
      </c>
      <c r="B55" s="1">
        <v>45366</v>
      </c>
      <c r="C55">
        <v>0.44840000000000002</v>
      </c>
      <c r="F55">
        <v>41.64</v>
      </c>
    </row>
    <row r="56" spans="1:9" x14ac:dyDescent="0.3">
      <c r="A56" s="19">
        <v>-7</v>
      </c>
      <c r="B56" s="1">
        <v>45366</v>
      </c>
      <c r="C56">
        <v>4.0379999999999999E-2</v>
      </c>
      <c r="E56" s="8">
        <f>E54/D54</f>
        <v>0.30739963892069305</v>
      </c>
      <c r="F56">
        <v>33.46</v>
      </c>
    </row>
    <row r="57" spans="1:9" x14ac:dyDescent="0.3">
      <c r="A57" s="19">
        <v>-6</v>
      </c>
      <c r="B57" s="1">
        <v>45373</v>
      </c>
      <c r="C57">
        <v>2.9820000000000002</v>
      </c>
      <c r="F57">
        <v>20.02</v>
      </c>
    </row>
    <row r="58" spans="1:9" x14ac:dyDescent="0.3">
      <c r="A58" s="19">
        <v>-6</v>
      </c>
      <c r="B58" s="1">
        <v>45373</v>
      </c>
      <c r="C58">
        <v>3.0190000000000001</v>
      </c>
      <c r="F58">
        <v>18.72</v>
      </c>
    </row>
    <row r="59" spans="1:9" x14ac:dyDescent="0.3">
      <c r="A59" s="19">
        <v>-6</v>
      </c>
      <c r="B59" s="1">
        <v>45380</v>
      </c>
      <c r="C59">
        <v>2.3490000000000002</v>
      </c>
      <c r="F59">
        <v>28.65</v>
      </c>
    </row>
    <row r="60" spans="1:9" x14ac:dyDescent="0.3">
      <c r="A60" s="19">
        <v>-6</v>
      </c>
      <c r="B60" s="1">
        <v>45380</v>
      </c>
      <c r="C60">
        <v>0.40739999999999998</v>
      </c>
      <c r="F60">
        <v>50.3</v>
      </c>
    </row>
    <row r="61" spans="1:9" x14ac:dyDescent="0.3">
      <c r="A61" s="19">
        <v>-6</v>
      </c>
      <c r="B61" s="1">
        <v>45387</v>
      </c>
      <c r="C61">
        <v>0.94359999999999999</v>
      </c>
      <c r="F61">
        <v>34.979999999999997</v>
      </c>
    </row>
    <row r="62" spans="1:9" x14ac:dyDescent="0.3">
      <c r="A62" s="19">
        <v>-6</v>
      </c>
      <c r="B62" s="1">
        <v>45387</v>
      </c>
      <c r="C62">
        <v>0.79290000000000005</v>
      </c>
      <c r="F62">
        <v>28.31</v>
      </c>
    </row>
    <row r="63" spans="1:9" x14ac:dyDescent="0.3">
      <c r="A63" s="19">
        <v>-6</v>
      </c>
      <c r="B63" s="1">
        <v>45387</v>
      </c>
      <c r="C63">
        <v>0.48199999999999998</v>
      </c>
      <c r="F63">
        <v>20.79</v>
      </c>
    </row>
    <row r="64" spans="1:9" x14ac:dyDescent="0.3">
      <c r="A64" s="19" t="s">
        <v>106</v>
      </c>
      <c r="B64" s="1"/>
    </row>
    <row r="65" spans="1:9" x14ac:dyDescent="0.3">
      <c r="A65" s="19" t="s">
        <v>46</v>
      </c>
      <c r="B65" s="1"/>
    </row>
    <row r="66" spans="1:9" x14ac:dyDescent="0.3">
      <c r="A66" s="19"/>
      <c r="B66" s="1"/>
      <c r="C66" s="2"/>
    </row>
    <row r="67" spans="1:9" x14ac:dyDescent="0.3">
      <c r="A67" s="18" t="s">
        <v>11</v>
      </c>
      <c r="B67" s="4" t="s">
        <v>8</v>
      </c>
      <c r="C67" s="4" t="s">
        <v>0</v>
      </c>
      <c r="D67" s="4" t="s">
        <v>1</v>
      </c>
      <c r="E67" s="4" t="s">
        <v>2</v>
      </c>
      <c r="F67" s="4" t="s">
        <v>3</v>
      </c>
      <c r="G67" s="4" t="s">
        <v>1</v>
      </c>
      <c r="H67" s="5" t="s">
        <v>2</v>
      </c>
    </row>
    <row r="68" spans="1:9" x14ac:dyDescent="0.3">
      <c r="A68" s="19" t="s">
        <v>28</v>
      </c>
      <c r="B68" s="1">
        <v>45359</v>
      </c>
      <c r="C68" s="21" t="s">
        <v>52</v>
      </c>
      <c r="D68" s="7">
        <f>AVERAGE(C68:C75)</f>
        <v>4.0903333333333336</v>
      </c>
      <c r="E68" s="7">
        <f>STDEV(C68:C75)/SQRT(COUNT(C68:C75))</f>
        <v>1.2141999194714372</v>
      </c>
      <c r="F68" s="21" t="s">
        <v>61</v>
      </c>
      <c r="G68" s="6">
        <f>AVERAGE(F68:F75)</f>
        <v>28.913333333333338</v>
      </c>
      <c r="H68" s="6">
        <f>STDEV(F68:F75)/SQRT(COUNT(F68:F75))</f>
        <v>3.2340497488099529</v>
      </c>
      <c r="I68" s="21" t="s">
        <v>45</v>
      </c>
    </row>
    <row r="69" spans="1:9" x14ac:dyDescent="0.3">
      <c r="A69" s="19">
        <v>-6</v>
      </c>
      <c r="B69" s="1">
        <v>45366</v>
      </c>
      <c r="C69">
        <v>4.2960000000000003</v>
      </c>
      <c r="D69" s="6"/>
      <c r="F69">
        <v>29.48</v>
      </c>
      <c r="G69" s="6"/>
    </row>
    <row r="70" spans="1:9" x14ac:dyDescent="0.3">
      <c r="A70" s="19">
        <v>-6</v>
      </c>
      <c r="B70" s="1">
        <v>45373</v>
      </c>
      <c r="C70">
        <v>1.8919999999999999</v>
      </c>
      <c r="D70" s="6"/>
      <c r="E70" s="8">
        <f>E68/D68</f>
        <v>0.29684620311419702</v>
      </c>
      <c r="F70">
        <v>23.05</v>
      </c>
      <c r="G70" s="6"/>
    </row>
    <row r="71" spans="1:9" x14ac:dyDescent="0.3">
      <c r="A71" s="19">
        <v>-6</v>
      </c>
      <c r="B71" s="1">
        <v>45373</v>
      </c>
      <c r="C71">
        <v>6.0830000000000002</v>
      </c>
      <c r="D71" s="6"/>
      <c r="F71">
        <v>34.21</v>
      </c>
      <c r="G71" s="6"/>
    </row>
    <row r="72" spans="1:9" x14ac:dyDescent="0.3">
      <c r="A72" s="19" t="s">
        <v>103</v>
      </c>
      <c r="B72" s="1"/>
      <c r="D72" s="6"/>
      <c r="G72" s="6"/>
    </row>
    <row r="73" spans="1:9" x14ac:dyDescent="0.3">
      <c r="A73" s="19" t="s">
        <v>46</v>
      </c>
      <c r="B73" s="1"/>
      <c r="G73" s="6"/>
    </row>
    <row r="74" spans="1:9" x14ac:dyDescent="0.3">
      <c r="A74" s="19"/>
      <c r="B74" s="1"/>
      <c r="D74" s="6"/>
      <c r="G74" s="6"/>
    </row>
    <row r="75" spans="1:9" x14ac:dyDescent="0.3">
      <c r="A75" s="19"/>
      <c r="B75" s="1"/>
      <c r="D75" s="6"/>
      <c r="G75" s="6"/>
    </row>
    <row r="76" spans="1:9" x14ac:dyDescent="0.3">
      <c r="A76" s="18" t="s">
        <v>11</v>
      </c>
      <c r="B76" s="4" t="s">
        <v>8</v>
      </c>
      <c r="C76" s="4" t="s">
        <v>0</v>
      </c>
      <c r="D76" s="4" t="s">
        <v>1</v>
      </c>
      <c r="E76" s="4" t="s">
        <v>2</v>
      </c>
      <c r="F76" s="4" t="s">
        <v>3</v>
      </c>
      <c r="G76" s="4" t="s">
        <v>1</v>
      </c>
      <c r="H76" s="5" t="s">
        <v>2</v>
      </c>
    </row>
    <row r="77" spans="1:9" x14ac:dyDescent="0.3">
      <c r="A77" s="19" t="s">
        <v>29</v>
      </c>
      <c r="B77" s="1">
        <v>45359</v>
      </c>
      <c r="C77" t="s">
        <v>24</v>
      </c>
      <c r="D77" s="10">
        <f>AVERAGE(C77:C87)</f>
        <v>290.89999999999998</v>
      </c>
      <c r="E77" s="10" t="e">
        <f>STDEV(C77:C87)/SQRT(COUNT(C77:C87))</f>
        <v>#DIV/0!</v>
      </c>
      <c r="F77">
        <v>0.86499999999999999</v>
      </c>
      <c r="G77" s="6">
        <f>AVERAGE(F77:F87)</f>
        <v>3.2465000000000002</v>
      </c>
      <c r="H77" s="6">
        <f>STDEV(F77:F87)/SQRT(COUNT(F77:F87))</f>
        <v>2.3815</v>
      </c>
    </row>
    <row r="78" spans="1:9" x14ac:dyDescent="0.3">
      <c r="A78" s="19"/>
      <c r="B78" s="1">
        <v>45366</v>
      </c>
      <c r="C78">
        <v>290.89999999999998</v>
      </c>
      <c r="F78">
        <v>5.6280000000000001</v>
      </c>
    </row>
    <row r="79" spans="1:9" x14ac:dyDescent="0.3">
      <c r="A79" s="19"/>
      <c r="B79" s="1"/>
      <c r="E79" s="8" t="e">
        <f>E77/D77</f>
        <v>#DIV/0!</v>
      </c>
    </row>
    <row r="80" spans="1:9" x14ac:dyDescent="0.3">
      <c r="A80" s="19"/>
      <c r="B80" s="1"/>
    </row>
    <row r="81" spans="1:9" x14ac:dyDescent="0.3">
      <c r="A81" s="19" t="s">
        <v>108</v>
      </c>
      <c r="B81" s="1"/>
    </row>
    <row r="82" spans="1:9" x14ac:dyDescent="0.3">
      <c r="A82" s="19" t="s">
        <v>46</v>
      </c>
      <c r="B82" s="1"/>
    </row>
    <row r="83" spans="1:9" x14ac:dyDescent="0.3">
      <c r="A83" s="19"/>
      <c r="B83" s="1"/>
    </row>
    <row r="84" spans="1:9" x14ac:dyDescent="0.3">
      <c r="A84" s="19"/>
      <c r="B84" s="1"/>
    </row>
    <row r="85" spans="1:9" x14ac:dyDescent="0.3">
      <c r="A85" s="19"/>
      <c r="B85" s="1"/>
    </row>
    <row r="86" spans="1:9" x14ac:dyDescent="0.3">
      <c r="A86" s="19"/>
      <c r="B86" s="1"/>
    </row>
    <row r="87" spans="1:9" x14ac:dyDescent="0.3">
      <c r="A87" s="19"/>
      <c r="B87" s="1"/>
      <c r="C87" s="2"/>
    </row>
    <row r="88" spans="1:9" x14ac:dyDescent="0.3">
      <c r="A88" s="18" t="s">
        <v>11</v>
      </c>
      <c r="B88" s="4" t="s">
        <v>8</v>
      </c>
      <c r="C88" s="4" t="s">
        <v>0</v>
      </c>
      <c r="D88" s="4" t="s">
        <v>1</v>
      </c>
      <c r="E88" s="4" t="s">
        <v>2</v>
      </c>
      <c r="F88" s="4" t="s">
        <v>3</v>
      </c>
      <c r="G88" s="4" t="s">
        <v>1</v>
      </c>
      <c r="H88" s="5" t="s">
        <v>2</v>
      </c>
    </row>
    <row r="89" spans="1:9" x14ac:dyDescent="0.3">
      <c r="A89" s="19" t="s">
        <v>30</v>
      </c>
      <c r="B89" s="1">
        <v>45359</v>
      </c>
      <c r="C89" t="s">
        <v>24</v>
      </c>
      <c r="D89" s="10" t="e">
        <f>AVERAGE(C89:C98)</f>
        <v>#DIV/0!</v>
      </c>
      <c r="E89" s="10" t="e">
        <f>STDEV(C89:C98)/SQRT(COUNT(C89:C98))</f>
        <v>#DIV/0!</v>
      </c>
      <c r="F89">
        <v>3.819</v>
      </c>
      <c r="G89" s="6">
        <f>AVERAGE(F89:F98)</f>
        <v>3.819</v>
      </c>
      <c r="H89" s="6" t="e">
        <f>STDEV(F89:F98)/SQRT(COUNT(F89:F98))</f>
        <v>#DIV/0!</v>
      </c>
      <c r="I89" t="s">
        <v>44</v>
      </c>
    </row>
    <row r="90" spans="1:9" x14ac:dyDescent="0.3">
      <c r="A90" s="19"/>
      <c r="B90" s="1">
        <v>45366</v>
      </c>
      <c r="C90" t="s">
        <v>24</v>
      </c>
      <c r="D90" s="6"/>
      <c r="F90" t="s">
        <v>47</v>
      </c>
      <c r="G90" s="6"/>
    </row>
    <row r="91" spans="1:9" x14ac:dyDescent="0.3">
      <c r="A91" s="19"/>
      <c r="B91" s="1"/>
      <c r="D91" s="6"/>
      <c r="E91" s="8" t="e">
        <f>E89/D89</f>
        <v>#DIV/0!</v>
      </c>
      <c r="G91" s="6"/>
    </row>
    <row r="92" spans="1:9" x14ac:dyDescent="0.3">
      <c r="A92" s="19" t="s">
        <v>108</v>
      </c>
      <c r="B92" s="1"/>
      <c r="D92" s="6"/>
      <c r="G92" s="6"/>
    </row>
    <row r="93" spans="1:9" x14ac:dyDescent="0.3">
      <c r="A93" s="19" t="s">
        <v>46</v>
      </c>
      <c r="B93" s="1"/>
      <c r="D93" s="6"/>
      <c r="G93" s="6"/>
    </row>
    <row r="94" spans="1:9" x14ac:dyDescent="0.3">
      <c r="A94" s="19"/>
      <c r="B94" s="1"/>
      <c r="D94" s="6"/>
      <c r="G94" s="6"/>
    </row>
    <row r="95" spans="1:9" x14ac:dyDescent="0.3">
      <c r="A95" s="19"/>
      <c r="B95" s="1"/>
      <c r="D95" s="6"/>
      <c r="G95" s="6"/>
    </row>
    <row r="96" spans="1:9" x14ac:dyDescent="0.3">
      <c r="A96" s="19"/>
      <c r="B96" s="1"/>
      <c r="D96" s="6"/>
      <c r="G96" s="6"/>
    </row>
    <row r="97" spans="1:9" x14ac:dyDescent="0.3">
      <c r="A97" s="19"/>
      <c r="B97" s="1"/>
      <c r="D97" s="6"/>
      <c r="G97" s="6"/>
    </row>
    <row r="98" spans="1:9" x14ac:dyDescent="0.3">
      <c r="A98" s="19"/>
      <c r="B98" s="1"/>
      <c r="D98" s="6"/>
      <c r="G98" s="6"/>
    </row>
    <row r="99" spans="1:9" x14ac:dyDescent="0.3">
      <c r="A99" s="18" t="s">
        <v>11</v>
      </c>
      <c r="B99" s="4" t="s">
        <v>8</v>
      </c>
      <c r="C99" s="4" t="s">
        <v>0</v>
      </c>
      <c r="D99" s="4" t="s">
        <v>1</v>
      </c>
      <c r="E99" s="4" t="s">
        <v>2</v>
      </c>
      <c r="F99" s="4" t="s">
        <v>3</v>
      </c>
      <c r="G99" s="4" t="s">
        <v>1</v>
      </c>
      <c r="H99" s="5" t="s">
        <v>2</v>
      </c>
    </row>
    <row r="100" spans="1:9" x14ac:dyDescent="0.3">
      <c r="A100" s="19" t="s">
        <v>37</v>
      </c>
      <c r="B100" s="1">
        <v>45359</v>
      </c>
      <c r="C100">
        <v>0.63329999999999997</v>
      </c>
      <c r="D100" s="7">
        <f>AVERAGE(C100:C108)</f>
        <v>2.5902222222222222</v>
      </c>
      <c r="E100" s="7">
        <f>STDEV(C100:C108)/SQRT(COUNT(C100:C108))</f>
        <v>0.81237272247168002</v>
      </c>
      <c r="F100">
        <v>8.4329999999999998</v>
      </c>
      <c r="G100" s="6">
        <f>AVERAGE(F100:F108)</f>
        <v>34.129222222222218</v>
      </c>
      <c r="H100" s="6">
        <f>STDEV(F100:F108)/SQRT(COUNT(F100:F108))</f>
        <v>5.0387450261222417</v>
      </c>
    </row>
    <row r="101" spans="1:9" x14ac:dyDescent="0.3">
      <c r="A101" s="19">
        <v>-5</v>
      </c>
      <c r="B101" s="1">
        <v>45366</v>
      </c>
      <c r="C101">
        <v>1.458</v>
      </c>
      <c r="F101">
        <v>49.94</v>
      </c>
    </row>
    <row r="102" spans="1:9" x14ac:dyDescent="0.3">
      <c r="A102" s="19">
        <v>-6</v>
      </c>
      <c r="B102" s="1">
        <v>45373</v>
      </c>
      <c r="C102" s="26">
        <v>2.2429999999999999</v>
      </c>
      <c r="E102" s="8">
        <f>E100/D100</f>
        <v>0.3136305122788744</v>
      </c>
      <c r="F102" s="26">
        <v>20.91</v>
      </c>
      <c r="I102" s="21"/>
    </row>
    <row r="103" spans="1:9" x14ac:dyDescent="0.3">
      <c r="A103" s="19">
        <v>-6</v>
      </c>
      <c r="B103" s="1">
        <v>45373</v>
      </c>
      <c r="C103">
        <v>8.4019999999999992</v>
      </c>
      <c r="F103">
        <v>38.71</v>
      </c>
    </row>
    <row r="104" spans="1:9" x14ac:dyDescent="0.3">
      <c r="A104" s="19">
        <v>-6</v>
      </c>
      <c r="B104" s="1">
        <v>45380</v>
      </c>
      <c r="C104">
        <v>3.8140000000000001</v>
      </c>
      <c r="F104">
        <v>38.200000000000003</v>
      </c>
    </row>
    <row r="105" spans="1:9" x14ac:dyDescent="0.3">
      <c r="A105" s="19">
        <v>-6</v>
      </c>
      <c r="B105" s="1">
        <v>45380</v>
      </c>
      <c r="C105">
        <v>0.67530000000000001</v>
      </c>
      <c r="F105">
        <v>30.05</v>
      </c>
    </row>
    <row r="106" spans="1:9" x14ac:dyDescent="0.3">
      <c r="A106" s="19">
        <v>-6</v>
      </c>
      <c r="B106" s="1">
        <v>45387</v>
      </c>
      <c r="C106">
        <v>3.13</v>
      </c>
      <c r="F106">
        <v>58.95</v>
      </c>
    </row>
    <row r="107" spans="1:9" x14ac:dyDescent="0.3">
      <c r="A107" s="19">
        <v>-6</v>
      </c>
      <c r="B107" s="1">
        <v>45387</v>
      </c>
      <c r="C107">
        <v>2.016</v>
      </c>
      <c r="F107">
        <v>25.84</v>
      </c>
    </row>
    <row r="108" spans="1:9" x14ac:dyDescent="0.3">
      <c r="A108" s="19">
        <v>-6</v>
      </c>
      <c r="B108" s="1">
        <v>45387</v>
      </c>
      <c r="C108">
        <v>0.94040000000000001</v>
      </c>
      <c r="F108">
        <v>36.130000000000003</v>
      </c>
    </row>
    <row r="109" spans="1:9" x14ac:dyDescent="0.3">
      <c r="A109" s="19" t="s">
        <v>106</v>
      </c>
      <c r="B109" s="1"/>
    </row>
    <row r="110" spans="1:9" x14ac:dyDescent="0.3">
      <c r="A110" s="19" t="s">
        <v>46</v>
      </c>
      <c r="B110" s="1"/>
    </row>
    <row r="111" spans="1:9" x14ac:dyDescent="0.3">
      <c r="A111" s="19"/>
      <c r="B111" s="1"/>
    </row>
    <row r="112" spans="1:9" x14ac:dyDescent="0.3">
      <c r="A112" s="18" t="s">
        <v>11</v>
      </c>
      <c r="B112" s="4" t="s">
        <v>8</v>
      </c>
      <c r="C112" s="4" t="s">
        <v>0</v>
      </c>
      <c r="D112" s="4" t="s">
        <v>1</v>
      </c>
      <c r="E112" s="4" t="s">
        <v>2</v>
      </c>
      <c r="F112" s="4" t="s">
        <v>3</v>
      </c>
      <c r="G112" s="4" t="s">
        <v>1</v>
      </c>
      <c r="H112" s="5" t="s">
        <v>2</v>
      </c>
    </row>
    <row r="113" spans="1:8" x14ac:dyDescent="0.3">
      <c r="A113" s="19" t="s">
        <v>38</v>
      </c>
      <c r="B113" s="1">
        <v>45359</v>
      </c>
      <c r="C113">
        <v>0.98419999999999996</v>
      </c>
      <c r="D113" s="10">
        <f>AVERAGE(C113:C117)</f>
        <v>1.0096499999999999</v>
      </c>
      <c r="E113" s="10">
        <f>STDEV(C113:C117)/SQRT(COUNT(C113:C117))</f>
        <v>9.3231088341461557E-2</v>
      </c>
      <c r="F113">
        <v>19.7</v>
      </c>
      <c r="G113" s="6">
        <f>AVERAGE(F113:F117)</f>
        <v>19.675000000000001</v>
      </c>
      <c r="H113" s="6">
        <f>STDEV(F113:F117)/SQRT(COUNT(F113:F117))</f>
        <v>1.2635235125104165</v>
      </c>
    </row>
    <row r="114" spans="1:8" x14ac:dyDescent="0.3">
      <c r="A114" s="19">
        <v>-6</v>
      </c>
      <c r="B114" s="1">
        <v>45366</v>
      </c>
      <c r="C114">
        <v>0.84619999999999995</v>
      </c>
      <c r="F114">
        <v>16.920000000000002</v>
      </c>
    </row>
    <row r="115" spans="1:8" x14ac:dyDescent="0.3">
      <c r="A115" s="19">
        <v>-6</v>
      </c>
      <c r="B115" s="1">
        <v>45373</v>
      </c>
      <c r="C115" s="26">
        <v>1.276</v>
      </c>
      <c r="E115" s="8">
        <f>E113/D113</f>
        <v>9.2340007271293587E-2</v>
      </c>
      <c r="F115" s="26">
        <v>19.059999999999999</v>
      </c>
    </row>
    <row r="116" spans="1:8" x14ac:dyDescent="0.3">
      <c r="A116" s="19">
        <v>-6</v>
      </c>
      <c r="B116" s="1">
        <v>45373</v>
      </c>
      <c r="C116">
        <v>0.93220000000000003</v>
      </c>
      <c r="F116">
        <v>23.02</v>
      </c>
    </row>
    <row r="117" spans="1:8" x14ac:dyDescent="0.3">
      <c r="A117" s="19" t="s">
        <v>103</v>
      </c>
      <c r="B117" s="1"/>
    </row>
    <row r="118" spans="1:8" x14ac:dyDescent="0.3">
      <c r="A118" s="19" t="s">
        <v>46</v>
      </c>
      <c r="B118" s="1"/>
      <c r="C118" s="2"/>
    </row>
    <row r="119" spans="1:8" x14ac:dyDescent="0.3">
      <c r="A119" s="19"/>
    </row>
    <row r="120" spans="1:8" x14ac:dyDescent="0.3">
      <c r="A120" s="18" t="s">
        <v>11</v>
      </c>
      <c r="B120" s="4" t="s">
        <v>8</v>
      </c>
      <c r="C120" s="4" t="s">
        <v>0</v>
      </c>
      <c r="D120" s="4" t="s">
        <v>1</v>
      </c>
      <c r="E120" s="4" t="s">
        <v>2</v>
      </c>
      <c r="F120" s="4" t="s">
        <v>3</v>
      </c>
      <c r="G120" s="4" t="s">
        <v>1</v>
      </c>
      <c r="H120" s="5" t="s">
        <v>2</v>
      </c>
    </row>
    <row r="121" spans="1:8" x14ac:dyDescent="0.3">
      <c r="A121" s="19" t="s">
        <v>39</v>
      </c>
      <c r="B121" s="1">
        <v>45359</v>
      </c>
      <c r="C121">
        <v>3.7290000000000001</v>
      </c>
      <c r="D121" s="7">
        <f>AVERAGE(C121:C126)</f>
        <v>2.582216666666667</v>
      </c>
      <c r="E121" s="7">
        <f>STDEV(C121:C126)/SQRT(COUNT(C121:C126))</f>
        <v>0.54833421707122276</v>
      </c>
      <c r="F121">
        <v>20.37</v>
      </c>
      <c r="G121" s="6">
        <f>AVERAGE(F121:F126)</f>
        <v>37.910000000000004</v>
      </c>
      <c r="H121" s="6">
        <f>STDEV(F121:F126)/SQRT(COUNT(F121:F126))</f>
        <v>5.9180768272584432</v>
      </c>
    </row>
    <row r="122" spans="1:8" x14ac:dyDescent="0.3">
      <c r="A122" s="19">
        <v>-6</v>
      </c>
      <c r="B122" s="1">
        <v>45366</v>
      </c>
      <c r="C122">
        <v>0.79830000000000001</v>
      </c>
      <c r="F122">
        <v>59.38</v>
      </c>
    </row>
    <row r="123" spans="1:8" x14ac:dyDescent="0.3">
      <c r="A123" s="19">
        <v>-6</v>
      </c>
      <c r="B123" s="1">
        <v>45373</v>
      </c>
      <c r="C123" s="26">
        <v>4.4749999999999996</v>
      </c>
      <c r="E123" s="8">
        <f>E121/D121</f>
        <v>0.21235019669323746</v>
      </c>
      <c r="F123" s="26">
        <v>27.63</v>
      </c>
    </row>
    <row r="124" spans="1:8" x14ac:dyDescent="0.3">
      <c r="A124" s="19">
        <v>-6</v>
      </c>
      <c r="B124" s="1">
        <v>45373</v>
      </c>
      <c r="C124">
        <v>2.4649999999999999</v>
      </c>
      <c r="F124">
        <v>47.63</v>
      </c>
    </row>
    <row r="125" spans="1:8" x14ac:dyDescent="0.3">
      <c r="A125" s="19">
        <v>-6</v>
      </c>
      <c r="B125" s="1">
        <v>45380</v>
      </c>
      <c r="C125">
        <v>2.3860000000000001</v>
      </c>
      <c r="F125">
        <v>42.4</v>
      </c>
    </row>
    <row r="126" spans="1:8" x14ac:dyDescent="0.3">
      <c r="A126" s="19">
        <v>-6</v>
      </c>
      <c r="B126" s="1">
        <v>45380</v>
      </c>
      <c r="C126">
        <v>1.64</v>
      </c>
      <c r="D126" s="6"/>
      <c r="F126">
        <v>30.05</v>
      </c>
      <c r="G126" s="6"/>
    </row>
    <row r="127" spans="1:8" x14ac:dyDescent="0.3">
      <c r="A127" s="19" t="s">
        <v>113</v>
      </c>
      <c r="B127" s="1"/>
      <c r="D127" s="6"/>
      <c r="G127" s="6"/>
    </row>
    <row r="128" spans="1:8" x14ac:dyDescent="0.3">
      <c r="A128" s="19" t="s">
        <v>46</v>
      </c>
    </row>
    <row r="129" spans="1:9" x14ac:dyDescent="0.3">
      <c r="A129" s="19"/>
      <c r="B129" s="1"/>
      <c r="D129" s="6"/>
      <c r="G129" s="6"/>
    </row>
    <row r="130" spans="1:9" x14ac:dyDescent="0.3">
      <c r="A130" s="18" t="s">
        <v>11</v>
      </c>
      <c r="B130" s="4" t="s">
        <v>8</v>
      </c>
      <c r="C130" s="4" t="s">
        <v>0</v>
      </c>
      <c r="D130" s="4" t="s">
        <v>1</v>
      </c>
      <c r="E130" s="4" t="s">
        <v>2</v>
      </c>
      <c r="F130" s="4" t="s">
        <v>3</v>
      </c>
      <c r="G130" s="4" t="s">
        <v>1</v>
      </c>
      <c r="H130" s="5" t="s">
        <v>2</v>
      </c>
    </row>
    <row r="131" spans="1:9" x14ac:dyDescent="0.3">
      <c r="A131" s="19" t="s">
        <v>40</v>
      </c>
      <c r="B131" s="1">
        <v>45359</v>
      </c>
      <c r="C131" s="21" t="s">
        <v>50</v>
      </c>
      <c r="D131" s="7">
        <f>AVERAGE(C131:C135)</f>
        <v>1.4578575</v>
      </c>
      <c r="E131" s="7">
        <f>STDEV(C131:C135)/SQRT(COUNT(C131:C135))</f>
        <v>0.48818746942772923</v>
      </c>
      <c r="F131" s="21" t="s">
        <v>55</v>
      </c>
      <c r="G131" s="6">
        <f>AVERAGE(F131:F135)</f>
        <v>39.7425</v>
      </c>
      <c r="H131" s="6">
        <f>STDEV(F131:F135)/SQRT(COUNT(F131:F135))</f>
        <v>4.3368025375845809</v>
      </c>
      <c r="I131" s="21" t="s">
        <v>45</v>
      </c>
    </row>
    <row r="132" spans="1:9" x14ac:dyDescent="0.3">
      <c r="A132" s="19">
        <v>-6</v>
      </c>
      <c r="B132" s="1">
        <v>45366</v>
      </c>
      <c r="C132">
        <v>2.3420000000000001</v>
      </c>
      <c r="F132">
        <v>26.93</v>
      </c>
    </row>
    <row r="133" spans="1:9" x14ac:dyDescent="0.3">
      <c r="A133" s="19">
        <v>-7</v>
      </c>
      <c r="B133" s="1">
        <v>45366</v>
      </c>
      <c r="C133" s="26">
        <v>9.443E-2</v>
      </c>
      <c r="E133" s="8">
        <f>E131/D131</f>
        <v>0.33486638401059721</v>
      </c>
      <c r="F133" s="26">
        <v>45.89</v>
      </c>
    </row>
    <row r="134" spans="1:9" x14ac:dyDescent="0.3">
      <c r="A134" s="19">
        <v>-6</v>
      </c>
      <c r="B134" s="1">
        <v>45373</v>
      </c>
      <c r="C134">
        <v>1.9259999999999999</v>
      </c>
      <c r="F134">
        <v>42.2</v>
      </c>
    </row>
    <row r="135" spans="1:9" s="14" customFormat="1" x14ac:dyDescent="0.3">
      <c r="A135" s="19">
        <v>-6</v>
      </c>
      <c r="B135" s="1">
        <v>45373</v>
      </c>
      <c r="C135">
        <v>1.4690000000000001</v>
      </c>
      <c r="D135"/>
      <c r="E135"/>
      <c r="F135">
        <v>43.95</v>
      </c>
      <c r="G135"/>
      <c r="H135"/>
    </row>
    <row r="136" spans="1:9" s="14" customFormat="1" x14ac:dyDescent="0.3">
      <c r="A136" s="19" t="s">
        <v>102</v>
      </c>
      <c r="B136" s="1"/>
      <c r="C136"/>
      <c r="D136"/>
      <c r="E136"/>
      <c r="F136"/>
      <c r="G136"/>
      <c r="H136"/>
    </row>
    <row r="137" spans="1:9" x14ac:dyDescent="0.3">
      <c r="A137" s="19" t="s">
        <v>46</v>
      </c>
      <c r="B137" s="1"/>
      <c r="D137" s="6"/>
      <c r="G137" s="6"/>
    </row>
    <row r="138" spans="1:9" x14ac:dyDescent="0.3">
      <c r="A138" s="19"/>
      <c r="B138" s="1"/>
      <c r="D138" s="6"/>
      <c r="G138" s="6"/>
    </row>
    <row r="139" spans="1:9" x14ac:dyDescent="0.3">
      <c r="A139" s="18" t="s">
        <v>11</v>
      </c>
      <c r="B139" s="4" t="s">
        <v>8</v>
      </c>
      <c r="C139" s="4" t="s">
        <v>0</v>
      </c>
      <c r="D139" s="4" t="s">
        <v>1</v>
      </c>
      <c r="E139" s="4" t="s">
        <v>2</v>
      </c>
      <c r="F139" s="4" t="s">
        <v>3</v>
      </c>
      <c r="G139" s="4" t="s">
        <v>1</v>
      </c>
      <c r="H139" s="5" t="s">
        <v>2</v>
      </c>
    </row>
    <row r="140" spans="1:9" x14ac:dyDescent="0.3">
      <c r="A140" s="19" t="s">
        <v>41</v>
      </c>
      <c r="B140" s="1">
        <v>45359</v>
      </c>
      <c r="C140" s="21" t="s">
        <v>51</v>
      </c>
      <c r="D140" s="7">
        <f>AVERAGE(C140:C145)</f>
        <v>1.0681400000000001</v>
      </c>
      <c r="E140" s="7">
        <f>STDEV(C140:C145)/SQRT(COUNT(C140:C145))</f>
        <v>0.33956239426650292</v>
      </c>
      <c r="F140" s="21" t="s">
        <v>56</v>
      </c>
      <c r="G140" s="6">
        <f>AVERAGE(F140:F145)</f>
        <v>28.028000000000002</v>
      </c>
      <c r="H140" s="6">
        <f>STDEV(F140:F145)/SQRT(COUNT(F140:F145))</f>
        <v>3.5247360184842154</v>
      </c>
      <c r="I140" s="21" t="s">
        <v>45</v>
      </c>
    </row>
    <row r="141" spans="1:9" x14ac:dyDescent="0.3">
      <c r="A141" s="19">
        <v>-6</v>
      </c>
      <c r="B141" s="1">
        <v>45366</v>
      </c>
      <c r="C141">
        <v>0.36380000000000001</v>
      </c>
      <c r="F141">
        <v>36.950000000000003</v>
      </c>
    </row>
    <row r="142" spans="1:9" x14ac:dyDescent="0.3">
      <c r="A142" s="19">
        <v>-7</v>
      </c>
      <c r="B142" s="1">
        <v>45373</v>
      </c>
      <c r="C142" s="26">
        <v>2.206</v>
      </c>
      <c r="E142" s="8">
        <f>E140/D140</f>
        <v>0.31790064435982446</v>
      </c>
      <c r="F142" s="26">
        <v>20.71</v>
      </c>
    </row>
    <row r="143" spans="1:9" x14ac:dyDescent="0.3">
      <c r="A143" s="19">
        <v>-6</v>
      </c>
      <c r="B143" s="1">
        <v>45373</v>
      </c>
      <c r="C143">
        <v>1.4179999999999999</v>
      </c>
      <c r="F143">
        <v>24.69</v>
      </c>
    </row>
    <row r="144" spans="1:9" x14ac:dyDescent="0.3">
      <c r="A144" s="19">
        <v>-6</v>
      </c>
      <c r="B144" s="1">
        <v>45380</v>
      </c>
      <c r="C144">
        <v>0.88380000000000003</v>
      </c>
      <c r="F144">
        <v>36.06</v>
      </c>
    </row>
    <row r="145" spans="1:7" x14ac:dyDescent="0.3">
      <c r="A145" s="19">
        <v>-6</v>
      </c>
      <c r="B145" s="1">
        <v>45380</v>
      </c>
      <c r="C145">
        <v>0.46910000000000002</v>
      </c>
      <c r="D145" s="6"/>
      <c r="F145">
        <v>21.73</v>
      </c>
      <c r="G145" s="6"/>
    </row>
    <row r="146" spans="1:7" x14ac:dyDescent="0.3">
      <c r="A146" s="19" t="s">
        <v>104</v>
      </c>
      <c r="B146" s="1"/>
      <c r="D146" s="6"/>
      <c r="G146" s="6"/>
    </row>
    <row r="147" spans="1:7" x14ac:dyDescent="0.3">
      <c r="A147" s="19" t="s">
        <v>46</v>
      </c>
      <c r="B147" s="1"/>
      <c r="G147" s="6"/>
    </row>
    <row r="148" spans="1:7" x14ac:dyDescent="0.3">
      <c r="A148" s="19"/>
      <c r="B148" s="1"/>
      <c r="E148" s="8"/>
    </row>
    <row r="149" spans="1:7" x14ac:dyDescent="0.3">
      <c r="A149" s="19"/>
      <c r="B149" s="1"/>
    </row>
    <row r="150" spans="1:7" x14ac:dyDescent="0.3">
      <c r="A150" s="19"/>
      <c r="B150" s="1"/>
    </row>
    <row r="151" spans="1:7" x14ac:dyDescent="0.3">
      <c r="A151" s="19"/>
      <c r="B151" s="1"/>
    </row>
    <row r="152" spans="1:7" x14ac:dyDescent="0.3">
      <c r="A152" s="19"/>
      <c r="B152" s="1"/>
      <c r="C152" s="2"/>
    </row>
    <row r="153" spans="1:7" x14ac:dyDescent="0.3">
      <c r="A153" s="19"/>
    </row>
  </sheetData>
  <pageMargins left="0.7" right="0.7" top="0.75" bottom="0.75" header="0.3" footer="0.3"/>
  <pageSetup fitToHeight="2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83"/>
  <sheetViews>
    <sheetView topLeftCell="A3" workbookViewId="0">
      <selection activeCell="P17" sqref="P17"/>
    </sheetView>
  </sheetViews>
  <sheetFormatPr defaultColWidth="8.88671875" defaultRowHeight="14.4" x14ac:dyDescent="0.3"/>
  <cols>
    <col min="1" max="1" width="14.109375" customWidth="1"/>
    <col min="2" max="2" width="9.6640625" bestFit="1" customWidth="1"/>
    <col min="3" max="3" width="10" bestFit="1" customWidth="1"/>
    <col min="6" max="6" width="12" customWidth="1"/>
    <col min="10" max="10" width="11.44140625" customWidth="1"/>
  </cols>
  <sheetData>
    <row r="1" spans="1:10" x14ac:dyDescent="0.3">
      <c r="A1" s="13" t="s">
        <v>5</v>
      </c>
      <c r="E1" t="s">
        <v>21</v>
      </c>
      <c r="F1" s="13" t="s">
        <v>96</v>
      </c>
      <c r="H1" s="9" t="s">
        <v>116</v>
      </c>
    </row>
    <row r="2" spans="1:10" x14ac:dyDescent="0.3">
      <c r="A2" s="13" t="s">
        <v>42</v>
      </c>
    </row>
    <row r="3" spans="1:10" ht="18" x14ac:dyDescent="0.35">
      <c r="A3" s="15" t="s">
        <v>17</v>
      </c>
    </row>
    <row r="5" spans="1:10" x14ac:dyDescent="0.3">
      <c r="A5" s="3" t="s">
        <v>10</v>
      </c>
      <c r="B5" s="4" t="s">
        <v>9</v>
      </c>
      <c r="C5" s="4" t="s">
        <v>4</v>
      </c>
      <c r="D5" s="4" t="s">
        <v>1</v>
      </c>
      <c r="E5" s="4" t="s">
        <v>2</v>
      </c>
      <c r="F5" s="4" t="s">
        <v>7</v>
      </c>
      <c r="G5" s="11" t="s">
        <v>1</v>
      </c>
      <c r="H5" s="12" t="s">
        <v>2</v>
      </c>
    </row>
    <row r="6" spans="1:10" x14ac:dyDescent="0.3">
      <c r="A6" s="9" t="s">
        <v>20</v>
      </c>
      <c r="B6" s="1">
        <v>45366</v>
      </c>
      <c r="C6">
        <v>36.39</v>
      </c>
      <c r="D6" s="6">
        <f>AVERAGE(C6:C17)</f>
        <v>57.363</v>
      </c>
      <c r="E6" s="6">
        <f>STDEV(C6:C17)/SQRT(COUNT(C6:C17))</f>
        <v>10.139623272642389</v>
      </c>
      <c r="F6">
        <v>100</v>
      </c>
      <c r="G6" s="6">
        <f>AVERAGE(F6:F17)</f>
        <v>95.118799999999993</v>
      </c>
      <c r="H6" s="6">
        <f>STDEV(F6:F17)/SQRT(COUNT(F6:F17))</f>
        <v>1.5696267341137016</v>
      </c>
      <c r="J6" s="2"/>
    </row>
    <row r="7" spans="1:10" x14ac:dyDescent="0.3">
      <c r="A7" s="19">
        <v>-6</v>
      </c>
      <c r="B7" s="1">
        <v>45366</v>
      </c>
      <c r="C7">
        <v>76.59</v>
      </c>
      <c r="F7" s="6">
        <f>100-7.587</f>
        <v>92.412999999999997</v>
      </c>
      <c r="G7" s="10"/>
      <c r="H7" s="10"/>
      <c r="J7" s="2"/>
    </row>
    <row r="8" spans="1:10" x14ac:dyDescent="0.3">
      <c r="A8" s="19">
        <v>-6</v>
      </c>
      <c r="B8" s="1">
        <v>45373</v>
      </c>
      <c r="C8">
        <v>11.39</v>
      </c>
      <c r="E8" s="8">
        <f>E6/D6</f>
        <v>0.17676243000962971</v>
      </c>
      <c r="F8">
        <v>100</v>
      </c>
      <c r="H8" s="10"/>
      <c r="J8" s="2"/>
    </row>
    <row r="9" spans="1:10" x14ac:dyDescent="0.3">
      <c r="A9" s="19">
        <v>-6</v>
      </c>
      <c r="B9" s="1">
        <v>45373</v>
      </c>
      <c r="C9">
        <v>31.49</v>
      </c>
      <c r="F9">
        <v>100</v>
      </c>
      <c r="G9" s="10"/>
      <c r="H9" s="10"/>
      <c r="J9" s="2"/>
    </row>
    <row r="10" spans="1:10" x14ac:dyDescent="0.3">
      <c r="A10" s="19">
        <v>-6</v>
      </c>
      <c r="B10" s="1">
        <v>45380</v>
      </c>
      <c r="C10">
        <v>54.38</v>
      </c>
      <c r="F10">
        <f>100-6.703</f>
        <v>93.296999999999997</v>
      </c>
      <c r="G10" s="10"/>
      <c r="H10" s="10"/>
    </row>
    <row r="11" spans="1:10" x14ac:dyDescent="0.3">
      <c r="A11" s="19">
        <v>-6</v>
      </c>
      <c r="B11" s="1">
        <v>45380</v>
      </c>
      <c r="C11">
        <v>64.8</v>
      </c>
      <c r="F11">
        <f>100-11.69</f>
        <v>88.31</v>
      </c>
      <c r="G11" s="10"/>
      <c r="H11" s="10"/>
    </row>
    <row r="12" spans="1:10" x14ac:dyDescent="0.3">
      <c r="A12" s="19">
        <v>-6</v>
      </c>
      <c r="B12" s="1">
        <v>45387</v>
      </c>
      <c r="C12">
        <v>57.74</v>
      </c>
      <c r="F12">
        <f>100-11.11</f>
        <v>88.89</v>
      </c>
      <c r="G12" s="10"/>
      <c r="H12" s="10"/>
    </row>
    <row r="13" spans="1:10" x14ac:dyDescent="0.3">
      <c r="A13" s="19">
        <v>-6</v>
      </c>
      <c r="B13" s="1">
        <v>45393</v>
      </c>
      <c r="C13">
        <v>44.89</v>
      </c>
      <c r="F13">
        <f>100-2.072</f>
        <v>97.927999999999997</v>
      </c>
      <c r="G13" s="10"/>
      <c r="H13" s="10"/>
    </row>
    <row r="14" spans="1:10" x14ac:dyDescent="0.3">
      <c r="A14" s="19">
        <v>-6</v>
      </c>
      <c r="B14" s="1">
        <v>45393</v>
      </c>
      <c r="C14">
        <v>65.260000000000005</v>
      </c>
      <c r="F14">
        <f>100-9.65</f>
        <v>90.35</v>
      </c>
      <c r="G14" s="10"/>
      <c r="H14" s="10"/>
    </row>
    <row r="15" spans="1:10" x14ac:dyDescent="0.3">
      <c r="A15" s="19">
        <v>-6</v>
      </c>
      <c r="B15" s="1">
        <v>45393</v>
      </c>
      <c r="C15">
        <v>130.69999999999999</v>
      </c>
      <c r="F15">
        <v>100</v>
      </c>
      <c r="G15" s="10"/>
      <c r="H15" s="10"/>
    </row>
    <row r="16" spans="1:10" x14ac:dyDescent="0.3">
      <c r="A16" s="19">
        <v>-6</v>
      </c>
      <c r="B16" s="1"/>
      <c r="G16" s="10"/>
      <c r="H16" s="10"/>
    </row>
    <row r="17" spans="1:10" x14ac:dyDescent="0.3">
      <c r="A17" t="s">
        <v>114</v>
      </c>
    </row>
    <row r="18" spans="1:10" x14ac:dyDescent="0.3">
      <c r="A18" s="9" t="s">
        <v>46</v>
      </c>
    </row>
    <row r="20" spans="1:10" x14ac:dyDescent="0.3">
      <c r="A20" s="3" t="s">
        <v>10</v>
      </c>
      <c r="B20" s="4" t="s">
        <v>9</v>
      </c>
      <c r="C20" s="4" t="s">
        <v>4</v>
      </c>
      <c r="D20" s="4" t="s">
        <v>1</v>
      </c>
      <c r="E20" s="4" t="s">
        <v>2</v>
      </c>
      <c r="F20" s="4" t="s">
        <v>7</v>
      </c>
      <c r="G20" s="11" t="s">
        <v>1</v>
      </c>
      <c r="H20" s="12" t="s">
        <v>2</v>
      </c>
    </row>
    <row r="21" spans="1:10" x14ac:dyDescent="0.3">
      <c r="A21" s="9" t="s">
        <v>15</v>
      </c>
      <c r="B21" s="1">
        <v>45373</v>
      </c>
      <c r="C21">
        <v>30.62</v>
      </c>
      <c r="D21" s="6">
        <f>AVERAGE(C21:C25)</f>
        <v>37.869999999999997</v>
      </c>
      <c r="E21" s="6">
        <f>STDEV(C21:C25)/SQRT(COUNT(C21:C25))</f>
        <v>6.6735522774606482</v>
      </c>
      <c r="F21">
        <f>100-24.09</f>
        <v>75.91</v>
      </c>
      <c r="G21" s="6">
        <f>AVERAGE(F21:F25)</f>
        <v>72.993333333333339</v>
      </c>
      <c r="H21" s="6">
        <f>STDEV(F21:F25)/SQRT(COUNT(F21:F25))</f>
        <v>5.5221020554776983</v>
      </c>
      <c r="J21" s="9"/>
    </row>
    <row r="22" spans="1:10" x14ac:dyDescent="0.3">
      <c r="A22" s="19">
        <v>-5</v>
      </c>
      <c r="B22" s="1">
        <v>45373</v>
      </c>
      <c r="C22" s="26">
        <v>31.79</v>
      </c>
      <c r="F22" s="26">
        <f>100-19.24</f>
        <v>80.760000000000005</v>
      </c>
      <c r="G22" s="10"/>
      <c r="H22" s="10"/>
      <c r="I22" s="21"/>
    </row>
    <row r="23" spans="1:10" x14ac:dyDescent="0.3">
      <c r="A23" s="19">
        <v>-5</v>
      </c>
      <c r="B23" s="1">
        <v>45380</v>
      </c>
      <c r="C23" s="21" t="s">
        <v>64</v>
      </c>
      <c r="E23" s="8">
        <f>E21/D21</f>
        <v>0.17622266378295878</v>
      </c>
      <c r="F23" s="21" t="s">
        <v>65</v>
      </c>
      <c r="H23" s="10"/>
      <c r="I23" s="21" t="s">
        <v>77</v>
      </c>
    </row>
    <row r="24" spans="1:10" x14ac:dyDescent="0.3">
      <c r="A24" s="19">
        <v>-5</v>
      </c>
      <c r="B24" s="1">
        <v>45380</v>
      </c>
      <c r="C24" s="26">
        <v>51.2</v>
      </c>
      <c r="F24" s="26">
        <f>100-37.69</f>
        <v>62.31</v>
      </c>
      <c r="G24" s="10"/>
      <c r="H24" s="10"/>
      <c r="I24" s="21"/>
    </row>
    <row r="25" spans="1:10" x14ac:dyDescent="0.3">
      <c r="A25" s="19">
        <v>-5</v>
      </c>
      <c r="B25" s="1"/>
      <c r="G25" s="10"/>
      <c r="H25" s="10"/>
    </row>
    <row r="26" spans="1:10" x14ac:dyDescent="0.3">
      <c r="A26" t="s">
        <v>103</v>
      </c>
      <c r="B26" s="1"/>
      <c r="G26" s="10"/>
      <c r="H26" s="10"/>
    </row>
    <row r="27" spans="1:10" x14ac:dyDescent="0.3">
      <c r="A27" s="9" t="s">
        <v>46</v>
      </c>
      <c r="B27" s="1"/>
      <c r="G27" s="10"/>
      <c r="H27" s="10"/>
    </row>
    <row r="29" spans="1:10" x14ac:dyDescent="0.3">
      <c r="A29" s="3" t="s">
        <v>10</v>
      </c>
      <c r="B29" s="4" t="s">
        <v>9</v>
      </c>
      <c r="C29" s="4" t="s">
        <v>4</v>
      </c>
      <c r="D29" s="4" t="s">
        <v>1</v>
      </c>
      <c r="E29" s="4" t="s">
        <v>2</v>
      </c>
      <c r="F29" s="4" t="s">
        <v>7</v>
      </c>
      <c r="G29" s="11" t="s">
        <v>1</v>
      </c>
      <c r="H29" s="12" t="s">
        <v>2</v>
      </c>
    </row>
    <row r="30" spans="1:10" x14ac:dyDescent="0.3">
      <c r="A30" s="9" t="s">
        <v>36</v>
      </c>
      <c r="B30" s="1">
        <v>45366</v>
      </c>
      <c r="C30" s="21" t="s">
        <v>92</v>
      </c>
      <c r="D30" s="6">
        <f>AVERAGE(C30:C42)</f>
        <v>8.5980909090909083</v>
      </c>
      <c r="E30" s="6">
        <f>STDEV(C30:C42)/SQRT(COUNT(C30:C42))</f>
        <v>2.2362530571331121</v>
      </c>
      <c r="F30" t="s">
        <v>94</v>
      </c>
      <c r="G30" s="6">
        <f>AVERAGE(F30:F42)</f>
        <v>65.567272727272723</v>
      </c>
      <c r="H30" s="6">
        <f>STDEV(F30:F42)/SQRT(COUNT(F30:F42))</f>
        <v>3.3435550190312968</v>
      </c>
      <c r="I30" t="s">
        <v>93</v>
      </c>
    </row>
    <row r="31" spans="1:10" x14ac:dyDescent="0.3">
      <c r="A31" s="20">
        <v>-5</v>
      </c>
      <c r="B31" s="1">
        <v>45373</v>
      </c>
      <c r="C31" s="26">
        <v>1.6990000000000001</v>
      </c>
      <c r="F31" s="26">
        <f>100-13.12</f>
        <v>86.88</v>
      </c>
      <c r="H31" s="10"/>
      <c r="I31" s="21"/>
    </row>
    <row r="32" spans="1:10" x14ac:dyDescent="0.3">
      <c r="A32" s="20">
        <v>-6</v>
      </c>
      <c r="B32" s="1">
        <v>45373</v>
      </c>
      <c r="C32" s="26">
        <v>5.5140000000000002</v>
      </c>
      <c r="E32" s="24">
        <f>E30/D30</f>
        <v>0.26008716129864173</v>
      </c>
      <c r="F32" s="26">
        <f>100-34.56</f>
        <v>65.44</v>
      </c>
      <c r="H32" s="10"/>
      <c r="I32" s="21"/>
    </row>
    <row r="33" spans="1:9" x14ac:dyDescent="0.3">
      <c r="A33" s="20">
        <v>-6</v>
      </c>
      <c r="B33" s="1">
        <v>45380</v>
      </c>
      <c r="C33" s="21" t="s">
        <v>83</v>
      </c>
      <c r="F33" s="21" t="s">
        <v>84</v>
      </c>
      <c r="H33" s="10"/>
      <c r="I33" s="21" t="s">
        <v>77</v>
      </c>
    </row>
    <row r="34" spans="1:9" x14ac:dyDescent="0.3">
      <c r="A34" s="20">
        <v>-6</v>
      </c>
      <c r="B34" s="1">
        <v>45380</v>
      </c>
      <c r="C34" s="26">
        <v>20.02</v>
      </c>
      <c r="F34" s="26">
        <f>100-36.94</f>
        <v>63.06</v>
      </c>
      <c r="H34" s="10"/>
      <c r="I34" s="21"/>
    </row>
    <row r="35" spans="1:9" x14ac:dyDescent="0.3">
      <c r="A35" s="20">
        <v>-6</v>
      </c>
      <c r="B35" s="1">
        <v>45387</v>
      </c>
      <c r="C35" s="26">
        <v>9.4280000000000008</v>
      </c>
      <c r="F35" s="26">
        <f>100-55.07</f>
        <v>44.93</v>
      </c>
      <c r="H35" s="10"/>
      <c r="I35" s="21"/>
    </row>
    <row r="36" spans="1:9" x14ac:dyDescent="0.3">
      <c r="A36" s="20">
        <v>-5</v>
      </c>
      <c r="B36" s="1">
        <v>45387</v>
      </c>
      <c r="C36" s="26">
        <v>3.1819999999999999</v>
      </c>
      <c r="F36">
        <f>100-36.65</f>
        <v>63.35</v>
      </c>
      <c r="G36" s="10"/>
      <c r="H36" s="10"/>
    </row>
    <row r="37" spans="1:9" x14ac:dyDescent="0.3">
      <c r="A37" s="20">
        <v>-6</v>
      </c>
      <c r="B37" s="1">
        <v>45387</v>
      </c>
      <c r="C37" s="26">
        <v>24.95</v>
      </c>
      <c r="F37">
        <f>100-28.29</f>
        <v>71.710000000000008</v>
      </c>
      <c r="G37" s="10"/>
      <c r="H37" s="10"/>
    </row>
    <row r="38" spans="1:9" x14ac:dyDescent="0.3">
      <c r="A38" s="20">
        <v>-6</v>
      </c>
      <c r="B38" s="1">
        <v>45393</v>
      </c>
      <c r="C38" s="26">
        <v>4.0880000000000001</v>
      </c>
      <c r="F38">
        <f>100-30.63</f>
        <v>69.37</v>
      </c>
      <c r="G38" s="10"/>
      <c r="H38" s="10"/>
    </row>
    <row r="39" spans="1:9" x14ac:dyDescent="0.3">
      <c r="A39" s="20">
        <v>-6</v>
      </c>
      <c r="B39" s="1">
        <v>45393</v>
      </c>
      <c r="C39" s="26">
        <v>8.5619999999999994</v>
      </c>
      <c r="F39">
        <f>100-40.94</f>
        <v>59.06</v>
      </c>
      <c r="G39" s="10"/>
      <c r="H39" s="10"/>
    </row>
    <row r="40" spans="1:9" x14ac:dyDescent="0.3">
      <c r="A40" s="20">
        <v>-5</v>
      </c>
      <c r="B40" s="1">
        <v>45393</v>
      </c>
      <c r="C40" s="26">
        <v>4.8680000000000003</v>
      </c>
      <c r="F40">
        <f>100-30.44</f>
        <v>69.56</v>
      </c>
      <c r="G40" s="10"/>
      <c r="H40" s="10"/>
    </row>
    <row r="41" spans="1:9" x14ac:dyDescent="0.3">
      <c r="A41" s="20">
        <v>-6</v>
      </c>
      <c r="B41" s="1">
        <v>45393</v>
      </c>
      <c r="C41" s="26">
        <v>3.0750000000000002</v>
      </c>
      <c r="F41">
        <f>100-25.51</f>
        <v>74.489999999999995</v>
      </c>
      <c r="G41" s="10"/>
      <c r="H41" s="10"/>
    </row>
    <row r="42" spans="1:9" x14ac:dyDescent="0.3">
      <c r="A42" s="20">
        <v>-5</v>
      </c>
      <c r="B42" s="1">
        <v>45393</v>
      </c>
      <c r="C42" s="26">
        <v>9.1929999999999996</v>
      </c>
      <c r="F42">
        <f>100-46.61</f>
        <v>53.39</v>
      </c>
      <c r="G42" s="10"/>
      <c r="H42" s="10"/>
    </row>
    <row r="43" spans="1:9" x14ac:dyDescent="0.3">
      <c r="A43" t="s">
        <v>115</v>
      </c>
      <c r="B43" s="1"/>
      <c r="C43" s="26"/>
      <c r="G43" s="10"/>
      <c r="H43" s="10"/>
    </row>
    <row r="44" spans="1:9" x14ac:dyDescent="0.3">
      <c r="A44" s="20" t="s">
        <v>46</v>
      </c>
      <c r="B44" s="1"/>
      <c r="G44" s="10"/>
      <c r="H44" s="10"/>
    </row>
    <row r="46" spans="1:9" x14ac:dyDescent="0.3">
      <c r="A46" s="3" t="s">
        <v>10</v>
      </c>
      <c r="B46" s="4" t="s">
        <v>9</v>
      </c>
      <c r="C46" s="4" t="s">
        <v>4</v>
      </c>
      <c r="D46" s="4" t="s">
        <v>1</v>
      </c>
      <c r="E46" s="4" t="s">
        <v>2</v>
      </c>
      <c r="F46" s="4" t="s">
        <v>7</v>
      </c>
      <c r="G46" s="11" t="s">
        <v>1</v>
      </c>
      <c r="H46" s="12" t="s">
        <v>2</v>
      </c>
    </row>
    <row r="47" spans="1:9" x14ac:dyDescent="0.3">
      <c r="A47" s="9" t="s">
        <v>27</v>
      </c>
      <c r="B47" s="1">
        <v>45366</v>
      </c>
      <c r="C47">
        <v>1.9650000000000001</v>
      </c>
      <c r="D47" s="6">
        <f>AVERAGE(C47:C58)</f>
        <v>29.16927272727273</v>
      </c>
      <c r="E47" s="6">
        <f>STDEV(C47:C58)/SQRT(COUNT(C47:C58))</f>
        <v>10.002022360131074</v>
      </c>
      <c r="F47">
        <f>100-32.28</f>
        <v>67.72</v>
      </c>
      <c r="G47" s="6">
        <f>AVERAGE(F47:F58)</f>
        <v>63.120909090909088</v>
      </c>
      <c r="H47" s="6">
        <f>STDEV(F47:F58)/SQRT(COUNT(F47:F58))</f>
        <v>4.0902161433319888</v>
      </c>
    </row>
    <row r="48" spans="1:9" x14ac:dyDescent="0.3">
      <c r="A48" s="19">
        <v>-6</v>
      </c>
      <c r="B48" s="1">
        <v>45373</v>
      </c>
      <c r="C48">
        <v>4.3019999999999996</v>
      </c>
      <c r="F48">
        <f>100-21.66</f>
        <v>78.34</v>
      </c>
      <c r="G48" s="10"/>
      <c r="H48" s="10"/>
    </row>
    <row r="49" spans="1:8" x14ac:dyDescent="0.3">
      <c r="A49" s="19">
        <v>-6</v>
      </c>
      <c r="B49" s="1">
        <v>45380</v>
      </c>
      <c r="C49">
        <v>97.21</v>
      </c>
      <c r="E49" s="8">
        <f>E47/D47</f>
        <v>0.34289584295255215</v>
      </c>
      <c r="F49">
        <f>100-38.62</f>
        <v>61.38</v>
      </c>
      <c r="H49" s="10"/>
    </row>
    <row r="50" spans="1:8" x14ac:dyDescent="0.3">
      <c r="A50" s="19">
        <v>-6</v>
      </c>
      <c r="B50" s="1">
        <v>45387</v>
      </c>
      <c r="C50">
        <v>43.59</v>
      </c>
      <c r="F50">
        <f>100-58.27</f>
        <v>41.73</v>
      </c>
      <c r="G50" s="10"/>
      <c r="H50" s="10"/>
    </row>
    <row r="51" spans="1:8" x14ac:dyDescent="0.3">
      <c r="A51" s="19">
        <v>-5</v>
      </c>
      <c r="B51" s="1">
        <v>45387</v>
      </c>
      <c r="C51">
        <v>8.3190000000000008</v>
      </c>
      <c r="F51">
        <f>100-30.73</f>
        <v>69.27</v>
      </c>
      <c r="G51" s="10"/>
      <c r="H51" s="10"/>
    </row>
    <row r="52" spans="1:8" x14ac:dyDescent="0.3">
      <c r="A52" s="19">
        <v>-6</v>
      </c>
      <c r="B52" s="1">
        <v>45387</v>
      </c>
      <c r="C52">
        <v>35.18</v>
      </c>
      <c r="F52">
        <f>100-12.07</f>
        <v>87.93</v>
      </c>
      <c r="G52" s="10"/>
      <c r="H52" s="10"/>
    </row>
    <row r="53" spans="1:8" x14ac:dyDescent="0.3">
      <c r="A53" s="19">
        <v>-5</v>
      </c>
      <c r="B53" s="1">
        <v>45393</v>
      </c>
      <c r="C53">
        <v>14.63</v>
      </c>
      <c r="F53">
        <f>100-39.01</f>
        <v>60.99</v>
      </c>
      <c r="G53" s="10"/>
      <c r="H53" s="10"/>
    </row>
    <row r="54" spans="1:8" x14ac:dyDescent="0.3">
      <c r="A54" s="19">
        <v>-5</v>
      </c>
      <c r="B54" s="1">
        <v>45393</v>
      </c>
      <c r="C54">
        <v>84.17</v>
      </c>
      <c r="F54">
        <f>100-56.93</f>
        <v>43.07</v>
      </c>
      <c r="G54" s="10"/>
      <c r="H54" s="10"/>
    </row>
    <row r="55" spans="1:8" x14ac:dyDescent="0.3">
      <c r="A55" s="19">
        <v>-5</v>
      </c>
      <c r="B55" s="1">
        <v>45393</v>
      </c>
      <c r="C55">
        <v>9.5530000000000008</v>
      </c>
      <c r="F55">
        <f>100-39.64</f>
        <v>60.36</v>
      </c>
      <c r="G55" s="10"/>
      <c r="H55" s="10"/>
    </row>
    <row r="56" spans="1:8" x14ac:dyDescent="0.3">
      <c r="A56" s="19">
        <v>-5</v>
      </c>
      <c r="B56" s="1">
        <v>45393</v>
      </c>
      <c r="C56">
        <v>16.170000000000002</v>
      </c>
      <c r="F56">
        <f>100-43.51</f>
        <v>56.49</v>
      </c>
      <c r="G56" s="10"/>
      <c r="H56" s="10"/>
    </row>
    <row r="57" spans="1:8" x14ac:dyDescent="0.3">
      <c r="A57" s="19">
        <v>-5</v>
      </c>
      <c r="B57" s="1">
        <v>45393</v>
      </c>
      <c r="C57">
        <v>5.7729999999999997</v>
      </c>
      <c r="F57">
        <f>100-32.95</f>
        <v>67.05</v>
      </c>
      <c r="G57" s="10"/>
      <c r="H57" s="10"/>
    </row>
    <row r="58" spans="1:8" x14ac:dyDescent="0.3">
      <c r="A58" t="s">
        <v>115</v>
      </c>
      <c r="B58" s="1"/>
      <c r="G58" s="10"/>
      <c r="H58" s="10"/>
    </row>
    <row r="59" spans="1:8" x14ac:dyDescent="0.3">
      <c r="A59" s="9" t="s">
        <v>46</v>
      </c>
      <c r="B59" s="1"/>
      <c r="G59" s="10"/>
      <c r="H59" s="10"/>
    </row>
    <row r="61" spans="1:8" x14ac:dyDescent="0.3">
      <c r="A61" s="3" t="s">
        <v>10</v>
      </c>
      <c r="B61" s="4" t="s">
        <v>9</v>
      </c>
      <c r="C61" s="4" t="s">
        <v>4</v>
      </c>
      <c r="D61" s="4" t="s">
        <v>1</v>
      </c>
      <c r="E61" s="4" t="s">
        <v>2</v>
      </c>
      <c r="F61" s="4" t="s">
        <v>7</v>
      </c>
      <c r="G61" s="11" t="s">
        <v>1</v>
      </c>
      <c r="H61" s="12" t="s">
        <v>2</v>
      </c>
    </row>
    <row r="62" spans="1:8" x14ac:dyDescent="0.3">
      <c r="A62" s="9" t="s">
        <v>28</v>
      </c>
      <c r="B62" s="1">
        <v>45366</v>
      </c>
      <c r="C62">
        <v>2.6379999999999999</v>
      </c>
      <c r="D62" s="6">
        <f>AVERAGE(C62:C67)</f>
        <v>6.6638333333333337</v>
      </c>
      <c r="E62" s="6">
        <f>STDEV(C62:C67)/SQRT(COUNT(C62:C67))</f>
        <v>2.0556077190077979</v>
      </c>
      <c r="F62">
        <f>100-22.11</f>
        <v>77.89</v>
      </c>
      <c r="G62" s="6">
        <f>AVERAGE(F62:F67)</f>
        <v>64.605000000000004</v>
      </c>
      <c r="H62" s="6">
        <f>STDEV(F62:F67)/SQRT(COUNT(F62:F67))</f>
        <v>5.5329128856326646</v>
      </c>
    </row>
    <row r="63" spans="1:8" x14ac:dyDescent="0.3">
      <c r="A63" s="19">
        <v>-5</v>
      </c>
      <c r="B63" s="1">
        <v>45373</v>
      </c>
      <c r="C63">
        <v>1.514</v>
      </c>
      <c r="F63">
        <f>100-24.42</f>
        <v>75.58</v>
      </c>
      <c r="G63" s="10"/>
      <c r="H63" s="10"/>
    </row>
    <row r="64" spans="1:8" x14ac:dyDescent="0.3">
      <c r="A64" s="19">
        <v>-6</v>
      </c>
      <c r="B64" s="1">
        <v>45380</v>
      </c>
      <c r="C64">
        <v>10.029999999999999</v>
      </c>
      <c r="E64" s="8">
        <f>E62/D62</f>
        <v>0.30847225856105814</v>
      </c>
      <c r="F64">
        <f>100-55.18</f>
        <v>44.82</v>
      </c>
      <c r="H64" s="10"/>
    </row>
    <row r="65" spans="1:9" x14ac:dyDescent="0.3">
      <c r="A65" s="19">
        <v>-6</v>
      </c>
      <c r="B65" s="1">
        <v>45380</v>
      </c>
      <c r="C65">
        <v>10.32</v>
      </c>
      <c r="F65">
        <f>100-44.32</f>
        <v>55.68</v>
      </c>
      <c r="G65" s="10"/>
      <c r="H65" s="10"/>
    </row>
    <row r="66" spans="1:9" x14ac:dyDescent="0.3">
      <c r="A66" s="19">
        <v>-6</v>
      </c>
      <c r="B66" s="1">
        <v>45387</v>
      </c>
      <c r="C66">
        <v>13.08</v>
      </c>
      <c r="F66">
        <f>100-41.55</f>
        <v>58.45</v>
      </c>
      <c r="G66" s="10"/>
      <c r="H66" s="10"/>
    </row>
    <row r="67" spans="1:9" x14ac:dyDescent="0.3">
      <c r="A67" s="19">
        <v>-5</v>
      </c>
      <c r="B67" s="1">
        <v>45387</v>
      </c>
      <c r="C67">
        <v>2.4009999999999998</v>
      </c>
      <c r="F67">
        <f>100-24.79</f>
        <v>75.210000000000008</v>
      </c>
      <c r="G67" s="10"/>
      <c r="H67" s="10"/>
    </row>
    <row r="68" spans="1:9" x14ac:dyDescent="0.3">
      <c r="A68" t="s">
        <v>113</v>
      </c>
      <c r="B68" s="1"/>
      <c r="G68" s="10"/>
      <c r="H68" s="10"/>
    </row>
    <row r="69" spans="1:9" x14ac:dyDescent="0.3">
      <c r="A69" s="9" t="s">
        <v>46</v>
      </c>
      <c r="B69" s="1"/>
      <c r="G69" s="10"/>
      <c r="H69" s="10"/>
    </row>
    <row r="71" spans="1:9" x14ac:dyDescent="0.3">
      <c r="A71" s="3" t="s">
        <v>10</v>
      </c>
      <c r="B71" s="4" t="s">
        <v>9</v>
      </c>
      <c r="C71" s="4" t="s">
        <v>4</v>
      </c>
      <c r="D71" s="4" t="s">
        <v>1</v>
      </c>
      <c r="E71" s="4" t="s">
        <v>2</v>
      </c>
      <c r="F71" s="4" t="s">
        <v>7</v>
      </c>
      <c r="G71" s="11" t="s">
        <v>1</v>
      </c>
      <c r="H71" s="12" t="s">
        <v>2</v>
      </c>
    </row>
    <row r="72" spans="1:9" x14ac:dyDescent="0.3">
      <c r="A72" s="9" t="s">
        <v>29</v>
      </c>
      <c r="B72" s="1">
        <v>45366</v>
      </c>
      <c r="C72">
        <v>81.91</v>
      </c>
      <c r="D72" s="6">
        <f>AVERAGE(C72:C82)</f>
        <v>34.557333333333339</v>
      </c>
      <c r="E72" s="6">
        <f>STDEV(C72:C82)/SQRT(COUNT(C72:C82))</f>
        <v>7.1552187170546233</v>
      </c>
      <c r="F72">
        <v>100</v>
      </c>
      <c r="G72" s="6">
        <f>AVERAGE(F72:F82)</f>
        <v>93.206777777777774</v>
      </c>
      <c r="H72" s="6">
        <f>STDEV(F72:F82)/SQRT(COUNT(F72:F82))</f>
        <v>2.122709260576745</v>
      </c>
    </row>
    <row r="73" spans="1:9" x14ac:dyDescent="0.3">
      <c r="A73" s="20">
        <v>-5</v>
      </c>
      <c r="B73" s="1">
        <v>45373</v>
      </c>
      <c r="C73">
        <v>9.2059999999999995</v>
      </c>
      <c r="F73">
        <v>100</v>
      </c>
      <c r="G73" s="10"/>
      <c r="H73" s="10"/>
    </row>
    <row r="74" spans="1:9" x14ac:dyDescent="0.3">
      <c r="A74" s="20">
        <v>-6</v>
      </c>
      <c r="B74" s="1">
        <v>45380</v>
      </c>
      <c r="C74">
        <v>23.07</v>
      </c>
      <c r="E74" s="8">
        <f>E72/D72</f>
        <v>0.20705355497302905</v>
      </c>
      <c r="F74">
        <f>100-16.18</f>
        <v>83.82</v>
      </c>
      <c r="H74" s="10"/>
    </row>
    <row r="75" spans="1:9" x14ac:dyDescent="0.3">
      <c r="A75" s="20">
        <v>-5</v>
      </c>
      <c r="B75" s="1">
        <v>45380</v>
      </c>
      <c r="C75" s="21" t="s">
        <v>81</v>
      </c>
      <c r="F75" s="21" t="s">
        <v>82</v>
      </c>
      <c r="H75" s="10"/>
      <c r="I75" s="21" t="s">
        <v>77</v>
      </c>
    </row>
    <row r="76" spans="1:9" x14ac:dyDescent="0.3">
      <c r="A76" s="20">
        <v>-5</v>
      </c>
      <c r="B76" s="1">
        <v>45387</v>
      </c>
      <c r="C76">
        <v>24.71</v>
      </c>
      <c r="F76">
        <f>100-7.276</f>
        <v>92.724000000000004</v>
      </c>
      <c r="G76" s="10"/>
      <c r="H76" s="10"/>
    </row>
    <row r="77" spans="1:9" x14ac:dyDescent="0.3">
      <c r="A77" s="20">
        <v>-6</v>
      </c>
      <c r="B77" s="1">
        <v>45387</v>
      </c>
      <c r="C77">
        <v>29.91</v>
      </c>
      <c r="F77">
        <f>100-11.65</f>
        <v>88.35</v>
      </c>
      <c r="G77" s="10"/>
      <c r="H77" s="10"/>
    </row>
    <row r="78" spans="1:9" x14ac:dyDescent="0.3">
      <c r="A78" s="20">
        <v>-5</v>
      </c>
      <c r="B78" s="1">
        <v>45393</v>
      </c>
      <c r="C78">
        <v>33.33</v>
      </c>
      <c r="F78">
        <f>100-2.272</f>
        <v>97.727999999999994</v>
      </c>
      <c r="G78" s="10"/>
      <c r="H78" s="10"/>
    </row>
    <row r="79" spans="1:9" x14ac:dyDescent="0.3">
      <c r="A79" s="20">
        <v>-6</v>
      </c>
      <c r="B79" s="1">
        <v>45393</v>
      </c>
      <c r="C79">
        <v>50.49</v>
      </c>
      <c r="F79">
        <f>100-15.44</f>
        <v>84.56</v>
      </c>
      <c r="G79" s="10"/>
      <c r="H79" s="10"/>
    </row>
    <row r="80" spans="1:9" x14ac:dyDescent="0.3">
      <c r="A80" s="20">
        <v>-5</v>
      </c>
      <c r="B80" s="1">
        <v>45393</v>
      </c>
      <c r="C80">
        <v>40.1</v>
      </c>
      <c r="F80">
        <f>100-6.519</f>
        <v>93.480999999999995</v>
      </c>
      <c r="G80" s="10"/>
      <c r="H80" s="10"/>
    </row>
    <row r="81" spans="1:9" x14ac:dyDescent="0.3">
      <c r="A81" s="20">
        <v>-5</v>
      </c>
      <c r="B81" s="1">
        <v>45393</v>
      </c>
      <c r="C81">
        <v>18.29</v>
      </c>
      <c r="F81">
        <f>100-1.802</f>
        <v>98.197999999999993</v>
      </c>
      <c r="G81" s="10"/>
      <c r="H81" s="10"/>
    </row>
    <row r="82" spans="1:9" x14ac:dyDescent="0.3">
      <c r="A82" t="s">
        <v>106</v>
      </c>
      <c r="B82" s="1"/>
      <c r="G82" s="10"/>
      <c r="H82" s="10"/>
    </row>
    <row r="83" spans="1:9" x14ac:dyDescent="0.3">
      <c r="A83" s="9" t="s">
        <v>46</v>
      </c>
      <c r="B83" s="1"/>
      <c r="G83" s="10"/>
      <c r="H83" s="10"/>
    </row>
    <row r="85" spans="1:9" x14ac:dyDescent="0.3">
      <c r="A85" s="3" t="s">
        <v>10</v>
      </c>
      <c r="B85" s="4" t="s">
        <v>9</v>
      </c>
      <c r="C85" s="4" t="s">
        <v>4</v>
      </c>
      <c r="D85" s="4" t="s">
        <v>1</v>
      </c>
      <c r="E85" s="4" t="s">
        <v>2</v>
      </c>
      <c r="F85" s="4" t="s">
        <v>7</v>
      </c>
      <c r="G85" s="11" t="s">
        <v>1</v>
      </c>
      <c r="H85" s="12" t="s">
        <v>2</v>
      </c>
    </row>
    <row r="86" spans="1:9" x14ac:dyDescent="0.3">
      <c r="A86" s="9" t="s">
        <v>30</v>
      </c>
      <c r="B86" s="1">
        <v>45366</v>
      </c>
      <c r="C86">
        <v>20.23</v>
      </c>
      <c r="D86" s="6">
        <f>AVERAGE(C86:C91)</f>
        <v>24.566666666666666</v>
      </c>
      <c r="E86" s="6">
        <f>STDEV(C86:C91)/SQRT(COUNT(C86:C91))</f>
        <v>2.6960238211938088</v>
      </c>
      <c r="F86">
        <f>100-11.28</f>
        <v>88.72</v>
      </c>
      <c r="G86" s="6">
        <f>AVERAGE(F86:F91)</f>
        <v>88.37866666666666</v>
      </c>
      <c r="H86" s="6">
        <f>STDEV(F86:F91)/SQRT(COUNT(F86:F91))</f>
        <v>2.7408043426053679</v>
      </c>
    </row>
    <row r="87" spans="1:9" x14ac:dyDescent="0.3">
      <c r="A87" s="20">
        <v>-5</v>
      </c>
      <c r="B87" s="1">
        <v>45373</v>
      </c>
      <c r="C87">
        <v>29.51</v>
      </c>
      <c r="F87">
        <f>100-16.53</f>
        <v>83.47</v>
      </c>
      <c r="G87" s="10"/>
      <c r="H87" s="10"/>
    </row>
    <row r="88" spans="1:9" x14ac:dyDescent="0.3">
      <c r="A88" s="20">
        <v>-5</v>
      </c>
      <c r="B88" s="1">
        <v>45380</v>
      </c>
      <c r="C88">
        <v>23.96</v>
      </c>
      <c r="E88" s="8">
        <f>E86/D86</f>
        <v>0.10974316775551461</v>
      </c>
      <c r="F88">
        <f>100-7.054</f>
        <v>92.945999999999998</v>
      </c>
      <c r="H88" s="10"/>
    </row>
    <row r="89" spans="1:9" x14ac:dyDescent="0.3">
      <c r="A89" s="13">
        <v>-5</v>
      </c>
      <c r="B89" s="1">
        <v>45380</v>
      </c>
      <c r="C89" s="21" t="s">
        <v>66</v>
      </c>
      <c r="F89" s="21" t="s">
        <v>67</v>
      </c>
      <c r="G89" s="10"/>
      <c r="H89" s="10"/>
      <c r="I89" s="21" t="s">
        <v>77</v>
      </c>
    </row>
    <row r="90" spans="1:9" x14ac:dyDescent="0.3">
      <c r="A90" t="s">
        <v>103</v>
      </c>
      <c r="B90" s="1"/>
      <c r="G90" s="10"/>
      <c r="H90" s="10"/>
    </row>
    <row r="91" spans="1:9" x14ac:dyDescent="0.3">
      <c r="A91" s="9" t="s">
        <v>46</v>
      </c>
      <c r="B91" s="1"/>
      <c r="G91" s="10"/>
      <c r="H91" s="10"/>
    </row>
    <row r="92" spans="1:9" x14ac:dyDescent="0.3">
      <c r="A92" s="9"/>
      <c r="B92" s="1"/>
      <c r="G92" s="10"/>
      <c r="H92" s="10"/>
    </row>
    <row r="94" spans="1:9" x14ac:dyDescent="0.3">
      <c r="A94" s="3" t="s">
        <v>10</v>
      </c>
      <c r="B94" s="4"/>
      <c r="C94" s="4" t="s">
        <v>4</v>
      </c>
      <c r="D94" s="4" t="s">
        <v>1</v>
      </c>
      <c r="E94" s="4" t="s">
        <v>2</v>
      </c>
      <c r="F94" s="4" t="s">
        <v>7</v>
      </c>
      <c r="G94" s="11" t="s">
        <v>1</v>
      </c>
      <c r="H94" s="12" t="s">
        <v>2</v>
      </c>
    </row>
    <row r="95" spans="1:9" x14ac:dyDescent="0.3">
      <c r="A95" s="9" t="s">
        <v>37</v>
      </c>
      <c r="B95" s="1">
        <v>45366</v>
      </c>
      <c r="C95">
        <v>28.24</v>
      </c>
      <c r="D95" s="6">
        <f>AVERAGE(C95:C104)</f>
        <v>66.367999999999995</v>
      </c>
      <c r="E95" s="6">
        <f>STDEV(C95:C104)/SQRT(COUNT(C95:C104))</f>
        <v>14.713617977914206</v>
      </c>
      <c r="F95">
        <f>100-45.78</f>
        <v>54.22</v>
      </c>
      <c r="G95" s="6">
        <f>AVERAGE(F95:F104)</f>
        <v>41.186</v>
      </c>
      <c r="H95" s="6">
        <f>STDEV(F95:F104)/SQRT(COUNT(F95:F104))</f>
        <v>3.7547910727495859</v>
      </c>
    </row>
    <row r="96" spans="1:9" x14ac:dyDescent="0.3">
      <c r="A96" s="20">
        <v>-5</v>
      </c>
      <c r="B96" s="1">
        <v>45373</v>
      </c>
      <c r="C96" s="21" t="s">
        <v>75</v>
      </c>
      <c r="F96" s="21" t="s">
        <v>67</v>
      </c>
      <c r="G96" s="10"/>
      <c r="H96" s="10"/>
      <c r="I96" s="21" t="s">
        <v>76</v>
      </c>
    </row>
    <row r="97" spans="1:9" x14ac:dyDescent="0.3">
      <c r="A97" s="20">
        <v>-6</v>
      </c>
      <c r="B97" s="1">
        <v>45380</v>
      </c>
      <c r="C97">
        <v>95.54</v>
      </c>
      <c r="E97" s="8">
        <f>E95/D95</f>
        <v>0.2216974743538182</v>
      </c>
      <c r="F97">
        <f>100-64.66</f>
        <v>35.340000000000003</v>
      </c>
      <c r="H97" s="10"/>
    </row>
    <row r="98" spans="1:9" x14ac:dyDescent="0.3">
      <c r="A98" s="20">
        <v>-6</v>
      </c>
      <c r="B98" s="1">
        <v>45380</v>
      </c>
      <c r="C98">
        <v>89.17</v>
      </c>
      <c r="F98">
        <f>100-61.73</f>
        <v>38.270000000000003</v>
      </c>
      <c r="G98" s="10"/>
      <c r="H98" s="10"/>
    </row>
    <row r="99" spans="1:9" x14ac:dyDescent="0.3">
      <c r="A99" s="20">
        <v>-5</v>
      </c>
      <c r="B99" s="1">
        <v>45387</v>
      </c>
      <c r="C99">
        <v>85.99</v>
      </c>
      <c r="F99">
        <f>100-66.44</f>
        <v>33.56</v>
      </c>
      <c r="G99" s="10"/>
      <c r="H99" s="10"/>
    </row>
    <row r="100" spans="1:9" x14ac:dyDescent="0.3">
      <c r="A100" s="20">
        <v>-6</v>
      </c>
      <c r="B100" s="1">
        <v>45387</v>
      </c>
      <c r="C100">
        <v>32.9</v>
      </c>
      <c r="F100">
        <f>100-55.46</f>
        <v>44.54</v>
      </c>
      <c r="G100" s="10"/>
      <c r="H100" s="10"/>
    </row>
    <row r="101" spans="1:9" x14ac:dyDescent="0.3">
      <c r="A101" t="s">
        <v>104</v>
      </c>
      <c r="B101" s="1"/>
      <c r="F101" s="6"/>
      <c r="G101" s="10"/>
      <c r="H101" s="10"/>
    </row>
    <row r="102" spans="1:9" x14ac:dyDescent="0.3">
      <c r="A102" s="20" t="s">
        <v>46</v>
      </c>
      <c r="B102" s="1"/>
      <c r="G102" s="10"/>
      <c r="H102" s="10"/>
    </row>
    <row r="103" spans="1:9" x14ac:dyDescent="0.3">
      <c r="A103" s="20"/>
      <c r="B103" s="1"/>
      <c r="G103" s="10"/>
      <c r="H103" s="10"/>
    </row>
    <row r="104" spans="1:9" x14ac:dyDescent="0.3">
      <c r="A104" s="20"/>
      <c r="B104" s="1"/>
    </row>
    <row r="105" spans="1:9" x14ac:dyDescent="0.3">
      <c r="A105" s="3" t="s">
        <v>10</v>
      </c>
      <c r="B105" s="4" t="s">
        <v>9</v>
      </c>
      <c r="C105" s="4" t="s">
        <v>4</v>
      </c>
      <c r="D105" s="4" t="s">
        <v>1</v>
      </c>
      <c r="E105" s="4" t="s">
        <v>2</v>
      </c>
      <c r="F105" s="4" t="s">
        <v>7</v>
      </c>
      <c r="G105" s="11" t="s">
        <v>1</v>
      </c>
      <c r="H105" s="12" t="s">
        <v>2</v>
      </c>
    </row>
    <row r="106" spans="1:9" x14ac:dyDescent="0.3">
      <c r="A106" s="9" t="s">
        <v>38</v>
      </c>
      <c r="B106" s="1">
        <v>45366</v>
      </c>
      <c r="C106">
        <v>1.5529999999999999</v>
      </c>
      <c r="D106" s="6">
        <f>AVERAGE(C106:C114)</f>
        <v>4.1698000000000004</v>
      </c>
      <c r="E106" s="6">
        <f>STDEV(C106:C114)/SQRT(COUNT(C106:C114))</f>
        <v>1.4240326330530488</v>
      </c>
      <c r="F106">
        <f>100-35.11</f>
        <v>64.89</v>
      </c>
      <c r="G106" s="6">
        <f>AVERAGE(F106:F114)</f>
        <v>57.201999999999998</v>
      </c>
      <c r="H106" s="6">
        <f>STDEV(F106:F114)/SQRT(COUNT(F106:F114))</f>
        <v>4.7932613114663445</v>
      </c>
    </row>
    <row r="107" spans="1:9" x14ac:dyDescent="0.3">
      <c r="A107" s="20">
        <v>-6</v>
      </c>
      <c r="B107" s="1">
        <v>45373</v>
      </c>
      <c r="C107">
        <v>2.1539999999999999</v>
      </c>
      <c r="F107">
        <f>100-32.82</f>
        <v>67.180000000000007</v>
      </c>
      <c r="G107" s="10"/>
      <c r="H107" s="10"/>
    </row>
    <row r="108" spans="1:9" x14ac:dyDescent="0.3">
      <c r="A108" s="20">
        <v>-6</v>
      </c>
      <c r="B108" s="1">
        <v>45380</v>
      </c>
      <c r="C108">
        <v>9.1859999999999999</v>
      </c>
      <c r="E108" s="8">
        <f>E106/D106</f>
        <v>0.34151101564896369</v>
      </c>
      <c r="F108">
        <f>100-47.96</f>
        <v>52.04</v>
      </c>
      <c r="H108" s="10"/>
    </row>
    <row r="109" spans="1:9" x14ac:dyDescent="0.3">
      <c r="A109" s="20">
        <v>-6</v>
      </c>
      <c r="B109" s="1">
        <v>45380</v>
      </c>
      <c r="C109" s="21" t="s">
        <v>70</v>
      </c>
      <c r="F109" s="21" t="s">
        <v>71</v>
      </c>
      <c r="G109" s="10"/>
      <c r="H109" s="10"/>
      <c r="I109" s="21" t="s">
        <v>77</v>
      </c>
    </row>
    <row r="110" spans="1:9" x14ac:dyDescent="0.3">
      <c r="A110" s="20">
        <v>-6</v>
      </c>
      <c r="B110" s="1">
        <v>45387</v>
      </c>
      <c r="C110">
        <v>5.4630000000000001</v>
      </c>
      <c r="F110" s="6">
        <f>100-58.95</f>
        <v>41.05</v>
      </c>
      <c r="G110" s="10"/>
      <c r="H110" s="10"/>
    </row>
    <row r="111" spans="1:9" x14ac:dyDescent="0.3">
      <c r="A111" s="20">
        <v>-6</v>
      </c>
      <c r="B111" s="1">
        <v>45387</v>
      </c>
      <c r="C111">
        <v>2.4929999999999999</v>
      </c>
      <c r="F111">
        <f>100-39.15</f>
        <v>60.85</v>
      </c>
      <c r="G111" s="10"/>
      <c r="H111" s="10"/>
    </row>
    <row r="112" spans="1:9" x14ac:dyDescent="0.3">
      <c r="A112" t="s">
        <v>104</v>
      </c>
      <c r="B112" s="1"/>
      <c r="G112" s="10"/>
      <c r="H112" s="10"/>
    </row>
    <row r="113" spans="1:9" x14ac:dyDescent="0.3">
      <c r="A113" s="9" t="s">
        <v>46</v>
      </c>
      <c r="B113" s="1"/>
      <c r="G113" s="10"/>
      <c r="H113" s="10"/>
    </row>
    <row r="115" spans="1:9" x14ac:dyDescent="0.3">
      <c r="A115" s="3" t="s">
        <v>10</v>
      </c>
      <c r="B115" s="4" t="s">
        <v>9</v>
      </c>
      <c r="C115" s="4" t="s">
        <v>4</v>
      </c>
      <c r="D115" s="4" t="s">
        <v>1</v>
      </c>
      <c r="E115" s="4" t="s">
        <v>2</v>
      </c>
      <c r="F115" s="4" t="s">
        <v>7</v>
      </c>
      <c r="G115" s="11" t="s">
        <v>1</v>
      </c>
      <c r="H115" s="12" t="s">
        <v>2</v>
      </c>
    </row>
    <row r="116" spans="1:9" x14ac:dyDescent="0.3">
      <c r="A116" s="9" t="s">
        <v>39</v>
      </c>
      <c r="B116" s="1">
        <v>45366</v>
      </c>
      <c r="C116">
        <v>1.1850000000000001</v>
      </c>
      <c r="D116" s="6">
        <f>AVERAGE(C116:C131)</f>
        <v>7.8064545454545451</v>
      </c>
      <c r="E116" s="6">
        <f>STDEV(C116:C131)/SQRT(COUNT(C116:C131))</f>
        <v>1.2409162404056451</v>
      </c>
      <c r="F116">
        <f>100-39.64</f>
        <v>60.36</v>
      </c>
      <c r="G116" s="6">
        <f>AVERAGE(F116:F131)</f>
        <v>47.552727272727275</v>
      </c>
      <c r="H116" s="6">
        <f>STDEV(F116:F131)/SQRT(COUNT(F116:F131))</f>
        <v>4.1725253070552464</v>
      </c>
    </row>
    <row r="117" spans="1:9" x14ac:dyDescent="0.3">
      <c r="A117" s="20">
        <v>-6</v>
      </c>
      <c r="B117" s="1">
        <v>45373</v>
      </c>
      <c r="C117">
        <v>3.4710000000000001</v>
      </c>
      <c r="F117">
        <f>100-49.88</f>
        <v>50.12</v>
      </c>
      <c r="G117" s="10"/>
      <c r="H117" s="10"/>
    </row>
    <row r="118" spans="1:9" x14ac:dyDescent="0.3">
      <c r="A118" s="20">
        <v>-6</v>
      </c>
      <c r="B118" s="1">
        <v>45380</v>
      </c>
      <c r="C118">
        <v>13.66</v>
      </c>
      <c r="E118" s="8">
        <f>E116/D116</f>
        <v>0.15896028513074376</v>
      </c>
      <c r="F118">
        <f>100-61.91</f>
        <v>38.090000000000003</v>
      </c>
      <c r="H118" s="10"/>
    </row>
    <row r="119" spans="1:9" x14ac:dyDescent="0.3">
      <c r="A119" s="20">
        <v>-6</v>
      </c>
      <c r="B119" s="1">
        <v>45380</v>
      </c>
      <c r="C119" s="21" t="s">
        <v>89</v>
      </c>
      <c r="F119" s="21" t="s">
        <v>90</v>
      </c>
      <c r="G119" s="10"/>
      <c r="H119" s="10"/>
      <c r="I119" s="21" t="s">
        <v>77</v>
      </c>
    </row>
    <row r="120" spans="1:9" x14ac:dyDescent="0.3">
      <c r="A120" s="20">
        <v>-5</v>
      </c>
      <c r="B120" s="1">
        <v>45387</v>
      </c>
      <c r="C120">
        <v>8.0869999999999997</v>
      </c>
      <c r="F120" s="6">
        <f>100-47.63</f>
        <v>52.37</v>
      </c>
      <c r="G120" s="10"/>
      <c r="H120" s="10"/>
    </row>
    <row r="121" spans="1:9" x14ac:dyDescent="0.3">
      <c r="A121" s="20">
        <v>-6</v>
      </c>
      <c r="B121" s="1">
        <v>45387</v>
      </c>
      <c r="C121">
        <v>1.2549999999999999</v>
      </c>
      <c r="F121">
        <f>100-22.56</f>
        <v>77.44</v>
      </c>
      <c r="G121" s="10"/>
      <c r="H121" s="10"/>
    </row>
    <row r="122" spans="1:9" x14ac:dyDescent="0.3">
      <c r="A122" s="20">
        <v>-5</v>
      </c>
      <c r="B122" s="1">
        <v>45387</v>
      </c>
      <c r="C122" s="21" t="s">
        <v>87</v>
      </c>
      <c r="D122" s="10"/>
      <c r="E122" s="10"/>
      <c r="F122" t="s">
        <v>88</v>
      </c>
      <c r="G122" s="10"/>
      <c r="H122" s="10"/>
      <c r="I122" t="s">
        <v>91</v>
      </c>
    </row>
    <row r="123" spans="1:9" x14ac:dyDescent="0.3">
      <c r="A123" s="20">
        <v>-6</v>
      </c>
      <c r="B123" s="1">
        <v>45393</v>
      </c>
      <c r="C123">
        <v>9.8409999999999993</v>
      </c>
      <c r="D123" s="10"/>
      <c r="E123" s="10"/>
      <c r="F123">
        <f>100-48.86</f>
        <v>51.14</v>
      </c>
      <c r="G123" s="10"/>
      <c r="H123" s="10"/>
    </row>
    <row r="124" spans="1:9" x14ac:dyDescent="0.3">
      <c r="A124" s="20">
        <v>-5</v>
      </c>
      <c r="B124" s="1">
        <v>45393</v>
      </c>
      <c r="C124">
        <v>10.41</v>
      </c>
      <c r="D124" s="10"/>
      <c r="E124" s="10"/>
      <c r="F124">
        <f>100-62.45</f>
        <v>37.549999999999997</v>
      </c>
      <c r="G124" s="10"/>
      <c r="H124" s="10"/>
    </row>
    <row r="125" spans="1:9" x14ac:dyDescent="0.3">
      <c r="A125" s="20">
        <v>-6</v>
      </c>
      <c r="B125" s="1">
        <v>45393</v>
      </c>
      <c r="C125">
        <v>10.49</v>
      </c>
      <c r="D125" s="10"/>
      <c r="E125" s="10"/>
      <c r="F125">
        <f>100-58.56</f>
        <v>41.44</v>
      </c>
      <c r="G125" s="10"/>
      <c r="H125" s="10"/>
    </row>
    <row r="126" spans="1:9" x14ac:dyDescent="0.3">
      <c r="A126" s="20">
        <v>-6</v>
      </c>
      <c r="B126" s="1">
        <v>45393</v>
      </c>
      <c r="C126">
        <v>7.1879999999999997</v>
      </c>
      <c r="D126" s="10"/>
      <c r="E126" s="10"/>
      <c r="F126">
        <f>100-47.25</f>
        <v>52.75</v>
      </c>
      <c r="G126" s="10"/>
      <c r="H126" s="10"/>
    </row>
    <row r="127" spans="1:9" x14ac:dyDescent="0.3">
      <c r="A127" s="20">
        <v>-5</v>
      </c>
      <c r="B127" s="1">
        <v>45393</v>
      </c>
      <c r="C127">
        <v>9.9540000000000006</v>
      </c>
      <c r="D127" s="10"/>
      <c r="E127" s="10"/>
      <c r="F127">
        <f>100-67.19</f>
        <v>32.81</v>
      </c>
      <c r="G127" s="10"/>
      <c r="H127" s="10"/>
    </row>
    <row r="128" spans="1:9" x14ac:dyDescent="0.3">
      <c r="A128" s="20">
        <v>-5</v>
      </c>
      <c r="B128" s="1">
        <v>45393</v>
      </c>
      <c r="C128">
        <v>10.33</v>
      </c>
      <c r="D128" s="10"/>
      <c r="E128" s="10"/>
      <c r="F128">
        <f>100-70.99</f>
        <v>29.010000000000005</v>
      </c>
      <c r="G128" s="10"/>
      <c r="H128" s="10"/>
    </row>
    <row r="129" spans="1:9" x14ac:dyDescent="0.3">
      <c r="A129" t="s">
        <v>115</v>
      </c>
      <c r="B129" s="1"/>
      <c r="D129" s="10"/>
      <c r="E129" s="10"/>
      <c r="G129" s="10"/>
      <c r="H129" s="10"/>
    </row>
    <row r="130" spans="1:9" x14ac:dyDescent="0.3">
      <c r="A130" s="20" t="s">
        <v>46</v>
      </c>
      <c r="B130" s="1"/>
      <c r="D130" s="10"/>
      <c r="E130" s="10"/>
      <c r="G130" s="10"/>
      <c r="H130" s="10"/>
    </row>
    <row r="131" spans="1:9" x14ac:dyDescent="0.3">
      <c r="B131" s="1"/>
      <c r="D131" s="10"/>
      <c r="E131" s="10"/>
      <c r="G131" s="10"/>
      <c r="H131" s="10"/>
    </row>
    <row r="132" spans="1:9" x14ac:dyDescent="0.3">
      <c r="A132" s="3" t="s">
        <v>10</v>
      </c>
      <c r="B132" s="4" t="s">
        <v>9</v>
      </c>
      <c r="C132" s="4" t="s">
        <v>4</v>
      </c>
      <c r="D132" s="4" t="s">
        <v>1</v>
      </c>
      <c r="E132" s="4" t="s">
        <v>2</v>
      </c>
      <c r="F132" s="4" t="s">
        <v>7</v>
      </c>
      <c r="G132" s="11" t="s">
        <v>1</v>
      </c>
      <c r="H132" s="12" t="s">
        <v>2</v>
      </c>
    </row>
    <row r="133" spans="1:9" x14ac:dyDescent="0.3">
      <c r="A133" s="9" t="s">
        <v>40</v>
      </c>
      <c r="B133" s="1">
        <v>45366</v>
      </c>
      <c r="C133" t="s">
        <v>95</v>
      </c>
      <c r="D133" s="6">
        <f>AVERAGE(C133:C148)</f>
        <v>11.95289</v>
      </c>
      <c r="E133" s="6">
        <f>STDEV(C133:C148)/SQRT(COUNT(C133:C148))</f>
        <v>3.3260855359633248</v>
      </c>
      <c r="F133" t="s">
        <v>97</v>
      </c>
      <c r="G133" s="6">
        <f>AVERAGE(F133:F148)</f>
        <v>43.706000000000003</v>
      </c>
      <c r="H133" s="6">
        <f>STDEV(F133:F148)/SQRT(COUNT(F133:F148))</f>
        <v>3.4904842707630763</v>
      </c>
      <c r="I133" t="s">
        <v>91</v>
      </c>
    </row>
    <row r="134" spans="1:9" x14ac:dyDescent="0.3">
      <c r="A134" s="20">
        <v>-5</v>
      </c>
      <c r="B134" s="1">
        <v>45373</v>
      </c>
      <c r="C134">
        <v>0.60560000000000003</v>
      </c>
      <c r="F134">
        <f>100-45.04</f>
        <v>54.96</v>
      </c>
      <c r="G134" s="10"/>
      <c r="H134" s="10"/>
    </row>
    <row r="135" spans="1:9" x14ac:dyDescent="0.3">
      <c r="A135" s="20">
        <v>-5</v>
      </c>
      <c r="B135" s="1">
        <v>45373</v>
      </c>
      <c r="C135">
        <v>0.65429999999999999</v>
      </c>
      <c r="E135" s="8">
        <f>E133/D133</f>
        <v>0.27826622147140356</v>
      </c>
      <c r="F135">
        <f>100-57.24</f>
        <v>42.76</v>
      </c>
      <c r="H135" s="10"/>
    </row>
    <row r="136" spans="1:9" x14ac:dyDescent="0.3">
      <c r="A136" s="20">
        <v>-6</v>
      </c>
      <c r="B136" s="1">
        <v>45380</v>
      </c>
      <c r="C136" s="26">
        <v>17.78</v>
      </c>
      <c r="D136" s="26"/>
      <c r="E136" s="26"/>
      <c r="F136" s="26">
        <v>27.46</v>
      </c>
      <c r="G136" s="10"/>
      <c r="H136" s="10"/>
      <c r="I136" s="21" t="s">
        <v>77</v>
      </c>
    </row>
    <row r="137" spans="1:9" x14ac:dyDescent="0.3">
      <c r="A137" s="20">
        <v>-5</v>
      </c>
      <c r="B137" s="1">
        <v>45387</v>
      </c>
      <c r="C137" s="26">
        <v>1.0169999999999999</v>
      </c>
      <c r="D137" s="26"/>
      <c r="E137" s="26"/>
      <c r="F137" s="26">
        <f>100-38.11</f>
        <v>61.89</v>
      </c>
      <c r="G137" s="10"/>
      <c r="H137" s="10"/>
      <c r="I137" s="21"/>
    </row>
    <row r="138" spans="1:9" x14ac:dyDescent="0.3">
      <c r="A138" s="20">
        <v>-6</v>
      </c>
      <c r="B138" s="1">
        <v>45387</v>
      </c>
      <c r="C138" s="26">
        <v>9.5250000000000004</v>
      </c>
      <c r="D138" s="26"/>
      <c r="E138" s="26"/>
      <c r="F138" s="26">
        <f>100-67.77</f>
        <v>32.230000000000004</v>
      </c>
      <c r="G138" s="10"/>
      <c r="H138" s="10"/>
      <c r="I138" s="21"/>
    </row>
    <row r="139" spans="1:9" x14ac:dyDescent="0.3">
      <c r="A139" s="20">
        <v>-5</v>
      </c>
      <c r="B139" s="1">
        <v>45387</v>
      </c>
      <c r="C139" s="21" t="s">
        <v>85</v>
      </c>
      <c r="F139" s="27" t="s">
        <v>86</v>
      </c>
      <c r="G139" s="10"/>
      <c r="H139" s="10"/>
      <c r="I139" t="s">
        <v>91</v>
      </c>
    </row>
    <row r="140" spans="1:9" x14ac:dyDescent="0.3">
      <c r="A140" s="20">
        <v>-6</v>
      </c>
      <c r="B140" s="1">
        <v>45393</v>
      </c>
      <c r="C140" s="26">
        <v>8.31</v>
      </c>
      <c r="D140" s="26"/>
      <c r="E140" s="26"/>
      <c r="F140" s="28">
        <f>100-54.5</f>
        <v>45.5</v>
      </c>
      <c r="G140" s="10"/>
      <c r="H140" s="10"/>
    </row>
    <row r="141" spans="1:9" x14ac:dyDescent="0.3">
      <c r="A141" s="20">
        <v>-6</v>
      </c>
      <c r="B141" s="1">
        <v>45393</v>
      </c>
      <c r="C141" s="26">
        <v>21.75</v>
      </c>
      <c r="D141" s="26"/>
      <c r="E141" s="26"/>
      <c r="F141" s="28">
        <f>100-65.37</f>
        <v>34.629999999999995</v>
      </c>
      <c r="G141" s="10"/>
      <c r="H141" s="10"/>
    </row>
    <row r="142" spans="1:9" x14ac:dyDescent="0.3">
      <c r="A142" s="20">
        <v>-6</v>
      </c>
      <c r="B142" s="1">
        <v>45393</v>
      </c>
      <c r="C142" s="26">
        <v>20.03</v>
      </c>
      <c r="D142" s="26"/>
      <c r="E142" s="26"/>
      <c r="F142" s="28">
        <f>100-44.48</f>
        <v>55.52</v>
      </c>
      <c r="G142" s="10"/>
      <c r="H142" s="10"/>
    </row>
    <row r="143" spans="1:9" x14ac:dyDescent="0.3">
      <c r="A143" s="20">
        <v>-6</v>
      </c>
      <c r="B143" s="1">
        <v>45393</v>
      </c>
      <c r="C143" s="26">
        <v>31.72</v>
      </c>
      <c r="D143" s="26"/>
      <c r="E143" s="26"/>
      <c r="F143" s="28">
        <f>100-60.26</f>
        <v>39.74</v>
      </c>
      <c r="G143" s="10"/>
      <c r="H143" s="10"/>
    </row>
    <row r="144" spans="1:9" x14ac:dyDescent="0.3">
      <c r="A144" s="20">
        <v>-6</v>
      </c>
      <c r="B144" s="1">
        <v>45393</v>
      </c>
      <c r="C144" s="26">
        <v>8.1370000000000005</v>
      </c>
      <c r="D144" s="26"/>
      <c r="E144" s="26"/>
      <c r="F144" s="28">
        <f>100-57.63</f>
        <v>42.37</v>
      </c>
      <c r="G144" s="10"/>
      <c r="H144" s="10"/>
    </row>
    <row r="145" spans="1:9" x14ac:dyDescent="0.3">
      <c r="A145" t="s">
        <v>114</v>
      </c>
      <c r="B145" s="1"/>
      <c r="C145" s="21"/>
      <c r="F145" s="27"/>
      <c r="G145" s="10"/>
      <c r="H145" s="10"/>
    </row>
    <row r="146" spans="1:9" x14ac:dyDescent="0.3">
      <c r="A146" s="20" t="s">
        <v>46</v>
      </c>
      <c r="B146" s="1"/>
      <c r="G146" s="10"/>
      <c r="H146" s="10"/>
    </row>
    <row r="147" spans="1:9" x14ac:dyDescent="0.3">
      <c r="B147" s="1"/>
      <c r="D147" s="10"/>
      <c r="E147" s="10"/>
      <c r="G147" s="10"/>
      <c r="H147" s="10"/>
    </row>
    <row r="148" spans="1:9" x14ac:dyDescent="0.3">
      <c r="B148" s="1"/>
      <c r="D148" s="10"/>
      <c r="E148" s="10"/>
      <c r="G148" s="10"/>
      <c r="H148" s="10"/>
    </row>
    <row r="149" spans="1:9" x14ac:dyDescent="0.3">
      <c r="A149" s="3" t="s">
        <v>10</v>
      </c>
      <c r="B149" s="4" t="s">
        <v>9</v>
      </c>
      <c r="C149" s="4" t="s">
        <v>4</v>
      </c>
      <c r="D149" s="4" t="s">
        <v>1</v>
      </c>
      <c r="E149" s="4" t="s">
        <v>2</v>
      </c>
      <c r="F149" s="4" t="s">
        <v>7</v>
      </c>
      <c r="G149" s="11" t="s">
        <v>1</v>
      </c>
      <c r="H149" s="12" t="s">
        <v>2</v>
      </c>
    </row>
    <row r="150" spans="1:9" x14ac:dyDescent="0.3">
      <c r="A150" s="9" t="s">
        <v>41</v>
      </c>
      <c r="B150" s="1">
        <v>45366</v>
      </c>
      <c r="C150">
        <v>14.77</v>
      </c>
      <c r="D150" s="6">
        <f>AVERAGE(C150:C157)</f>
        <v>10.787166666666666</v>
      </c>
      <c r="E150" s="6">
        <f>STDEV(C150:C157)/SQRT(COUNT(C150:C157))</f>
        <v>3.3322840756920939</v>
      </c>
      <c r="F150">
        <f>100-14.77</f>
        <v>85.23</v>
      </c>
      <c r="G150" s="6">
        <f>AVERAGE(F150:F157)</f>
        <v>61.41</v>
      </c>
      <c r="H150" s="6">
        <f>STDEV(F150:F157)/SQRT(COUNT(F150:F157))</f>
        <v>6.0898029524772079</v>
      </c>
    </row>
    <row r="151" spans="1:9" x14ac:dyDescent="0.3">
      <c r="A151" s="20">
        <v>-5</v>
      </c>
      <c r="B151" s="1">
        <v>45373</v>
      </c>
      <c r="C151">
        <v>3.597</v>
      </c>
      <c r="F151">
        <f>100-31.42</f>
        <v>68.58</v>
      </c>
      <c r="G151" s="10"/>
      <c r="H151" s="10"/>
    </row>
    <row r="152" spans="1:9" x14ac:dyDescent="0.3">
      <c r="A152" s="20">
        <v>-6</v>
      </c>
      <c r="B152" s="1">
        <v>45380</v>
      </c>
      <c r="C152">
        <v>6.9020000000000001</v>
      </c>
      <c r="E152" s="8">
        <f>E150/D150</f>
        <v>0.30891189305428618</v>
      </c>
      <c r="F152">
        <f>100-60.07</f>
        <v>39.93</v>
      </c>
      <c r="H152" s="10"/>
    </row>
    <row r="153" spans="1:9" x14ac:dyDescent="0.3">
      <c r="A153" s="20">
        <v>-6</v>
      </c>
      <c r="B153" s="1">
        <v>45380</v>
      </c>
      <c r="C153" s="21" t="s">
        <v>68</v>
      </c>
      <c r="F153" s="21" t="s">
        <v>69</v>
      </c>
      <c r="G153" s="10"/>
      <c r="H153" s="10"/>
      <c r="I153" s="21" t="s">
        <v>77</v>
      </c>
    </row>
    <row r="154" spans="1:9" x14ac:dyDescent="0.3">
      <c r="A154" s="20">
        <v>-5</v>
      </c>
      <c r="B154" s="1">
        <v>45387</v>
      </c>
      <c r="C154">
        <v>6.6630000000000003</v>
      </c>
      <c r="F154" s="6">
        <f>100-42.37</f>
        <v>57.63</v>
      </c>
      <c r="G154" s="10"/>
      <c r="H154" s="10"/>
    </row>
    <row r="155" spans="1:9" x14ac:dyDescent="0.3">
      <c r="A155" s="20">
        <v>-5</v>
      </c>
      <c r="B155" s="1">
        <v>45387</v>
      </c>
      <c r="C155">
        <v>25.63</v>
      </c>
      <c r="F155">
        <f>100-40.54</f>
        <v>59.46</v>
      </c>
      <c r="G155" s="10"/>
      <c r="H155" s="10"/>
    </row>
    <row r="156" spans="1:9" x14ac:dyDescent="0.3">
      <c r="A156" s="20">
        <v>-6</v>
      </c>
      <c r="B156" s="1">
        <v>45387</v>
      </c>
      <c r="C156">
        <v>7.1609999999999996</v>
      </c>
      <c r="D156" s="10"/>
      <c r="E156" s="10"/>
      <c r="F156">
        <f>100-42.37</f>
        <v>57.63</v>
      </c>
      <c r="G156" s="10"/>
      <c r="H156" s="10"/>
    </row>
    <row r="157" spans="1:9" x14ac:dyDescent="0.3">
      <c r="A157" t="s">
        <v>113</v>
      </c>
      <c r="B157" s="1"/>
      <c r="D157" s="10"/>
      <c r="E157" s="10"/>
      <c r="G157" s="10"/>
      <c r="H157" s="10"/>
    </row>
    <row r="158" spans="1:9" x14ac:dyDescent="0.3">
      <c r="A158" s="9" t="s">
        <v>46</v>
      </c>
      <c r="B158" s="1"/>
      <c r="D158" s="10"/>
      <c r="E158" s="10"/>
      <c r="G158" s="10"/>
      <c r="H158" s="10"/>
    </row>
    <row r="159" spans="1:9" x14ac:dyDescent="0.3">
      <c r="B159" s="1"/>
      <c r="D159" s="10"/>
      <c r="E159" s="10"/>
      <c r="G159" s="10"/>
      <c r="H159" s="10"/>
    </row>
    <row r="160" spans="1:9" x14ac:dyDescent="0.3">
      <c r="B160" s="1"/>
      <c r="D160" s="10"/>
      <c r="E160" s="10"/>
      <c r="G160" s="10"/>
      <c r="H160" s="10"/>
    </row>
    <row r="161" spans="2:8" x14ac:dyDescent="0.3">
      <c r="B161" s="1"/>
      <c r="D161" s="10"/>
      <c r="E161" s="10"/>
      <c r="G161" s="10"/>
      <c r="H161" s="10"/>
    </row>
    <row r="162" spans="2:8" x14ac:dyDescent="0.3">
      <c r="B162" s="1"/>
      <c r="D162" s="10"/>
      <c r="E162" s="10"/>
      <c r="G162" s="10"/>
      <c r="H162" s="10"/>
    </row>
    <row r="163" spans="2:8" x14ac:dyDescent="0.3">
      <c r="B163" s="1"/>
      <c r="D163" s="10"/>
      <c r="E163" s="10"/>
      <c r="G163" s="10"/>
      <c r="H163" s="10"/>
    </row>
    <row r="164" spans="2:8" x14ac:dyDescent="0.3">
      <c r="B164" s="1"/>
      <c r="D164" s="10"/>
      <c r="E164" s="10"/>
      <c r="G164" s="10"/>
      <c r="H164" s="10"/>
    </row>
    <row r="165" spans="2:8" x14ac:dyDescent="0.3">
      <c r="B165" s="1"/>
      <c r="D165" s="10"/>
      <c r="E165" s="10"/>
      <c r="G165" s="10"/>
      <c r="H165" s="10"/>
    </row>
    <row r="166" spans="2:8" x14ac:dyDescent="0.3">
      <c r="B166" s="1"/>
      <c r="D166" s="10"/>
      <c r="E166" s="10"/>
      <c r="G166" s="10"/>
      <c r="H166" s="10"/>
    </row>
    <row r="167" spans="2:8" x14ac:dyDescent="0.3">
      <c r="B167" s="1"/>
      <c r="D167" s="10"/>
      <c r="E167" s="10"/>
      <c r="G167" s="10"/>
      <c r="H167" s="10"/>
    </row>
    <row r="168" spans="2:8" x14ac:dyDescent="0.3">
      <c r="B168" s="1"/>
      <c r="D168" s="10"/>
      <c r="E168" s="10"/>
      <c r="G168" s="10"/>
      <c r="H168" s="10"/>
    </row>
    <row r="169" spans="2:8" x14ac:dyDescent="0.3">
      <c r="B169" s="1"/>
      <c r="D169" s="10"/>
      <c r="E169" s="10"/>
      <c r="G169" s="10"/>
      <c r="H169" s="10"/>
    </row>
    <row r="170" spans="2:8" x14ac:dyDescent="0.3">
      <c r="B170" s="1"/>
      <c r="D170" s="10"/>
      <c r="E170" s="10"/>
      <c r="G170" s="10"/>
      <c r="H170" s="10"/>
    </row>
    <row r="171" spans="2:8" x14ac:dyDescent="0.3">
      <c r="B171" s="1"/>
      <c r="D171" s="10"/>
      <c r="E171" s="10"/>
      <c r="G171" s="10"/>
      <c r="H171" s="10"/>
    </row>
    <row r="172" spans="2:8" x14ac:dyDescent="0.3">
      <c r="B172" s="1"/>
      <c r="D172" s="10"/>
      <c r="E172" s="10"/>
      <c r="G172" s="10"/>
      <c r="H172" s="10"/>
    </row>
    <row r="173" spans="2:8" x14ac:dyDescent="0.3">
      <c r="B173" s="1"/>
      <c r="D173" s="10"/>
      <c r="E173" s="10"/>
      <c r="G173" s="10"/>
      <c r="H173" s="10"/>
    </row>
    <row r="174" spans="2:8" x14ac:dyDescent="0.3">
      <c r="B174" s="1"/>
      <c r="D174" s="10"/>
      <c r="E174" s="10"/>
      <c r="G174" s="10"/>
      <c r="H174" s="10"/>
    </row>
    <row r="175" spans="2:8" x14ac:dyDescent="0.3">
      <c r="B175" s="1"/>
      <c r="D175" s="10"/>
      <c r="E175" s="10"/>
      <c r="G175" s="10"/>
      <c r="H175" s="10"/>
    </row>
    <row r="176" spans="2:8" x14ac:dyDescent="0.3">
      <c r="B176" s="1"/>
      <c r="D176" s="10"/>
      <c r="E176" s="10"/>
      <c r="G176" s="10"/>
      <c r="H176" s="10"/>
    </row>
    <row r="177" spans="1:8" x14ac:dyDescent="0.3">
      <c r="B177" s="1"/>
      <c r="D177" s="10"/>
      <c r="E177" s="10"/>
      <c r="G177" s="10"/>
      <c r="H177" s="10"/>
    </row>
    <row r="178" spans="1:8" x14ac:dyDescent="0.3">
      <c r="B178" s="1"/>
      <c r="G178" s="10"/>
      <c r="H178" s="10"/>
    </row>
    <row r="179" spans="1:8" x14ac:dyDescent="0.3">
      <c r="A179" s="9"/>
      <c r="B179" s="1"/>
      <c r="E179" s="8"/>
      <c r="H179" s="10"/>
    </row>
    <row r="180" spans="1:8" x14ac:dyDescent="0.3">
      <c r="B180" s="1"/>
      <c r="G180" s="10"/>
      <c r="H180" s="10"/>
    </row>
    <row r="181" spans="1:8" x14ac:dyDescent="0.3">
      <c r="A181" s="9"/>
      <c r="B181" s="1"/>
      <c r="G181" s="10"/>
      <c r="H181" s="10"/>
    </row>
    <row r="182" spans="1:8" x14ac:dyDescent="0.3">
      <c r="B182" s="1"/>
      <c r="G182" s="10"/>
      <c r="H182" s="10"/>
    </row>
    <row r="183" spans="1:8" x14ac:dyDescent="0.3">
      <c r="B183" s="1"/>
      <c r="G183" s="10"/>
      <c r="H183" s="10"/>
    </row>
  </sheetData>
  <pageMargins left="0.7" right="0.7" top="0.75" bottom="0.75" header="0.3" footer="0.3"/>
  <pageSetup fitToHeight="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AC21113D08CA4AA11B94D049CCA957" ma:contentTypeVersion="15" ma:contentTypeDescription="Create a new document." ma:contentTypeScope="" ma:versionID="5162a5de96b135813ee1897b46c91040">
  <xsd:schema xmlns:xsd="http://www.w3.org/2001/XMLSchema" xmlns:xs="http://www.w3.org/2001/XMLSchema" xmlns:p="http://schemas.microsoft.com/office/2006/metadata/properties" xmlns:ns2="1a253495-b0d9-40a4-8e1c-242bf5431677" xmlns:ns3="8cafe7d8-4bd4-4378-b54d-cfdec05ca8b5" targetNamespace="http://schemas.microsoft.com/office/2006/metadata/properties" ma:root="true" ma:fieldsID="bb0e9f5f971dd36718e546493f1efd59" ns2:_="" ns3:_="">
    <xsd:import namespace="1a253495-b0d9-40a4-8e1c-242bf5431677"/>
    <xsd:import namespace="8cafe7d8-4bd4-4378-b54d-cfdec05ca8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253495-b0d9-40a4-8e1c-242bf54316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f841b39-9e5f-4b0d-aa4b-9252280a9f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afe7d8-4bd4-4378-b54d-cfdec05ca8b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47c2b24-8ad0-483f-a40b-c3025bba6f1f}" ma:internalName="TaxCatchAll" ma:showField="CatchAllData" ma:web="8cafe7d8-4bd4-4378-b54d-cfdec05ca8b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cafe7d8-4bd4-4378-b54d-cfdec05ca8b5" xsi:nil="true"/>
    <lcf76f155ced4ddcb4097134ff3c332f xmlns="1a253495-b0d9-40a4-8e1c-242bf543167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FD23696-4783-4520-AED6-D449D070A2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253495-b0d9-40a4-8e1c-242bf5431677"/>
    <ds:schemaRef ds:uri="8cafe7d8-4bd4-4378-b54d-cfdec05ca8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270C3DC-473C-426C-AED2-BDDC25AD29F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36D3B77-346B-4892-BDA6-1F4CEE2D68EC}">
  <ds:schemaRefs>
    <ds:schemaRef ds:uri="http://purl.org/dc/terms/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8cafe7d8-4bd4-4378-b54d-cfdec05ca8b5"/>
    <ds:schemaRef ds:uri="http://schemas.microsoft.com/office/infopath/2007/PartnerControls"/>
    <ds:schemaRef ds:uri="1a253495-b0d9-40a4-8e1c-242bf5431677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D2 agonist</vt:lpstr>
      <vt:lpstr>D2 antagonist</vt:lpstr>
      <vt:lpstr>D3 agonist</vt:lpstr>
      <vt:lpstr>D3 antagonist</vt:lpstr>
    </vt:vector>
  </TitlesOfParts>
  <Company>OHSU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eshleman</dc:creator>
  <cp:lastModifiedBy>Amy Eshleman</cp:lastModifiedBy>
  <cp:lastPrinted>2024-07-26T23:45:31Z</cp:lastPrinted>
  <dcterms:created xsi:type="dcterms:W3CDTF">2008-11-05T20:33:03Z</dcterms:created>
  <dcterms:modified xsi:type="dcterms:W3CDTF">2024-10-11T22:45:03Z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0x010100D7AC21113D08CA4AA11B94D049CCA957</vt:lpwstr>
  </property>
  <property fmtid="{D5CDD505-2E9C-101B-9397-08002B2CF9AE}" pid="3" name="MediaServiceImageTags">
    <vt:lpwstr/>
  </property>
</Properties>
</file>