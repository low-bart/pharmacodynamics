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harmacodynamics\sample data\summary table\"/>
    </mc:Choice>
  </mc:AlternateContent>
  <xr:revisionPtr revIDLastSave="0" documentId="8_{4A402A24-B0B4-44D9-BC74-CB30259EE679}" xr6:coauthVersionLast="47" xr6:coauthVersionMax="47" xr10:uidLastSave="{00000000-0000-0000-0000-000000000000}"/>
  <bookViews>
    <workbookView xWindow="9285" yWindow="4830" windowWidth="38700" windowHeight="15270" activeTab="2" xr2:uid="{6979BA5D-89D2-4426-937A-95897A3DA029}"/>
  </bookViews>
  <sheets>
    <sheet name="5HT1A" sheetId="7" r:id="rId1"/>
    <sheet name="5HT2A" sheetId="8" r:id="rId2"/>
    <sheet name="5HT2B" sheetId="9" r:id="rId3"/>
    <sheet name="5HT2C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" i="9" l="1"/>
  <c r="K57" i="9"/>
  <c r="H57" i="9"/>
  <c r="H59" i="9"/>
  <c r="G57" i="9"/>
  <c r="E57" i="9"/>
  <c r="D57" i="9"/>
  <c r="L64" i="9"/>
  <c r="F65" i="9"/>
  <c r="L65" i="9"/>
  <c r="F64" i="9"/>
  <c r="K5" i="9"/>
  <c r="J5" i="9"/>
  <c r="G6" i="9"/>
  <c r="L6" i="9"/>
  <c r="E5" i="9"/>
  <c r="D5" i="9"/>
  <c r="K48" i="9"/>
  <c r="J48" i="9"/>
  <c r="D48" i="9"/>
  <c r="D68" i="9"/>
  <c r="K76" i="9"/>
  <c r="J76" i="9"/>
  <c r="E76" i="9"/>
  <c r="D76" i="9"/>
  <c r="K94" i="9"/>
  <c r="J94" i="9"/>
  <c r="D94" i="9"/>
  <c r="F100" i="9"/>
  <c r="L100" i="9"/>
  <c r="F82" i="9"/>
  <c r="L82" i="9"/>
  <c r="F81" i="9"/>
  <c r="L81" i="9"/>
  <c r="F63" i="9"/>
  <c r="L63" i="9"/>
  <c r="F62" i="9"/>
  <c r="L62" i="9"/>
  <c r="F54" i="9"/>
  <c r="L54" i="9"/>
  <c r="F53" i="9"/>
  <c r="L53" i="9"/>
  <c r="F14" i="9"/>
  <c r="L14" i="9"/>
  <c r="F13" i="9"/>
  <c r="L13" i="9"/>
  <c r="J104" i="8"/>
  <c r="J5" i="7"/>
  <c r="E5" i="7"/>
  <c r="D5" i="7"/>
  <c r="K29" i="7"/>
  <c r="J29" i="7"/>
  <c r="H29" i="7"/>
  <c r="G29" i="7"/>
  <c r="E29" i="7"/>
  <c r="D29" i="7"/>
  <c r="D84" i="7"/>
  <c r="D77" i="7"/>
  <c r="D70" i="7"/>
  <c r="D62" i="7"/>
  <c r="E54" i="7"/>
  <c r="D54" i="7"/>
  <c r="K47" i="7"/>
  <c r="J47" i="7"/>
  <c r="E47" i="7"/>
  <c r="D47" i="7"/>
  <c r="D41" i="7"/>
  <c r="D35" i="7"/>
  <c r="D22" i="7"/>
  <c r="D12" i="7"/>
  <c r="K104" i="8"/>
  <c r="H104" i="8"/>
  <c r="G104" i="8"/>
  <c r="E104" i="8"/>
  <c r="D104" i="8"/>
  <c r="D93" i="8"/>
  <c r="D85" i="8"/>
  <c r="D76" i="8"/>
  <c r="D67" i="8"/>
  <c r="D60" i="8"/>
  <c r="D53" i="8"/>
  <c r="D44" i="8"/>
  <c r="D36" i="8"/>
  <c r="D27" i="8"/>
  <c r="K16" i="8"/>
  <c r="D5" i="8"/>
  <c r="D103" i="9"/>
  <c r="D85" i="9"/>
  <c r="K43" i="9"/>
  <c r="K27" i="9"/>
  <c r="D18" i="9"/>
  <c r="D87" i="10"/>
  <c r="J79" i="10"/>
  <c r="D71" i="10"/>
  <c r="G65" i="10"/>
  <c r="J65" i="10"/>
  <c r="E56" i="10"/>
  <c r="D56" i="10"/>
  <c r="H56" i="10"/>
  <c r="G56" i="10"/>
  <c r="J56" i="10"/>
  <c r="K56" i="10"/>
  <c r="D47" i="10"/>
  <c r="K40" i="10"/>
  <c r="D34" i="10"/>
  <c r="E26" i="10"/>
  <c r="D26" i="10"/>
  <c r="H26" i="10"/>
  <c r="G26" i="10"/>
  <c r="J26" i="10"/>
  <c r="K26" i="10"/>
  <c r="K11" i="10"/>
  <c r="E5" i="10"/>
  <c r="D5" i="10"/>
  <c r="E47" i="10"/>
  <c r="H47" i="10"/>
  <c r="G47" i="10"/>
  <c r="K47" i="10"/>
  <c r="J47" i="10"/>
  <c r="F29" i="10"/>
  <c r="F37" i="10"/>
  <c r="F42" i="10"/>
  <c r="F90" i="10"/>
  <c r="F82" i="10"/>
  <c r="F36" i="10"/>
  <c r="F28" i="10"/>
  <c r="F21" i="10"/>
  <c r="F7" i="10"/>
  <c r="F89" i="10"/>
  <c r="F81" i="10"/>
  <c r="F73" i="10"/>
  <c r="F67" i="10"/>
  <c r="F58" i="10"/>
  <c r="F49" i="10"/>
  <c r="L31" i="10"/>
  <c r="F74" i="10"/>
  <c r="E71" i="10"/>
  <c r="K71" i="10"/>
  <c r="J71" i="10"/>
  <c r="D19" i="10"/>
  <c r="F62" i="10"/>
  <c r="L62" i="10"/>
  <c r="F61" i="10"/>
  <c r="L61" i="10"/>
  <c r="F53" i="10"/>
  <c r="L53" i="10"/>
  <c r="F52" i="10"/>
  <c r="L52" i="10"/>
  <c r="G108" i="9"/>
  <c r="L108" i="9"/>
  <c r="F107" i="9"/>
  <c r="F106" i="9"/>
  <c r="L106" i="9"/>
  <c r="F105" i="9"/>
  <c r="L105" i="9"/>
  <c r="F104" i="9"/>
  <c r="L104" i="9"/>
  <c r="K103" i="9"/>
  <c r="J103" i="9"/>
  <c r="F103" i="9"/>
  <c r="E103" i="9"/>
  <c r="F99" i="9"/>
  <c r="L99" i="9"/>
  <c r="F98" i="9"/>
  <c r="L98" i="9"/>
  <c r="F97" i="9"/>
  <c r="L97" i="9"/>
  <c r="F96" i="9"/>
  <c r="L96" i="9"/>
  <c r="F95" i="9"/>
  <c r="F94" i="9"/>
  <c r="E94" i="9"/>
  <c r="F89" i="9"/>
  <c r="G88" i="9"/>
  <c r="L88" i="9"/>
  <c r="F87" i="9"/>
  <c r="L87" i="9"/>
  <c r="F86" i="9"/>
  <c r="G85" i="9"/>
  <c r="L85" i="9"/>
  <c r="K85" i="9"/>
  <c r="J85" i="9"/>
  <c r="E85" i="9"/>
  <c r="F80" i="9"/>
  <c r="L80" i="9"/>
  <c r="L79" i="9"/>
  <c r="F79" i="9"/>
  <c r="F78" i="9"/>
  <c r="L78" i="9"/>
  <c r="F77" i="9"/>
  <c r="L77" i="9"/>
  <c r="L76" i="9"/>
  <c r="F72" i="9"/>
  <c r="L72" i="9"/>
  <c r="G71" i="9"/>
  <c r="L71" i="9"/>
  <c r="F70" i="9"/>
  <c r="L70" i="9"/>
  <c r="F69" i="9"/>
  <c r="L69" i="9"/>
  <c r="L68" i="9"/>
  <c r="K68" i="9"/>
  <c r="J68" i="9"/>
  <c r="E68" i="9"/>
  <c r="F61" i="9"/>
  <c r="L61" i="9"/>
  <c r="F60" i="9"/>
  <c r="L60" i="9"/>
  <c r="F59" i="9"/>
  <c r="F58" i="9"/>
  <c r="L58" i="9"/>
  <c r="L57" i="9"/>
  <c r="F52" i="9"/>
  <c r="L52" i="9"/>
  <c r="G51" i="9"/>
  <c r="L51" i="9"/>
  <c r="F50" i="9"/>
  <c r="L50" i="9"/>
  <c r="F49" i="9"/>
  <c r="H48" i="9"/>
  <c r="L49" i="9"/>
  <c r="L48" i="9"/>
  <c r="E48" i="9"/>
  <c r="F45" i="9"/>
  <c r="L45" i="9"/>
  <c r="F44" i="9"/>
  <c r="L44" i="9"/>
  <c r="J43" i="9"/>
  <c r="F43" i="9"/>
  <c r="G43" i="9"/>
  <c r="L43" i="9"/>
  <c r="E43" i="9"/>
  <c r="D43" i="9"/>
  <c r="F39" i="9"/>
  <c r="L39" i="9"/>
  <c r="F38" i="9"/>
  <c r="L38" i="9"/>
  <c r="F37" i="9"/>
  <c r="G36" i="9"/>
  <c r="H36" i="9"/>
  <c r="L37" i="9"/>
  <c r="K36" i="9"/>
  <c r="J36" i="9"/>
  <c r="F36" i="9"/>
  <c r="E36" i="9"/>
  <c r="D36" i="9"/>
  <c r="F32" i="9"/>
  <c r="L32" i="9"/>
  <c r="F31" i="9"/>
  <c r="G27" i="9"/>
  <c r="L31" i="9"/>
  <c r="F30" i="9"/>
  <c r="L30" i="9"/>
  <c r="F29" i="9"/>
  <c r="L29" i="9"/>
  <c r="F28" i="9"/>
  <c r="L28" i="9"/>
  <c r="L27" i="9"/>
  <c r="J27" i="9"/>
  <c r="E27" i="9"/>
  <c r="D27" i="9"/>
  <c r="L24" i="9"/>
  <c r="F23" i="9"/>
  <c r="L23" i="9"/>
  <c r="F22" i="9"/>
  <c r="L22" i="9"/>
  <c r="F21" i="9"/>
  <c r="F20" i="9"/>
  <c r="L20" i="9"/>
  <c r="F19" i="9"/>
  <c r="L19" i="9"/>
  <c r="L18" i="9"/>
  <c r="K18" i="9"/>
  <c r="J18" i="9"/>
  <c r="E18" i="9"/>
  <c r="F12" i="9"/>
  <c r="L12" i="9"/>
  <c r="F11" i="9"/>
  <c r="L11" i="9"/>
  <c r="F10" i="9"/>
  <c r="L10" i="9"/>
  <c r="F9" i="9"/>
  <c r="L9" i="9"/>
  <c r="F8" i="9"/>
  <c r="L8" i="9"/>
  <c r="L7" i="9"/>
  <c r="L5" i="9"/>
  <c r="F91" i="10"/>
  <c r="L90" i="10"/>
  <c r="L89" i="10"/>
  <c r="F88" i="10"/>
  <c r="L87" i="10"/>
  <c r="K87" i="10"/>
  <c r="J87" i="10"/>
  <c r="E87" i="10"/>
  <c r="F83" i="10"/>
  <c r="L83" i="10"/>
  <c r="L82" i="10"/>
  <c r="L81" i="10"/>
  <c r="F80" i="10"/>
  <c r="L80" i="10"/>
  <c r="K79" i="10"/>
  <c r="F79" i="10"/>
  <c r="E79" i="10"/>
  <c r="D79" i="10"/>
  <c r="L74" i="10"/>
  <c r="L73" i="10"/>
  <c r="F72" i="10"/>
  <c r="L72" i="10"/>
  <c r="F71" i="10"/>
  <c r="H71" i="10"/>
  <c r="L71" i="10"/>
  <c r="F68" i="10"/>
  <c r="L68" i="10"/>
  <c r="L67" i="10"/>
  <c r="F66" i="10"/>
  <c r="L66" i="10"/>
  <c r="K65" i="10"/>
  <c r="F65" i="10"/>
  <c r="L65" i="10"/>
  <c r="E65" i="10"/>
  <c r="D65" i="10"/>
  <c r="F60" i="10"/>
  <c r="L60" i="10"/>
  <c r="F59" i="10"/>
  <c r="L59" i="10"/>
  <c r="L58" i="10"/>
  <c r="F57" i="10"/>
  <c r="L57" i="10"/>
  <c r="F51" i="10"/>
  <c r="L51" i="10"/>
  <c r="F50" i="10"/>
  <c r="L50" i="10"/>
  <c r="L49" i="10"/>
  <c r="F48" i="10"/>
  <c r="H49" i="10"/>
  <c r="F47" i="10"/>
  <c r="F44" i="10"/>
  <c r="L44" i="10"/>
  <c r="F43" i="10"/>
  <c r="L43" i="10"/>
  <c r="L42" i="10"/>
  <c r="F41" i="10"/>
  <c r="L41" i="10"/>
  <c r="J40" i="10"/>
  <c r="F40" i="10"/>
  <c r="L40" i="10"/>
  <c r="E40" i="10"/>
  <c r="D40" i="10"/>
  <c r="L36" i="10"/>
  <c r="F35" i="10"/>
  <c r="L35" i="10"/>
  <c r="K34" i="10"/>
  <c r="J34" i="10"/>
  <c r="F34" i="10"/>
  <c r="L34" i="10"/>
  <c r="E34" i="10"/>
  <c r="F31" i="10"/>
  <c r="F30" i="10"/>
  <c r="L30" i="10"/>
  <c r="L29" i="10"/>
  <c r="L28" i="10"/>
  <c r="F27" i="10"/>
  <c r="L27" i="10"/>
  <c r="F26" i="10"/>
  <c r="F22" i="10"/>
  <c r="L22" i="10"/>
  <c r="L21" i="10"/>
  <c r="F20" i="10"/>
  <c r="L20" i="10"/>
  <c r="K19" i="10"/>
  <c r="J19" i="10"/>
  <c r="F19" i="10"/>
  <c r="L19" i="10"/>
  <c r="E19" i="10"/>
  <c r="F15" i="10"/>
  <c r="L15" i="10"/>
  <c r="F14" i="10"/>
  <c r="L14" i="10"/>
  <c r="F13" i="10"/>
  <c r="L13" i="10"/>
  <c r="F12" i="10"/>
  <c r="L12" i="10"/>
  <c r="J11" i="10"/>
  <c r="F11" i="10"/>
  <c r="L11" i="10"/>
  <c r="E11" i="10"/>
  <c r="D11" i="10"/>
  <c r="F8" i="10"/>
  <c r="L8" i="10"/>
  <c r="L7" i="10"/>
  <c r="F6" i="10"/>
  <c r="L6" i="10"/>
  <c r="K5" i="10"/>
  <c r="J5" i="10"/>
  <c r="F5" i="10"/>
  <c r="L5" i="10"/>
  <c r="G47" i="8"/>
  <c r="I107" i="8"/>
  <c r="F72" i="8"/>
  <c r="E44" i="8"/>
  <c r="E36" i="8"/>
  <c r="E27" i="8"/>
  <c r="J16" i="8"/>
  <c r="E16" i="8"/>
  <c r="D16" i="8"/>
  <c r="F50" i="8"/>
  <c r="F41" i="8"/>
  <c r="E5" i="8"/>
  <c r="L101" i="8"/>
  <c r="F101" i="8"/>
  <c r="F82" i="8"/>
  <c r="L82" i="8"/>
  <c r="F73" i="8"/>
  <c r="L73" i="8"/>
  <c r="F12" i="8"/>
  <c r="H7" i="7"/>
  <c r="L51" i="7"/>
  <c r="K12" i="7"/>
  <c r="J12" i="7"/>
  <c r="E12" i="7"/>
  <c r="F19" i="7"/>
  <c r="F18" i="7"/>
  <c r="F17" i="7"/>
  <c r="F81" i="7"/>
  <c r="F65" i="7"/>
  <c r="F57" i="7"/>
  <c r="F86" i="7"/>
  <c r="L86" i="7"/>
  <c r="F80" i="7"/>
  <c r="F73" i="7"/>
  <c r="F66" i="7"/>
  <c r="H62" i="7"/>
  <c r="F58" i="7"/>
  <c r="F50" i="7"/>
  <c r="F44" i="7"/>
  <c r="F38" i="7"/>
  <c r="L38" i="7"/>
  <c r="F31" i="7"/>
  <c r="L31" i="7"/>
  <c r="F26" i="7"/>
  <c r="F16" i="7"/>
  <c r="F8" i="7"/>
  <c r="H5" i="7"/>
  <c r="F25" i="7"/>
  <c r="K70" i="7"/>
  <c r="J70" i="7"/>
  <c r="E70" i="7"/>
  <c r="K62" i="7"/>
  <c r="J62" i="7"/>
  <c r="E62" i="7"/>
  <c r="K54" i="7"/>
  <c r="J54" i="7"/>
  <c r="K41" i="7"/>
  <c r="J41" i="7"/>
  <c r="E41" i="7"/>
  <c r="K35" i="7"/>
  <c r="J35" i="7"/>
  <c r="E35" i="7"/>
  <c r="K22" i="7"/>
  <c r="J22" i="7"/>
  <c r="E22" i="7"/>
  <c r="F85" i="7"/>
  <c r="F79" i="7"/>
  <c r="L79" i="7"/>
  <c r="F72" i="7"/>
  <c r="L72" i="7"/>
  <c r="F64" i="7"/>
  <c r="F56" i="7"/>
  <c r="L56" i="7"/>
  <c r="F49" i="7"/>
  <c r="L49" i="7"/>
  <c r="F43" i="7"/>
  <c r="L43" i="7"/>
  <c r="F37" i="7"/>
  <c r="F30" i="7"/>
  <c r="L30" i="7"/>
  <c r="F15" i="7"/>
  <c r="F7" i="7"/>
  <c r="L7" i="7"/>
  <c r="K5" i="7"/>
  <c r="F78" i="7"/>
  <c r="F71" i="7"/>
  <c r="L71" i="7"/>
  <c r="F63" i="7"/>
  <c r="L63" i="7"/>
  <c r="F62" i="7"/>
  <c r="F55" i="7"/>
  <c r="L55" i="7"/>
  <c r="F54" i="7"/>
  <c r="L54" i="7"/>
  <c r="F48" i="7"/>
  <c r="L48" i="7"/>
  <c r="F42" i="7"/>
  <c r="L42" i="7"/>
  <c r="F36" i="7"/>
  <c r="F29" i="7"/>
  <c r="F24" i="7"/>
  <c r="L24" i="7"/>
  <c r="F14" i="7"/>
  <c r="L14" i="7"/>
  <c r="F6" i="7"/>
  <c r="F59" i="7"/>
  <c r="F67" i="7"/>
  <c r="F5" i="7"/>
  <c r="L5" i="7"/>
  <c r="F81" i="8"/>
  <c r="L81" i="8"/>
  <c r="F33" i="8"/>
  <c r="L33" i="8"/>
  <c r="F24" i="8"/>
  <c r="L24" i="8"/>
  <c r="F23" i="8"/>
  <c r="L23" i="8"/>
  <c r="F11" i="8"/>
  <c r="L11" i="8"/>
  <c r="K76" i="8"/>
  <c r="J76" i="8"/>
  <c r="E76" i="8"/>
  <c r="L12" i="8"/>
  <c r="K5" i="8"/>
  <c r="J5" i="8"/>
  <c r="L80" i="8"/>
  <c r="F110" i="8"/>
  <c r="L110" i="8"/>
  <c r="F109" i="8"/>
  <c r="L109" i="8"/>
  <c r="L108" i="8"/>
  <c r="F107" i="8"/>
  <c r="L107" i="8"/>
  <c r="F106" i="8"/>
  <c r="L106" i="8"/>
  <c r="F105" i="8"/>
  <c r="L105" i="8"/>
  <c r="F104" i="8"/>
  <c r="L104" i="8"/>
  <c r="F100" i="8"/>
  <c r="L100" i="8"/>
  <c r="F99" i="8"/>
  <c r="L99" i="8"/>
  <c r="F98" i="8"/>
  <c r="L98" i="8"/>
  <c r="F97" i="8"/>
  <c r="F96" i="8"/>
  <c r="L96" i="8"/>
  <c r="F95" i="8"/>
  <c r="L95" i="8"/>
  <c r="F94" i="8"/>
  <c r="L94" i="8"/>
  <c r="K93" i="8"/>
  <c r="J93" i="8"/>
  <c r="F93" i="8"/>
  <c r="L93" i="8"/>
  <c r="E93" i="8"/>
  <c r="F87" i="8"/>
  <c r="G85" i="8"/>
  <c r="L87" i="8"/>
  <c r="F86" i="8"/>
  <c r="K85" i="8"/>
  <c r="J85" i="8"/>
  <c r="F85" i="8"/>
  <c r="L85" i="8"/>
  <c r="E85" i="8"/>
  <c r="F79" i="8"/>
  <c r="L79" i="8"/>
  <c r="F78" i="8"/>
  <c r="L78" i="8"/>
  <c r="F77" i="8"/>
  <c r="L77" i="8"/>
  <c r="F76" i="8"/>
  <c r="L76" i="8"/>
  <c r="L72" i="8"/>
  <c r="G71" i="8"/>
  <c r="F70" i="8"/>
  <c r="L70" i="8"/>
  <c r="F69" i="8"/>
  <c r="L69" i="8"/>
  <c r="F68" i="8"/>
  <c r="L68" i="8"/>
  <c r="K67" i="8"/>
  <c r="J67" i="8"/>
  <c r="F67" i="8"/>
  <c r="L67" i="8"/>
  <c r="E67" i="8"/>
  <c r="F64" i="8"/>
  <c r="L64" i="8"/>
  <c r="F63" i="8"/>
  <c r="L63" i="8"/>
  <c r="F62" i="8"/>
  <c r="L62" i="8"/>
  <c r="F61" i="8"/>
  <c r="L61" i="8"/>
  <c r="K60" i="8"/>
  <c r="J60" i="8"/>
  <c r="F60" i="8"/>
  <c r="E60" i="8"/>
  <c r="F57" i="8"/>
  <c r="L57" i="8"/>
  <c r="F56" i="8"/>
  <c r="L56" i="8"/>
  <c r="F55" i="8"/>
  <c r="L55" i="8"/>
  <c r="F54" i="8"/>
  <c r="L54" i="8"/>
  <c r="L53" i="8"/>
  <c r="K53" i="8"/>
  <c r="J53" i="8"/>
  <c r="E53" i="8"/>
  <c r="L50" i="8"/>
  <c r="F49" i="8"/>
  <c r="L49" i="8"/>
  <c r="F48" i="8"/>
  <c r="L48" i="8"/>
  <c r="L47" i="8"/>
  <c r="F46" i="8"/>
  <c r="L46" i="8"/>
  <c r="F45" i="8"/>
  <c r="L45" i="8"/>
  <c r="K44" i="8"/>
  <c r="J44" i="8"/>
  <c r="F44" i="8"/>
  <c r="L44" i="8"/>
  <c r="L41" i="8"/>
  <c r="F40" i="8"/>
  <c r="L40" i="8"/>
  <c r="F39" i="8"/>
  <c r="L39" i="8"/>
  <c r="F38" i="8"/>
  <c r="L38" i="8"/>
  <c r="F37" i="8"/>
  <c r="L37" i="8"/>
  <c r="L36" i="8"/>
  <c r="K36" i="8"/>
  <c r="J36" i="8"/>
  <c r="F32" i="8"/>
  <c r="L32" i="8"/>
  <c r="F31" i="8"/>
  <c r="L31" i="8"/>
  <c r="F30" i="8"/>
  <c r="L30" i="8"/>
  <c r="F29" i="8"/>
  <c r="L29" i="8"/>
  <c r="F28" i="8"/>
  <c r="L28" i="8"/>
  <c r="K27" i="8"/>
  <c r="J27" i="8"/>
  <c r="F27" i="8"/>
  <c r="L27" i="8"/>
  <c r="F22" i="8"/>
  <c r="L22" i="8"/>
  <c r="F21" i="8"/>
  <c r="F20" i="8"/>
  <c r="L20" i="8"/>
  <c r="F19" i="8"/>
  <c r="L19" i="8"/>
  <c r="F18" i="8"/>
  <c r="L18" i="8"/>
  <c r="F17" i="8"/>
  <c r="L17" i="8"/>
  <c r="L16" i="8"/>
  <c r="F10" i="8"/>
  <c r="L10" i="8"/>
  <c r="G9" i="8"/>
  <c r="F8" i="8"/>
  <c r="L8" i="8"/>
  <c r="F7" i="8"/>
  <c r="L7" i="8"/>
  <c r="F6" i="8"/>
  <c r="L6" i="8"/>
  <c r="F5" i="8"/>
  <c r="L5" i="8"/>
  <c r="F23" i="7"/>
  <c r="L23" i="7"/>
  <c r="F13" i="7"/>
  <c r="L13" i="7"/>
  <c r="F84" i="7"/>
  <c r="F77" i="7"/>
  <c r="L77" i="7"/>
  <c r="F70" i="7"/>
  <c r="L70" i="7"/>
  <c r="F41" i="7"/>
  <c r="H41" i="7"/>
  <c r="L41" i="7"/>
  <c r="F35" i="7"/>
  <c r="L35" i="7"/>
  <c r="F32" i="7"/>
  <c r="L32" i="7"/>
  <c r="F22" i="7"/>
  <c r="L22" i="7"/>
  <c r="F12" i="7"/>
  <c r="L12" i="7"/>
  <c r="L64" i="7"/>
  <c r="K84" i="7"/>
  <c r="J84" i="7"/>
  <c r="E84" i="7"/>
  <c r="K77" i="7"/>
  <c r="J77" i="7"/>
  <c r="E77" i="7"/>
  <c r="L85" i="7"/>
  <c r="L9" i="7"/>
  <c r="L36" i="7"/>
  <c r="L29" i="7"/>
  <c r="L62" i="7"/>
  <c r="L84" i="7"/>
  <c r="H84" i="7"/>
  <c r="H86" i="7"/>
  <c r="H12" i="7"/>
  <c r="G22" i="7"/>
  <c r="G84" i="7"/>
  <c r="G70" i="7"/>
  <c r="G41" i="7"/>
  <c r="H43" i="7"/>
  <c r="H77" i="7"/>
  <c r="H35" i="7"/>
  <c r="G12" i="7"/>
  <c r="H14" i="7"/>
  <c r="G62" i="7"/>
  <c r="H64" i="7"/>
  <c r="H22" i="7"/>
  <c r="H54" i="7"/>
  <c r="G5" i="7"/>
  <c r="G77" i="7"/>
  <c r="L47" i="7"/>
  <c r="L37" i="7"/>
  <c r="G54" i="7"/>
  <c r="H70" i="7"/>
  <c r="H72" i="7"/>
  <c r="L78" i="7"/>
  <c r="G35" i="7"/>
  <c r="H56" i="7"/>
  <c r="H24" i="7"/>
  <c r="H37" i="7"/>
  <c r="H79" i="7"/>
  <c r="H60" i="8"/>
  <c r="H62" i="8"/>
  <c r="L60" i="8"/>
  <c r="G60" i="8"/>
  <c r="L86" i="8"/>
  <c r="H27" i="8"/>
  <c r="H29" i="8"/>
  <c r="H36" i="8"/>
  <c r="H85" i="8"/>
  <c r="H87" i="8"/>
  <c r="H44" i="8"/>
  <c r="G44" i="8"/>
  <c r="G53" i="8"/>
  <c r="G36" i="8"/>
  <c r="G93" i="8"/>
  <c r="H67" i="8"/>
  <c r="G27" i="8"/>
  <c r="H53" i="8"/>
  <c r="H55" i="8"/>
  <c r="H76" i="8"/>
  <c r="H78" i="8"/>
  <c r="G76" i="8"/>
  <c r="L97" i="8"/>
  <c r="L71" i="8"/>
  <c r="G67" i="8"/>
  <c r="G16" i="8"/>
  <c r="H16" i="8"/>
  <c r="G5" i="8"/>
  <c r="H5" i="8"/>
  <c r="H7" i="8"/>
  <c r="H106" i="8"/>
  <c r="H93" i="8"/>
  <c r="L21" i="8"/>
  <c r="H46" i="8"/>
  <c r="H38" i="8"/>
  <c r="H69" i="8"/>
  <c r="H18" i="8"/>
  <c r="H95" i="8"/>
  <c r="L47" i="10"/>
  <c r="H79" i="10"/>
  <c r="H34" i="10"/>
  <c r="H36" i="10"/>
  <c r="G87" i="10"/>
  <c r="L88" i="10"/>
  <c r="G79" i="10"/>
  <c r="H65" i="10"/>
  <c r="G34" i="10"/>
  <c r="H19" i="10"/>
  <c r="L79" i="10"/>
  <c r="H87" i="10"/>
  <c r="H89" i="10"/>
  <c r="H81" i="10"/>
  <c r="L26" i="10"/>
  <c r="G19" i="10"/>
  <c r="H21" i="10"/>
  <c r="L48" i="10"/>
  <c r="G40" i="10"/>
  <c r="H5" i="10"/>
  <c r="G5" i="10"/>
  <c r="G11" i="10"/>
  <c r="H40" i="10"/>
  <c r="G71" i="10"/>
  <c r="H73" i="10"/>
  <c r="H11" i="10"/>
  <c r="H13" i="10"/>
  <c r="H58" i="10"/>
  <c r="H67" i="10"/>
  <c r="H42" i="10"/>
  <c r="H7" i="10"/>
  <c r="H31" i="7"/>
  <c r="G47" i="7"/>
  <c r="H47" i="7"/>
  <c r="H49" i="7"/>
  <c r="L89" i="9"/>
  <c r="L95" i="9"/>
  <c r="H28" i="10"/>
  <c r="L36" i="9"/>
  <c r="L59" i="9"/>
  <c r="L103" i="9"/>
  <c r="G18" i="9"/>
  <c r="G103" i="9"/>
  <c r="H85" i="9"/>
  <c r="H87" i="9"/>
  <c r="L21" i="9"/>
  <c r="H38" i="9"/>
  <c r="H76" i="9"/>
  <c r="H94" i="9"/>
  <c r="H96" i="9"/>
  <c r="H18" i="9"/>
  <c r="H20" i="9"/>
  <c r="L107" i="9"/>
  <c r="L86" i="9"/>
  <c r="L94" i="9"/>
  <c r="G94" i="9"/>
  <c r="G5" i="9"/>
  <c r="H103" i="9"/>
  <c r="H105" i="9"/>
  <c r="H68" i="9"/>
  <c r="H70" i="9"/>
  <c r="G48" i="9"/>
  <c r="H50" i="9"/>
  <c r="H5" i="9"/>
  <c r="H7" i="9"/>
  <c r="G76" i="9"/>
  <c r="H27" i="9"/>
  <c r="H29" i="9"/>
  <c r="H43" i="9"/>
  <c r="H45" i="9"/>
  <c r="G68" i="9"/>
  <c r="H78" i="9"/>
</calcChain>
</file>

<file path=xl/sharedStrings.xml><?xml version="1.0" encoding="utf-8"?>
<sst xmlns="http://schemas.openxmlformats.org/spreadsheetml/2006/main" count="982" uniqueCount="112">
  <si>
    <t>date</t>
  </si>
  <si>
    <t xml:space="preserve">ave </t>
  </si>
  <si>
    <t>sem</t>
  </si>
  <si>
    <t>Ki</t>
  </si>
  <si>
    <t>Hill slope</t>
  </si>
  <si>
    <t>ave</t>
  </si>
  <si>
    <t>log</t>
  </si>
  <si>
    <t xml:space="preserve"> </t>
  </si>
  <si>
    <t>IC50</t>
  </si>
  <si>
    <t>Standards</t>
  </si>
  <si>
    <t>Kd=</t>
  </si>
  <si>
    <t>(nM)</t>
  </si>
  <si>
    <t>Passage#:</t>
  </si>
  <si>
    <t>[3H] 5HT</t>
  </si>
  <si>
    <t>5HT</t>
  </si>
  <si>
    <t>HEK-5HT2B #1</t>
  </si>
  <si>
    <t>HEK-5HT2C #6</t>
  </si>
  <si>
    <t>HEK-5HT1A</t>
  </si>
  <si>
    <t>[3H] 8OH-DPAT</t>
  </si>
  <si>
    <t>SB242084</t>
  </si>
  <si>
    <t>RS127445</t>
  </si>
  <si>
    <t>HEK-5HT2A #20</t>
  </si>
  <si>
    <t>34485-34494</t>
  </si>
  <si>
    <t>NIDA - Jan 2024</t>
  </si>
  <si>
    <t>JS</t>
  </si>
  <si>
    <t>17, 12</t>
  </si>
  <si>
    <t>14, 18, 15</t>
  </si>
  <si>
    <t>12, 14, 13, 18</t>
  </si>
  <si>
    <t>250 nM</t>
  </si>
  <si>
    <t>16, 12, 15, 18</t>
  </si>
  <si>
    <t>Grubbs Outlier</t>
  </si>
  <si>
    <t>N=5</t>
  </si>
  <si>
    <t>flat line at about 90%</t>
  </si>
  <si>
    <t>2.435*</t>
  </si>
  <si>
    <t>0.002737*</t>
  </si>
  <si>
    <t>0.5422*</t>
  </si>
  <si>
    <t>All move on to function, Ki&lt;250 nM</t>
  </si>
  <si>
    <t>Done, N=5</t>
  </si>
  <si>
    <t>Done, N=4</t>
  </si>
  <si>
    <t>Done N=3</t>
  </si>
  <si>
    <t>KS</t>
  </si>
  <si>
    <t>10250*</t>
  </si>
  <si>
    <t>9.21*</t>
  </si>
  <si>
    <t>Way100635</t>
  </si>
  <si>
    <t>Check data</t>
  </si>
  <si>
    <t>Done, N=3</t>
  </si>
  <si>
    <t>19.99*</t>
  </si>
  <si>
    <t>To finish: 34485,34490, 34491, 34493</t>
  </si>
  <si>
    <t>-5</t>
  </si>
  <si>
    <t>-7</t>
  </si>
  <si>
    <t>2/20/2024*</t>
  </si>
  <si>
    <t>excluded</t>
  </si>
  <si>
    <t>kw</t>
  </si>
  <si>
    <t>-6</t>
  </si>
  <si>
    <t>-8</t>
  </si>
  <si>
    <t>DONE</t>
  </si>
  <si>
    <t>~7% inhibition at -9, exclude</t>
  </si>
  <si>
    <t>~40% inhibition at -9. exclude</t>
  </si>
  <si>
    <t>~80% inhibitionat -9, keep</t>
  </si>
  <si>
    <t>Over 50% inhibition at -9, keep</t>
  </si>
  <si>
    <t>~60% inhibition at -9, keep</t>
  </si>
  <si>
    <t>~30% inhibition at -9, exclude</t>
  </si>
  <si>
    <t>~10% inhibition at -9, exclude</t>
  </si>
  <si>
    <t>18.97*</t>
  </si>
  <si>
    <t>*Grubbs</t>
  </si>
  <si>
    <t>less than 10% inhibition, exclude</t>
  </si>
  <si>
    <t>~15% inhibition, exclude</t>
  </si>
  <si>
    <t>less than 20% inhibition, exclude</t>
  </si>
  <si>
    <t>None move onto function</t>
  </si>
  <si>
    <t>Ketanserin
-6</t>
  </si>
  <si>
    <t>Done, N=7</t>
  </si>
  <si>
    <t>1099*</t>
  </si>
  <si>
    <t>set top to 130</t>
  </si>
  <si>
    <t>2953*</t>
  </si>
  <si>
    <t>likely no drug added to wells</t>
  </si>
  <si>
    <t>set top to 120</t>
  </si>
  <si>
    <t>21.54*</t>
  </si>
  <si>
    <t>14.08*</t>
  </si>
  <si>
    <t>less than 50% inhibition</t>
  </si>
  <si>
    <t>less than 40% inhibition</t>
  </si>
  <si>
    <t>Checked all datasets/sheets</t>
  </si>
  <si>
    <t>These values are lower than average for NIDA (IC50 4.8, Ki 3.38)</t>
  </si>
  <si>
    <t>These values are higher than average for NIDA (IC50 29.5, Ki 21.8)</t>
  </si>
  <si>
    <t>fixed AVE'd</t>
  </si>
  <si>
    <t>0.05402*</t>
  </si>
  <si>
    <t>AVE'd checked TS</t>
  </si>
  <si>
    <t>12.31*</t>
  </si>
  <si>
    <t>To finish: Done</t>
  </si>
  <si>
    <t>Done</t>
  </si>
  <si>
    <t>4054*</t>
  </si>
  <si>
    <t>Grubbs</t>
  </si>
  <si>
    <t xml:space="preserve">Grubbs </t>
  </si>
  <si>
    <t>grubbs outlier</t>
  </si>
  <si>
    <t>Checked 10/10/24</t>
  </si>
  <si>
    <t>N=5, Done</t>
  </si>
  <si>
    <t>N=6, Done</t>
  </si>
  <si>
    <t>N=5. Done</t>
  </si>
  <si>
    <t>N=7 Done</t>
  </si>
  <si>
    <t>N=6,Done</t>
  </si>
  <si>
    <t>N=4, Done</t>
  </si>
  <si>
    <t>DONE N=3</t>
  </si>
  <si>
    <t>DONE N=4</t>
  </si>
  <si>
    <t>DONE N=5</t>
  </si>
  <si>
    <t>0.3345*</t>
  </si>
  <si>
    <t>0.6229*</t>
  </si>
  <si>
    <t>DONE N=8</t>
  </si>
  <si>
    <r>
      <t xml:space="preserve">-5 </t>
    </r>
    <r>
      <rPr>
        <b/>
        <sz val="11"/>
        <color indexed="10"/>
        <rFont val="Arial"/>
        <family val="2"/>
      </rPr>
      <t>DONE</t>
    </r>
    <r>
      <rPr>
        <sz val="11"/>
        <color indexed="10"/>
        <rFont val="Arial"/>
        <family val="2"/>
      </rPr>
      <t>, N=4</t>
    </r>
  </si>
  <si>
    <t>3.338*</t>
  </si>
  <si>
    <t>~60%, include</t>
  </si>
  <si>
    <t>Can't use data from this day - all/nothing</t>
  </si>
  <si>
    <t>Can't use data from this day - conc too low</t>
  </si>
  <si>
    <t>Done, N=8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</si>
</sst>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%"/>
    <numFmt numFmtId="166" formatCode="0.0000"/>
    <numFmt numFmtId="167" formatCode="0.00000"/>
    <numFmt numFmtId="168" formatCode="0.0"/>
  </numFmts>
  <fonts count="2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vertAlign val="superscript"/>
      <sz val="11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1"/>
      <color indexed="10"/>
      <name val="Arial"/>
      <family val="2"/>
    </font>
    <font>
      <b/>
      <sz val="11"/>
      <color indexed="10"/>
      <name val="Arial"/>
      <family val="2"/>
    </font>
    <font>
      <sz val="11"/>
      <color rgb="FFFF0000"/>
      <name val="Arial"/>
      <family val="2"/>
    </font>
    <font>
      <b/>
      <sz val="12"/>
      <color rgb="FFFF000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sz val="12"/>
      <color theme="1"/>
      <name val="Arial"/>
      <family val="2"/>
    </font>
    <font>
      <b/>
      <sz val="11"/>
      <color theme="4" tint="-0.249977111117893"/>
      <name val="Arial"/>
      <family val="2"/>
    </font>
    <font>
      <i/>
      <sz val="11"/>
      <color rgb="FFFF0000"/>
      <name val="Arial"/>
      <family val="2"/>
    </font>
    <font>
      <sz val="12"/>
      <color rgb="FFFF0000"/>
      <name val="Arial"/>
      <family val="2"/>
    </font>
    <font>
      <i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Font="1"/>
    <xf numFmtId="0" fontId="2" fillId="0" borderId="0" xfId="0" applyFont="1"/>
    <xf numFmtId="17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wrapText="1"/>
    </xf>
    <xf numFmtId="167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/>
    </xf>
    <xf numFmtId="1" fontId="3" fillId="0" borderId="0" xfId="0" applyNumberFormat="1" applyFont="1" applyFill="1" applyAlignment="1">
      <alignment horizontal="center"/>
    </xf>
    <xf numFmtId="168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0" fontId="6" fillId="3" borderId="1" xfId="0" applyFont="1" applyFill="1" applyBorder="1" applyAlignment="1">
      <alignment horizontal="left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6" fontId="3" fillId="0" borderId="0" xfId="0" applyNumberFormat="1" applyFont="1" applyFill="1" applyBorder="1" applyAlignment="1">
      <alignment horizontal="center"/>
    </xf>
    <xf numFmtId="168" fontId="3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center"/>
    </xf>
    <xf numFmtId="165" fontId="3" fillId="0" borderId="0" xfId="0" applyNumberFormat="1" applyFont="1" applyFill="1" applyBorder="1" applyAlignment="1">
      <alignment horizontal="center"/>
    </xf>
    <xf numFmtId="0" fontId="0" fillId="0" borderId="0" xfId="0" applyFill="1" applyBorder="1"/>
    <xf numFmtId="2" fontId="4" fillId="0" borderId="0" xfId="0" applyNumberFormat="1" applyFont="1" applyFill="1" applyBorder="1" applyAlignment="1">
      <alignment horizontal="center"/>
    </xf>
    <xf numFmtId="17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left" wrapText="1"/>
    </xf>
    <xf numFmtId="0" fontId="1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14" fontId="4" fillId="0" borderId="0" xfId="0" applyNumberFormat="1" applyFont="1" applyFill="1" applyBorder="1" applyAlignment="1">
      <alignment horizontal="center"/>
    </xf>
    <xf numFmtId="168" fontId="4" fillId="0" borderId="0" xfId="0" applyNumberFormat="1" applyFont="1" applyFill="1" applyBorder="1" applyAlignment="1">
      <alignment horizontal="center"/>
    </xf>
    <xf numFmtId="165" fontId="4" fillId="0" borderId="0" xfId="0" applyNumberFormat="1" applyFont="1" applyFill="1" applyBorder="1" applyAlignment="1">
      <alignment horizontal="center"/>
    </xf>
    <xf numFmtId="167" fontId="3" fillId="0" borderId="0" xfId="0" applyNumberFormat="1" applyFont="1" applyFill="1" applyBorder="1" applyAlignment="1">
      <alignment horizontal="left"/>
    </xf>
    <xf numFmtId="1" fontId="3" fillId="0" borderId="0" xfId="0" applyNumberFormat="1" applyFont="1" applyFill="1" applyBorder="1" applyAlignment="1">
      <alignment horizontal="left"/>
    </xf>
    <xf numFmtId="164" fontId="16" fillId="0" borderId="0" xfId="0" applyNumberFormat="1" applyFont="1" applyFill="1" applyBorder="1" applyAlignment="1">
      <alignment horizontal="center"/>
    </xf>
    <xf numFmtId="14" fontId="3" fillId="0" borderId="0" xfId="0" applyNumberFormat="1" applyFont="1" applyFill="1" applyBorder="1"/>
    <xf numFmtId="166" fontId="3" fillId="0" borderId="0" xfId="0" applyNumberFormat="1" applyFont="1" applyFill="1" applyBorder="1"/>
    <xf numFmtId="1" fontId="3" fillId="0" borderId="0" xfId="0" applyNumberFormat="1" applyFont="1" applyFill="1" applyBorder="1"/>
    <xf numFmtId="164" fontId="3" fillId="0" borderId="0" xfId="0" applyNumberFormat="1" applyFont="1" applyFill="1" applyBorder="1"/>
    <xf numFmtId="0" fontId="3" fillId="0" borderId="0" xfId="0" applyFont="1" applyFill="1" applyBorder="1"/>
    <xf numFmtId="165" fontId="3" fillId="0" borderId="0" xfId="0" applyNumberFormat="1" applyFont="1" applyFill="1" applyBorder="1"/>
    <xf numFmtId="0" fontId="3" fillId="0" borderId="0" xfId="0" quotePrefix="1" applyFont="1" applyFill="1" applyBorder="1" applyAlignment="1">
      <alignment horizontal="left" vertical="center"/>
    </xf>
    <xf numFmtId="16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6" fontId="14" fillId="0" borderId="0" xfId="0" applyNumberFormat="1" applyFont="1" applyFill="1" applyBorder="1" applyAlignment="1">
      <alignment horizontal="center"/>
    </xf>
    <xf numFmtId="165" fontId="14" fillId="0" borderId="0" xfId="0" applyNumberFormat="1" applyFont="1" applyFill="1" applyBorder="1" applyAlignment="1">
      <alignment horizontal="center"/>
    </xf>
    <xf numFmtId="164" fontId="14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7" fillId="0" borderId="0" xfId="0" applyFont="1" applyFill="1" applyBorder="1"/>
    <xf numFmtId="0" fontId="3" fillId="0" borderId="0" xfId="0" quotePrefix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 wrapText="1"/>
    </xf>
    <xf numFmtId="0" fontId="4" fillId="0" borderId="0" xfId="0" quotePrefix="1" applyFont="1" applyFill="1" applyBorder="1" applyAlignment="1">
      <alignment horizontal="left"/>
    </xf>
    <xf numFmtId="166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166" fontId="18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/>
    </xf>
    <xf numFmtId="11" fontId="3" fillId="0" borderId="0" xfId="0" quotePrefix="1" applyNumberFormat="1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left"/>
    </xf>
    <xf numFmtId="167" fontId="3" fillId="0" borderId="0" xfId="0" applyNumberFormat="1" applyFont="1" applyFill="1" applyAlignment="1">
      <alignment horizontal="left" wrapText="1"/>
    </xf>
    <xf numFmtId="0" fontId="9" fillId="0" borderId="0" xfId="0" applyFont="1" applyFill="1" applyAlignment="1">
      <alignment horizontal="left"/>
    </xf>
    <xf numFmtId="0" fontId="3" fillId="0" borderId="0" xfId="0" applyNumberFormat="1" applyFont="1" applyAlignment="1">
      <alignment horizontal="left" wrapText="1"/>
    </xf>
    <xf numFmtId="0" fontId="3" fillId="0" borderId="0" xfId="0" applyNumberFormat="1" applyFont="1" applyFill="1" applyAlignment="1">
      <alignment horizontal="left"/>
    </xf>
    <xf numFmtId="0" fontId="15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center"/>
    </xf>
    <xf numFmtId="2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7" fillId="0" borderId="0" xfId="0" applyFont="1"/>
    <xf numFmtId="0" fontId="19" fillId="0" borderId="0" xfId="0" applyFont="1"/>
    <xf numFmtId="168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left"/>
    </xf>
    <xf numFmtId="0" fontId="19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8" fillId="0" borderId="0" xfId="0" applyNumberFormat="1" applyFont="1" applyFill="1" applyAlignment="1">
      <alignment horizontal="left"/>
    </xf>
    <xf numFmtId="14" fontId="5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3" fillId="0" borderId="0" xfId="0" applyNumberFormat="1" applyFont="1"/>
    <xf numFmtId="166" fontId="3" fillId="0" borderId="0" xfId="0" applyNumberFormat="1" applyFont="1"/>
    <xf numFmtId="168" fontId="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20" fillId="0" borderId="0" xfId="0" applyFont="1"/>
    <xf numFmtId="0" fontId="18" fillId="0" borderId="0" xfId="0" applyNumberFormat="1" applyFont="1" applyAlignment="1">
      <alignment horizontal="left" wrapText="1"/>
    </xf>
    <xf numFmtId="0" fontId="18" fillId="0" borderId="0" xfId="0" applyNumberFormat="1" applyFont="1" applyFill="1" applyAlignment="1">
      <alignment horizontal="left" wrapText="1"/>
    </xf>
    <xf numFmtId="0" fontId="16" fillId="0" borderId="0" xfId="0" applyNumberFormat="1" applyFont="1" applyFill="1" applyAlignment="1">
      <alignment horizontal="left"/>
    </xf>
    <xf numFmtId="0" fontId="21" fillId="0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7" fontId="3" fillId="0" borderId="0" xfId="0" applyNumberFormat="1" applyFont="1" applyAlignment="1">
      <alignment horizontal="left"/>
    </xf>
    <xf numFmtId="0" fontId="3" fillId="0" borderId="0" xfId="0" quotePrefix="1" applyNumberFormat="1" applyFont="1" applyFill="1" applyAlignment="1">
      <alignment horizontal="left"/>
    </xf>
    <xf numFmtId="164" fontId="5" fillId="0" borderId="0" xfId="0" applyNumberFormat="1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5" fillId="0" borderId="0" xfId="0" applyNumberFormat="1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quotePrefix="1" applyFont="1" applyFill="1" applyAlignment="1">
      <alignment horizontal="left"/>
    </xf>
    <xf numFmtId="0" fontId="22" fillId="0" borderId="0" xfId="0" applyNumberFormat="1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NumberFormat="1" applyFont="1" applyFill="1" applyAlignment="1">
      <alignment horizontal="left"/>
    </xf>
    <xf numFmtId="0" fontId="3" fillId="0" borderId="0" xfId="0" quotePrefix="1" applyFont="1" applyAlignment="1">
      <alignment horizontal="left"/>
    </xf>
    <xf numFmtId="0" fontId="4" fillId="0" borderId="0" xfId="0" applyFont="1"/>
    <xf numFmtId="0" fontId="4" fillId="0" borderId="0" xfId="0" applyFont="1" applyFill="1" applyAlignment="1">
      <alignment horizontal="left"/>
    </xf>
    <xf numFmtId="0" fontId="14" fillId="0" borderId="0" xfId="0" applyFont="1" applyFill="1" applyBorder="1"/>
    <xf numFmtId="164" fontId="7" fillId="0" borderId="0" xfId="0" applyNumberFormat="1" applyFont="1" applyAlignment="1">
      <alignment horizontal="center"/>
    </xf>
    <xf numFmtId="49" fontId="10" fillId="0" borderId="0" xfId="0" applyNumberFormat="1" applyFont="1"/>
    <xf numFmtId="14" fontId="23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0" fillId="0" borderId="0" xfId="0" applyFill="1" applyAlignment="1">
      <alignment horizontal="left"/>
    </xf>
    <xf numFmtId="0" fontId="10" fillId="0" borderId="0" xfId="0" applyFont="1"/>
    <xf numFmtId="0" fontId="3" fillId="0" borderId="0" xfId="0" applyFont="1" applyFill="1" applyAlignment="1">
      <alignment horizontal="left" wrapText="1"/>
    </xf>
    <xf numFmtId="164" fontId="5" fillId="0" borderId="0" xfId="0" applyNumberFormat="1" applyFont="1" applyAlignment="1">
      <alignment horizontal="left"/>
    </xf>
    <xf numFmtId="164" fontId="14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3" fillId="4" borderId="0" xfId="0" applyFont="1" applyFill="1" applyAlignment="1">
      <alignment horizontal="left"/>
    </xf>
    <xf numFmtId="168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0" borderId="1" xfId="0" applyFont="1" applyBorder="1"/>
    <xf numFmtId="168" fontId="3" fillId="4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3" fillId="0" borderId="0" xfId="0" quotePrefix="1" applyFont="1" applyAlignment="1">
      <alignment horizontal="left" vertical="center"/>
    </xf>
    <xf numFmtId="0" fontId="4" fillId="0" borderId="0" xfId="0" quotePrefix="1" applyFont="1" applyAlignment="1">
      <alignment horizontal="left"/>
    </xf>
    <xf numFmtId="11" fontId="3" fillId="0" borderId="0" xfId="0" quotePrefix="1" applyNumberFormat="1" applyFont="1" applyAlignment="1">
      <alignment horizontal="left"/>
    </xf>
    <xf numFmtId="0" fontId="18" fillId="0" borderId="0" xfId="0" applyFont="1" applyAlignment="1">
      <alignment horizontal="left"/>
    </xf>
    <xf numFmtId="14" fontId="11" fillId="0" borderId="0" xfId="0" applyNumberFormat="1" applyFont="1"/>
    <xf numFmtId="168" fontId="3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2" fontId="14" fillId="2" borderId="0" xfId="0" applyNumberFormat="1" applyFont="1" applyFill="1" applyAlignment="1">
      <alignment horizontal="left"/>
    </xf>
    <xf numFmtId="2" fontId="3" fillId="0" borderId="1" xfId="0" applyNumberFormat="1" applyFont="1" applyBorder="1" applyAlignment="1">
      <alignment horizontal="center"/>
    </xf>
    <xf numFmtId="14" fontId="3" fillId="0" borderId="0" xfId="0" applyNumberFormat="1" applyFont="1" applyFill="1" applyAlignment="1">
      <alignment horizontal="center"/>
    </xf>
    <xf numFmtId="0" fontId="2" fillId="0" borderId="0" xfId="0" applyFont="1" applyFill="1"/>
    <xf numFmtId="0" fontId="0" fillId="0" borderId="0" xfId="0" applyFill="1"/>
    <xf numFmtId="165" fontId="3" fillId="0" borderId="0" xfId="0" applyNumberFormat="1" applyFont="1" applyFill="1" applyAlignment="1">
      <alignment horizontal="center"/>
    </xf>
    <xf numFmtId="0" fontId="1" fillId="0" borderId="0" xfId="0" applyFont="1" applyFill="1"/>
    <xf numFmtId="0" fontId="14" fillId="0" borderId="0" xfId="0" quotePrefix="1" applyNumberFormat="1" applyFont="1" applyFill="1" applyAlignment="1">
      <alignment horizontal="left"/>
    </xf>
    <xf numFmtId="167" fontId="14" fillId="0" borderId="0" xfId="0" applyNumberFormat="1" applyFont="1" applyFill="1" applyAlignment="1">
      <alignment horizontal="left" wrapText="1"/>
    </xf>
    <xf numFmtId="0" fontId="25" fillId="0" borderId="0" xfId="0" applyFont="1"/>
    <xf numFmtId="2" fontId="3" fillId="2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E239-F24C-49C3-B6B7-C67F112A3B02}">
  <dimension ref="A1:W245"/>
  <sheetViews>
    <sheetView zoomScale="110" zoomScaleNormal="110" workbookViewId="0">
      <selection activeCell="Q14" sqref="Q14"/>
    </sheetView>
  </sheetViews>
  <sheetFormatPr defaultColWidth="8.85546875" defaultRowHeight="14.25" x14ac:dyDescent="0.2"/>
  <cols>
    <col min="1" max="1" width="24.42578125" style="4" customWidth="1"/>
    <col min="2" max="2" width="13.42578125" style="10" customWidth="1"/>
    <col min="3" max="3" width="9.42578125" style="12" customWidth="1"/>
    <col min="4" max="4" width="8.85546875" style="10" customWidth="1"/>
    <col min="5" max="5" width="7.85546875" style="10" customWidth="1"/>
    <col min="6" max="6" width="9.7109375" style="22" customWidth="1"/>
    <col min="7" max="7" width="10.85546875" style="10" customWidth="1"/>
    <col min="8" max="8" width="10.42578125" style="10" customWidth="1"/>
    <col min="9" max="9" width="9" style="12" customWidth="1"/>
    <col min="10" max="10" width="8" style="12" customWidth="1"/>
    <col min="11" max="11" width="7.85546875" style="12" customWidth="1"/>
    <col min="12" max="12" width="9.140625" style="10" customWidth="1"/>
    <col min="13" max="13" width="8.85546875" style="142"/>
  </cols>
  <sheetData>
    <row r="1" spans="1:18" ht="15" x14ac:dyDescent="0.25">
      <c r="A1" s="9" t="s">
        <v>23</v>
      </c>
      <c r="C1" s="115" t="s">
        <v>17</v>
      </c>
      <c r="F1" s="22" t="s">
        <v>12</v>
      </c>
      <c r="G1" s="34" t="s">
        <v>27</v>
      </c>
      <c r="H1" s="33" t="s">
        <v>10</v>
      </c>
      <c r="I1" s="34">
        <v>5.0199999999999996</v>
      </c>
      <c r="J1" s="12" t="s">
        <v>11</v>
      </c>
      <c r="L1" s="108" t="s">
        <v>36</v>
      </c>
      <c r="M1" s="109"/>
      <c r="N1" s="109"/>
      <c r="P1" s="153"/>
      <c r="Q1" s="153"/>
    </row>
    <row r="2" spans="1:18" ht="15" x14ac:dyDescent="0.25">
      <c r="A2" s="3" t="s">
        <v>22</v>
      </c>
      <c r="C2" s="115" t="s">
        <v>18</v>
      </c>
    </row>
    <row r="3" spans="1:18" ht="15" x14ac:dyDescent="0.25">
      <c r="A3" s="3"/>
      <c r="C3" s="115"/>
      <c r="N3" s="2" t="s">
        <v>88</v>
      </c>
      <c r="P3" s="2" t="s">
        <v>7</v>
      </c>
    </row>
    <row r="4" spans="1:18" x14ac:dyDescent="0.2">
      <c r="A4" s="94">
        <v>34485</v>
      </c>
      <c r="B4" s="10" t="s">
        <v>0</v>
      </c>
      <c r="C4" s="12" t="s">
        <v>8</v>
      </c>
      <c r="D4" s="10" t="s">
        <v>1</v>
      </c>
      <c r="E4" s="10" t="s">
        <v>2</v>
      </c>
      <c r="F4" s="22" t="s">
        <v>3</v>
      </c>
      <c r="G4" s="10" t="s">
        <v>1</v>
      </c>
      <c r="H4" s="10" t="s">
        <v>2</v>
      </c>
      <c r="I4" s="12" t="s">
        <v>4</v>
      </c>
      <c r="J4" s="12" t="s">
        <v>5</v>
      </c>
      <c r="K4" s="12" t="s">
        <v>2</v>
      </c>
      <c r="L4" s="10" t="s">
        <v>6</v>
      </c>
      <c r="M4" s="12"/>
      <c r="P4" s="126"/>
    </row>
    <row r="5" spans="1:18" x14ac:dyDescent="0.2">
      <c r="A5" s="133" t="s">
        <v>49</v>
      </c>
      <c r="B5" s="14">
        <v>45378</v>
      </c>
      <c r="C5" s="12">
        <v>0.5544</v>
      </c>
      <c r="D5" s="12">
        <f>AVERAGE(C5:C8)</f>
        <v>1.9493499999999999</v>
      </c>
      <c r="E5" s="12">
        <f>STDEV(C5:C8)/SQRT(COUNT(C5:C8))</f>
        <v>0.4801226119440743</v>
      </c>
      <c r="F5" s="26">
        <f>C5/(1+ 0.17/$I$1)</f>
        <v>0.5362404624277457</v>
      </c>
      <c r="G5" s="12">
        <f>AVERAGE(F5:F8)</f>
        <v>1.8208323681510488</v>
      </c>
      <c r="H5" s="12">
        <f>STDEV(F5:F8)/SQRT(COUNT(F5:F8))</f>
        <v>0.44548378162614161</v>
      </c>
      <c r="I5" s="12">
        <v>-0.50660000000000005</v>
      </c>
      <c r="J5" s="12">
        <f>AVERAGE(I5:I8)</f>
        <v>-1.1879</v>
      </c>
      <c r="K5" s="12">
        <f>STDEV(I5:I8)/SQRT(COUNT(I5:I8))</f>
        <v>0.24667909653366787</v>
      </c>
      <c r="L5" s="10">
        <f>LOG(F5*0.000000001)</f>
        <v>-9.2706404190996885</v>
      </c>
      <c r="M5" s="142" t="s">
        <v>24</v>
      </c>
      <c r="N5" s="152"/>
    </row>
    <row r="6" spans="1:18" x14ac:dyDescent="0.2">
      <c r="A6" s="133" t="s">
        <v>49</v>
      </c>
      <c r="B6" s="14">
        <v>45516</v>
      </c>
      <c r="C6" s="12">
        <v>2.121</v>
      </c>
      <c r="D6" s="13"/>
      <c r="E6" s="15"/>
      <c r="F6" s="26">
        <f>C6/(1+ 0.439/$I$1)</f>
        <v>1.9504341454478842</v>
      </c>
      <c r="G6" s="20"/>
      <c r="H6" s="20"/>
      <c r="I6" s="12">
        <v>-1.1919999999999999</v>
      </c>
      <c r="M6" s="142" t="s">
        <v>52</v>
      </c>
    </row>
    <row r="7" spans="1:18" x14ac:dyDescent="0.2">
      <c r="A7" s="133" t="s">
        <v>49</v>
      </c>
      <c r="B7" s="14">
        <v>45523</v>
      </c>
      <c r="C7" s="12">
        <v>2.7069999999999999</v>
      </c>
      <c r="D7" s="15"/>
      <c r="E7" s="15"/>
      <c r="F7" s="26">
        <f>C7/(1+ 0.304/$I$1)</f>
        <v>2.5524305033809163</v>
      </c>
      <c r="G7" s="20"/>
      <c r="H7" s="98">
        <f>H5/G5</f>
        <v>0.244659414791986</v>
      </c>
      <c r="I7" s="12">
        <v>-1.6619999999999999</v>
      </c>
      <c r="L7" s="10">
        <f>LOG(F7*0.000000001)</f>
        <v>-8.5930460738871126</v>
      </c>
      <c r="M7" s="142" t="s">
        <v>52</v>
      </c>
    </row>
    <row r="8" spans="1:18" x14ac:dyDescent="0.2">
      <c r="A8" s="133" t="s">
        <v>49</v>
      </c>
      <c r="B8" s="14">
        <v>45539</v>
      </c>
      <c r="C8" s="12">
        <v>2.415</v>
      </c>
      <c r="D8" s="15"/>
      <c r="E8" s="15"/>
      <c r="F8" s="26">
        <f>C8/(1+ 0.382/$I$1)</f>
        <v>2.2442243613476487</v>
      </c>
      <c r="G8" s="20"/>
      <c r="H8" s="20"/>
      <c r="I8" s="12">
        <v>-1.391</v>
      </c>
    </row>
    <row r="9" spans="1:18" ht="15" x14ac:dyDescent="0.25">
      <c r="A9" s="189" t="s">
        <v>106</v>
      </c>
      <c r="B9" s="150" t="s">
        <v>50</v>
      </c>
      <c r="C9" s="135">
        <v>1.364E-3</v>
      </c>
      <c r="D9" s="136" t="s">
        <v>51</v>
      </c>
      <c r="E9" s="15"/>
      <c r="F9" s="26"/>
      <c r="G9" s="15"/>
      <c r="J9" s="135">
        <v>-0.35460000000000003</v>
      </c>
      <c r="L9" s="10" t="e">
        <f>LOG(F9*0.000000001)</f>
        <v>#NUM!</v>
      </c>
      <c r="M9" s="142" t="s">
        <v>24</v>
      </c>
      <c r="N9" s="149" t="s">
        <v>56</v>
      </c>
    </row>
    <row r="10" spans="1:18" ht="15" x14ac:dyDescent="0.25">
      <c r="A10" s="143"/>
      <c r="B10" s="14"/>
      <c r="D10" s="15"/>
      <c r="E10" s="15"/>
      <c r="F10" s="23"/>
      <c r="G10" s="15"/>
      <c r="H10" s="16"/>
    </row>
    <row r="11" spans="1:18" x14ac:dyDescent="0.2">
      <c r="A11" s="97">
        <v>34486</v>
      </c>
      <c r="B11" s="10" t="s">
        <v>0</v>
      </c>
      <c r="C11" s="12" t="s">
        <v>8</v>
      </c>
      <c r="D11" s="10" t="s">
        <v>1</v>
      </c>
      <c r="E11" s="10" t="s">
        <v>2</v>
      </c>
      <c r="F11" s="22" t="s">
        <v>3</v>
      </c>
      <c r="G11" s="10" t="s">
        <v>1</v>
      </c>
      <c r="H11" s="10" t="s">
        <v>2</v>
      </c>
      <c r="I11" s="12" t="s">
        <v>4</v>
      </c>
      <c r="J11" s="12" t="s">
        <v>5</v>
      </c>
      <c r="K11" s="12" t="s">
        <v>2</v>
      </c>
      <c r="L11" s="10" t="s">
        <v>6</v>
      </c>
    </row>
    <row r="12" spans="1:18" x14ac:dyDescent="0.2">
      <c r="A12" s="4">
        <v>-5</v>
      </c>
      <c r="B12" s="14">
        <v>45342</v>
      </c>
      <c r="C12" s="13">
        <v>5.0670000000000002</v>
      </c>
      <c r="D12" s="13">
        <f>AVERAGE(C12:C19)</f>
        <v>20.105125000000001</v>
      </c>
      <c r="E12" s="13">
        <f>STDEV(C12:C19)/SQRT(COUNT(C12:C19))</f>
        <v>5.6780586390492767</v>
      </c>
      <c r="F12" s="25">
        <f>C12/(1+ 0.317/$I$1)</f>
        <v>4.7660370994940982</v>
      </c>
      <c r="G12" s="13">
        <f>AVERAGE(F12:F19)</f>
        <v>18.721580074019869</v>
      </c>
      <c r="H12" s="13">
        <f>STDEV(F12:F19)/SQRT(COUNT(F12:F19))</f>
        <v>5.2892063410231795</v>
      </c>
      <c r="I12" s="12">
        <v>-0.55940000000000001</v>
      </c>
      <c r="J12" s="12">
        <f>AVERAGE(I12:I19)</f>
        <v>-0.97250000000000003</v>
      </c>
      <c r="K12" s="12">
        <f>STDEV(I12:I19)/SQRT(COUNT(I12:I19))</f>
        <v>0.13940892188091825</v>
      </c>
      <c r="L12" s="10">
        <f>LOG(F12*0.000000001)</f>
        <v>-8.3218425813678962</v>
      </c>
      <c r="M12" s="142" t="s">
        <v>24</v>
      </c>
      <c r="N12" s="152" t="s">
        <v>59</v>
      </c>
      <c r="R12" s="1" t="s">
        <v>7</v>
      </c>
    </row>
    <row r="13" spans="1:18" x14ac:dyDescent="0.2">
      <c r="A13" s="4">
        <v>-6</v>
      </c>
      <c r="B13" s="14">
        <v>45378</v>
      </c>
      <c r="C13" s="13">
        <v>1.054</v>
      </c>
      <c r="D13" s="13"/>
      <c r="E13" s="13"/>
      <c r="F13" s="25">
        <f>C13/(1+ 0.17/$I$1)</f>
        <v>1.01947591522158</v>
      </c>
      <c r="G13" s="13"/>
      <c r="H13" s="13"/>
      <c r="I13" s="12">
        <v>-0.47570000000000001</v>
      </c>
      <c r="L13" s="10">
        <f>LOG(F13*0.000000001)</f>
        <v>-8.9916230298269113</v>
      </c>
      <c r="M13" s="142" t="s">
        <v>24</v>
      </c>
    </row>
    <row r="14" spans="1:18" x14ac:dyDescent="0.2">
      <c r="A14" s="133" t="s">
        <v>53</v>
      </c>
      <c r="B14" s="14">
        <v>45516</v>
      </c>
      <c r="C14" s="13">
        <v>10.16</v>
      </c>
      <c r="D14" s="15"/>
      <c r="E14" s="15"/>
      <c r="F14" s="25">
        <f>C14/(1+ 0.439/$I$1)</f>
        <v>9.3429565854552106</v>
      </c>
      <c r="G14" s="17"/>
      <c r="H14" s="98">
        <f>H12/G12</f>
        <v>0.28251922754976577</v>
      </c>
      <c r="I14" s="12">
        <v>-0.92949999999999999</v>
      </c>
      <c r="L14" s="10">
        <f>LOG(F14*0.000000001)</f>
        <v>-8.0295156692130423</v>
      </c>
      <c r="M14" s="142" t="s">
        <v>52</v>
      </c>
    </row>
    <row r="15" spans="1:18" x14ac:dyDescent="0.2">
      <c r="A15" s="133" t="s">
        <v>53</v>
      </c>
      <c r="B15" s="14">
        <v>45523</v>
      </c>
      <c r="C15" s="13">
        <v>35.479999999999997</v>
      </c>
      <c r="D15" s="13"/>
      <c r="E15" s="13"/>
      <c r="F15" s="25">
        <f>C15/(1+ 0.304/$I$1)</f>
        <v>33.454094665664911</v>
      </c>
      <c r="G15" s="13"/>
      <c r="H15" s="13"/>
      <c r="I15" s="12">
        <v>-1.5569999999999999</v>
      </c>
      <c r="M15" s="142" t="s">
        <v>52</v>
      </c>
    </row>
    <row r="16" spans="1:18" x14ac:dyDescent="0.2">
      <c r="A16" s="133" t="s">
        <v>53</v>
      </c>
      <c r="B16" s="14">
        <v>45539</v>
      </c>
      <c r="C16" s="13">
        <v>15.68</v>
      </c>
      <c r="D16" s="13"/>
      <c r="E16" s="13"/>
      <c r="F16" s="25">
        <f>C16/(1+ 0.382/$I$1)</f>
        <v>14.571195853387632</v>
      </c>
      <c r="G16" s="13"/>
      <c r="H16" s="13"/>
      <c r="I16" s="12">
        <v>-1.3149999999999999</v>
      </c>
      <c r="M16" s="142" t="s">
        <v>52</v>
      </c>
    </row>
    <row r="17" spans="1:14" x14ac:dyDescent="0.2">
      <c r="A17" s="133" t="s">
        <v>53</v>
      </c>
      <c r="B17" s="14">
        <v>45548</v>
      </c>
      <c r="C17" s="13">
        <v>18.11</v>
      </c>
      <c r="D17" s="15"/>
      <c r="E17" s="15"/>
      <c r="F17" s="25">
        <f>C17/(1+ 0.393/$I$1)</f>
        <v>16.795159800480324</v>
      </c>
      <c r="G17" s="13"/>
      <c r="H17" s="13"/>
      <c r="I17" s="12">
        <v>-0.60940000000000005</v>
      </c>
      <c r="M17" s="142" t="s">
        <v>52</v>
      </c>
    </row>
    <row r="18" spans="1:14" ht="15" x14ac:dyDescent="0.25">
      <c r="A18" s="111" t="s">
        <v>105</v>
      </c>
      <c r="B18" s="14">
        <v>45548</v>
      </c>
      <c r="C18" s="13">
        <v>48.65</v>
      </c>
      <c r="D18" s="15"/>
      <c r="E18" s="15"/>
      <c r="F18" s="25">
        <f>C18/(1+ 0.393/$I$1)</f>
        <v>45.11786440051727</v>
      </c>
      <c r="G18" s="13"/>
      <c r="H18" s="13"/>
      <c r="I18" s="12">
        <v>-1.2030000000000001</v>
      </c>
      <c r="M18" s="142" t="s">
        <v>52</v>
      </c>
    </row>
    <row r="19" spans="1:14" ht="15" x14ac:dyDescent="0.25">
      <c r="A19" s="140"/>
      <c r="B19" s="14">
        <v>45548</v>
      </c>
      <c r="C19" s="13">
        <v>26.64</v>
      </c>
      <c r="D19" s="15"/>
      <c r="E19" s="15"/>
      <c r="F19" s="25">
        <f>C19/(1+ 0.393/$I$1)</f>
        <v>24.705856271937929</v>
      </c>
      <c r="G19" s="13"/>
      <c r="H19" s="13"/>
      <c r="I19" s="12">
        <v>-1.131</v>
      </c>
      <c r="M19" s="142" t="s">
        <v>52</v>
      </c>
    </row>
    <row r="20" spans="1:14" x14ac:dyDescent="0.2">
      <c r="A20" s="95"/>
    </row>
    <row r="21" spans="1:14" x14ac:dyDescent="0.2">
      <c r="A21" s="97">
        <v>34487</v>
      </c>
      <c r="B21" s="10" t="s">
        <v>0</v>
      </c>
      <c r="C21" s="12" t="s">
        <v>8</v>
      </c>
      <c r="D21" s="10" t="s">
        <v>1</v>
      </c>
      <c r="E21" s="10" t="s">
        <v>2</v>
      </c>
      <c r="F21" s="22" t="s">
        <v>3</v>
      </c>
      <c r="G21" s="10" t="s">
        <v>1</v>
      </c>
      <c r="H21" s="10" t="s">
        <v>2</v>
      </c>
      <c r="I21" s="12" t="s">
        <v>4</v>
      </c>
      <c r="J21" s="12" t="s">
        <v>5</v>
      </c>
      <c r="K21" s="12" t="s">
        <v>2</v>
      </c>
      <c r="L21" s="10" t="s">
        <v>6</v>
      </c>
      <c r="N21" s="7"/>
    </row>
    <row r="22" spans="1:14" x14ac:dyDescent="0.2">
      <c r="A22" s="4">
        <v>-5</v>
      </c>
      <c r="B22" s="14">
        <v>45342</v>
      </c>
      <c r="C22" s="13">
        <v>4.6580000000000004</v>
      </c>
      <c r="D22" s="13">
        <f>AVERAGE(C22:C26)</f>
        <v>15.028600000000001</v>
      </c>
      <c r="E22" s="13">
        <f>STDEV(C22:C26)/SQRT(COUNT(C22:C26))</f>
        <v>4.9144312956841683</v>
      </c>
      <c r="F22" s="25">
        <f>C22/(1+ 0.317/$I$1)</f>
        <v>4.3813303353944173</v>
      </c>
      <c r="G22" s="13">
        <f>AVERAGE(F22:F26)</f>
        <v>14.018685911317394</v>
      </c>
      <c r="H22" s="13">
        <f>STDEV(F22:F26)/SQRT(COUNT(F22:F26))</f>
        <v>4.5771065386416048</v>
      </c>
      <c r="I22" s="12">
        <v>-0.40870000000000001</v>
      </c>
      <c r="J22" s="12">
        <f>AVERAGE(I22:I26)</f>
        <v>-0.71057999999999999</v>
      </c>
      <c r="K22" s="12">
        <f>STDEV(I22:I26)/SQRT(COUNT(I22:I26))</f>
        <v>0.14830232095284282</v>
      </c>
      <c r="L22" s="10">
        <f>LOG(F22*0.000000001)</f>
        <v>-8.3583940014599065</v>
      </c>
      <c r="M22" s="142" t="s">
        <v>24</v>
      </c>
      <c r="N22" s="152" t="s">
        <v>60</v>
      </c>
    </row>
    <row r="23" spans="1:14" x14ac:dyDescent="0.2">
      <c r="A23" s="4">
        <v>-6</v>
      </c>
      <c r="B23" s="14">
        <v>45378</v>
      </c>
      <c r="C23" s="13">
        <v>1.7649999999999999</v>
      </c>
      <c r="D23" s="15"/>
      <c r="E23" s="15"/>
      <c r="F23" s="25">
        <f>C23/(1+ 0.17/$I$1)</f>
        <v>1.7071868978805393</v>
      </c>
      <c r="G23" s="12"/>
      <c r="H23" s="12"/>
      <c r="I23" s="12">
        <v>-0.43319999999999997</v>
      </c>
      <c r="L23" s="10">
        <f>LOG(F23*0.000000001)</f>
        <v>-8.7677189309795978</v>
      </c>
      <c r="M23" s="142" t="s">
        <v>24</v>
      </c>
    </row>
    <row r="24" spans="1:14" x14ac:dyDescent="0.2">
      <c r="A24" s="133" t="s">
        <v>53</v>
      </c>
      <c r="B24" s="14">
        <v>45516</v>
      </c>
      <c r="C24" s="13">
        <v>19.97</v>
      </c>
      <c r="D24" s="15"/>
      <c r="E24" s="15"/>
      <c r="F24" s="25">
        <f>C24/(1+ 0.439/$I$1)</f>
        <v>18.364059351529583</v>
      </c>
      <c r="G24" s="12"/>
      <c r="H24" s="98">
        <f>H22/G22</f>
        <v>0.32650039865337671</v>
      </c>
      <c r="I24" s="12">
        <v>-0.70860000000000001</v>
      </c>
      <c r="L24" s="10">
        <f>LOG(F24*0.000000001)</f>
        <v>-7.7360313122902395</v>
      </c>
      <c r="M24" s="142" t="s">
        <v>52</v>
      </c>
    </row>
    <row r="25" spans="1:14" x14ac:dyDescent="0.2">
      <c r="A25" s="133" t="s">
        <v>53</v>
      </c>
      <c r="B25" s="14">
        <v>45523</v>
      </c>
      <c r="C25" s="13">
        <v>24.84</v>
      </c>
      <c r="D25" s="12"/>
      <c r="E25" s="12"/>
      <c r="F25" s="25">
        <f>C25/(1+ 0.304/$I$1)</f>
        <v>23.421637866265964</v>
      </c>
      <c r="G25" s="12"/>
      <c r="H25" s="18"/>
      <c r="I25" s="12">
        <v>-0.77439999999999998</v>
      </c>
      <c r="M25" s="142" t="s">
        <v>52</v>
      </c>
    </row>
    <row r="26" spans="1:14" ht="15" x14ac:dyDescent="0.25">
      <c r="A26" s="111" t="s">
        <v>102</v>
      </c>
      <c r="B26" s="14">
        <v>45539</v>
      </c>
      <c r="C26" s="13">
        <v>23.91</v>
      </c>
      <c r="D26" s="12"/>
      <c r="E26" s="12"/>
      <c r="F26" s="25">
        <f>C26/(1+ 0.382/$I$1)</f>
        <v>22.219215105516472</v>
      </c>
      <c r="G26" s="12"/>
      <c r="H26" s="18"/>
      <c r="I26" s="12">
        <v>-1.228</v>
      </c>
    </row>
    <row r="27" spans="1:14" x14ac:dyDescent="0.2">
      <c r="A27" s="95"/>
      <c r="B27" s="14"/>
      <c r="D27" s="12"/>
      <c r="E27" s="12"/>
      <c r="F27" s="26"/>
      <c r="G27" s="12"/>
      <c r="H27" s="18"/>
    </row>
    <row r="28" spans="1:14" s="1" customFormat="1" x14ac:dyDescent="0.2">
      <c r="A28" s="97">
        <v>34488</v>
      </c>
      <c r="B28" s="10" t="s">
        <v>0</v>
      </c>
      <c r="C28" s="12" t="s">
        <v>8</v>
      </c>
      <c r="D28" s="10" t="s">
        <v>1</v>
      </c>
      <c r="E28" s="10" t="s">
        <v>2</v>
      </c>
      <c r="F28" s="22" t="s">
        <v>3</v>
      </c>
      <c r="G28" s="10" t="s">
        <v>1</v>
      </c>
      <c r="H28" s="10" t="s">
        <v>2</v>
      </c>
      <c r="I28" s="12" t="s">
        <v>4</v>
      </c>
      <c r="J28" s="12" t="s">
        <v>5</v>
      </c>
      <c r="K28" s="12" t="s">
        <v>2</v>
      </c>
      <c r="L28" s="10" t="s">
        <v>6</v>
      </c>
      <c r="M28" s="142"/>
    </row>
    <row r="29" spans="1:14" s="1" customFormat="1" x14ac:dyDescent="0.2">
      <c r="A29" s="4">
        <v>-7</v>
      </c>
      <c r="B29" s="14">
        <v>45516</v>
      </c>
      <c r="C29" s="13">
        <v>6.6719999999999997</v>
      </c>
      <c r="D29" s="13">
        <f>AVERAGE(C29:C31)</f>
        <v>4.8823333333333325</v>
      </c>
      <c r="E29" s="13">
        <f>STDEV(C29:C31)/SQRT(COUNT(C29:C31))</f>
        <v>0.90681683805373781</v>
      </c>
      <c r="F29" s="25">
        <f>C29/(1+ 0.439/$I$1)</f>
        <v>6.1354533797398787</v>
      </c>
      <c r="G29" s="13">
        <f>AVERAGE(F29:F31)</f>
        <v>4.5324427461329853</v>
      </c>
      <c r="H29" s="13">
        <f>STDEV(F29:F31)/SQRT(COUNT(F29:F31))</f>
        <v>0.81071818333622503</v>
      </c>
      <c r="I29" s="12">
        <v>-1.226</v>
      </c>
      <c r="J29" s="12">
        <f>AVERAGE(I29:I31)</f>
        <v>-1.0875000000000001</v>
      </c>
      <c r="K29" s="12">
        <f>STDEV(I29:I31)/SQRT(COUNT(I29:I31))</f>
        <v>0.11626084178833937</v>
      </c>
      <c r="L29" s="10">
        <f>LOG(F29*0.000000001)</f>
        <v>-8.2121533395312589</v>
      </c>
      <c r="M29" s="142" t="s">
        <v>52</v>
      </c>
    </row>
    <row r="30" spans="1:14" s="1" customFormat="1" x14ac:dyDescent="0.2">
      <c r="A30" s="133" t="s">
        <v>49</v>
      </c>
      <c r="B30" s="14">
        <v>45523</v>
      </c>
      <c r="C30" s="13">
        <v>3.7330000000000001</v>
      </c>
      <c r="D30" s="15"/>
      <c r="E30" s="15"/>
      <c r="F30" s="25">
        <f>C30/(1+ 0.304/$I$1)</f>
        <v>3.5198459804658149</v>
      </c>
      <c r="G30" s="12"/>
      <c r="I30" s="12">
        <v>-0.85650000000000004</v>
      </c>
      <c r="J30" s="12"/>
      <c r="K30" s="12"/>
      <c r="L30" s="10">
        <f>LOG(F30*0.000000001)</f>
        <v>-8.4534763397313135</v>
      </c>
      <c r="M30" s="142" t="s">
        <v>52</v>
      </c>
    </row>
    <row r="31" spans="1:14" s="1" customFormat="1" ht="15" x14ac:dyDescent="0.25">
      <c r="A31" s="111" t="s">
        <v>100</v>
      </c>
      <c r="B31" s="14">
        <v>45539</v>
      </c>
      <c r="C31" s="13">
        <v>4.242</v>
      </c>
      <c r="D31" s="15"/>
      <c r="E31" s="15"/>
      <c r="F31" s="25">
        <f>C31/(1+ 0.382/$I$1)</f>
        <v>3.9420288781932613</v>
      </c>
      <c r="G31" s="12"/>
      <c r="H31" s="98">
        <f>H29/G29</f>
        <v>0.17887003294810908</v>
      </c>
      <c r="I31" s="12">
        <v>-1.18</v>
      </c>
      <c r="J31" s="12"/>
      <c r="K31" s="12"/>
      <c r="L31" s="10">
        <f>LOG(F31*0.000000001)</f>
        <v>-8.4042801985258695</v>
      </c>
      <c r="M31" s="142"/>
    </row>
    <row r="32" spans="1:14" s="1" customFormat="1" x14ac:dyDescent="0.2">
      <c r="A32" s="4">
        <v>-5</v>
      </c>
      <c r="B32" s="14">
        <v>45342</v>
      </c>
      <c r="C32" s="13" t="s">
        <v>104</v>
      </c>
      <c r="F32" s="25" t="e">
        <f>C32/(1+ 0.317/$I$1)</f>
        <v>#VALUE!</v>
      </c>
      <c r="J32" s="12">
        <v>-0.54849999999999999</v>
      </c>
      <c r="L32" s="10" t="e">
        <f>LOG(F32*0.000000001)</f>
        <v>#VALUE!</v>
      </c>
      <c r="M32" s="142" t="s">
        <v>24</v>
      </c>
      <c r="N32" s="151" t="s">
        <v>57</v>
      </c>
    </row>
    <row r="33" spans="1:14" x14ac:dyDescent="0.2">
      <c r="A33" s="95"/>
      <c r="B33" s="14"/>
      <c r="D33" s="12"/>
      <c r="E33" s="12"/>
      <c r="F33" s="26"/>
      <c r="G33" s="12"/>
      <c r="H33" s="18"/>
    </row>
    <row r="34" spans="1:14" x14ac:dyDescent="0.2">
      <c r="A34" s="97">
        <v>34489</v>
      </c>
      <c r="B34" s="10" t="s">
        <v>0</v>
      </c>
      <c r="C34" s="12" t="s">
        <v>8</v>
      </c>
      <c r="D34" s="10" t="s">
        <v>1</v>
      </c>
      <c r="E34" s="10" t="s">
        <v>2</v>
      </c>
      <c r="F34" s="22" t="s">
        <v>3</v>
      </c>
      <c r="G34" s="10" t="s">
        <v>1</v>
      </c>
      <c r="H34" s="10" t="s">
        <v>2</v>
      </c>
      <c r="I34" s="12" t="s">
        <v>4</v>
      </c>
      <c r="J34" s="12" t="s">
        <v>5</v>
      </c>
      <c r="K34" s="12" t="s">
        <v>2</v>
      </c>
      <c r="L34" s="10" t="s">
        <v>6</v>
      </c>
    </row>
    <row r="35" spans="1:14" x14ac:dyDescent="0.2">
      <c r="A35" s="4">
        <v>-5</v>
      </c>
      <c r="B35" s="14">
        <v>45342</v>
      </c>
      <c r="C35" s="13">
        <v>23.34</v>
      </c>
      <c r="D35" s="13">
        <f>AVERAGE(C35:C38)</f>
        <v>19.482250000000001</v>
      </c>
      <c r="E35" s="13">
        <f>STDEV(C35:C38)/SQRT(COUNT(C35:C38))</f>
        <v>3.515552359990294</v>
      </c>
      <c r="F35" s="25">
        <f>C35/(1+ 0.317/$I$1)</f>
        <v>21.953681843732436</v>
      </c>
      <c r="G35" s="13">
        <f>AVERAGE(F35:F38)</f>
        <v>18.20952873275424</v>
      </c>
      <c r="H35" s="13">
        <f>STDEV(F35:F38)/SQRT(COUNT(F35:F38))</f>
        <v>3.3406268487699524</v>
      </c>
      <c r="I35" s="12">
        <v>-0.6321</v>
      </c>
      <c r="J35" s="12">
        <f>AVERAGE(I35:I38)</f>
        <v>-0.80522499999999997</v>
      </c>
      <c r="K35" s="12">
        <f>STDEV(I35:I38)/SQRT(COUNT(I35:I38))</f>
        <v>9.2755847749167078E-2</v>
      </c>
      <c r="L35" s="10">
        <f>LOG(F35*0.000000001)</f>
        <v>-7.6584926339492165</v>
      </c>
      <c r="M35" s="142" t="s">
        <v>24</v>
      </c>
      <c r="N35" s="152" t="s">
        <v>58</v>
      </c>
    </row>
    <row r="36" spans="1:14" x14ac:dyDescent="0.2">
      <c r="A36" s="144" t="s">
        <v>53</v>
      </c>
      <c r="B36" s="14">
        <v>45516</v>
      </c>
      <c r="C36" s="13">
        <v>19.61</v>
      </c>
      <c r="D36" s="15"/>
      <c r="E36" s="15"/>
      <c r="F36" s="25">
        <f>C36/(1+ 0.439/$I$1)</f>
        <v>18.033009708737861</v>
      </c>
      <c r="G36" s="12"/>
      <c r="H36" s="12"/>
      <c r="I36" s="12">
        <v>-0.9284</v>
      </c>
      <c r="L36" s="10">
        <f>LOG(F36*0.000000001)</f>
        <v>-7.7439317834931582</v>
      </c>
      <c r="M36" s="142" t="s">
        <v>52</v>
      </c>
    </row>
    <row r="37" spans="1:14" x14ac:dyDescent="0.2">
      <c r="A37" s="4">
        <v>-6</v>
      </c>
      <c r="B37" s="14">
        <v>45523</v>
      </c>
      <c r="C37" s="13">
        <v>25.41</v>
      </c>
      <c r="D37" s="15"/>
      <c r="E37" s="15"/>
      <c r="F37" s="25">
        <f>C37/(1+ 0.304/$I$1)</f>
        <v>23.959090909090907</v>
      </c>
      <c r="G37" s="12"/>
      <c r="H37" s="98">
        <f>H35/G35</f>
        <v>0.18345487671852964</v>
      </c>
      <c r="I37" s="12">
        <v>-0.99880000000000002</v>
      </c>
      <c r="L37" s="10">
        <f>LOG(F37*0.000000001)</f>
        <v>-7.6205296646072487</v>
      </c>
      <c r="M37" s="142" t="s">
        <v>52</v>
      </c>
    </row>
    <row r="38" spans="1:14" ht="15" x14ac:dyDescent="0.25">
      <c r="A38" s="111" t="s">
        <v>101</v>
      </c>
      <c r="B38" s="14">
        <v>45539</v>
      </c>
      <c r="C38" s="13">
        <v>9.5690000000000008</v>
      </c>
      <c r="D38" s="15"/>
      <c r="E38" s="15"/>
      <c r="F38" s="25">
        <f>C38/(1+ 0.382/$I$1)</f>
        <v>8.8923324694557575</v>
      </c>
      <c r="G38" s="12"/>
      <c r="H38" s="16"/>
      <c r="I38" s="12">
        <v>-0.66159999999999997</v>
      </c>
      <c r="L38" s="10">
        <f>LOG(F38*0.000000001)</f>
        <v>-8.0509843081243329</v>
      </c>
    </row>
    <row r="39" spans="1:14" ht="15" x14ac:dyDescent="0.25">
      <c r="A39" s="111"/>
      <c r="B39" s="14"/>
      <c r="C39" s="13"/>
      <c r="D39" s="15"/>
      <c r="E39" s="15"/>
      <c r="F39" s="25"/>
      <c r="G39" s="12"/>
      <c r="H39" s="16"/>
    </row>
    <row r="40" spans="1:14" x14ac:dyDescent="0.2">
      <c r="A40" s="97">
        <v>34490</v>
      </c>
      <c r="B40" s="10" t="s">
        <v>0</v>
      </c>
      <c r="C40" s="12" t="s">
        <v>8</v>
      </c>
      <c r="D40" s="10" t="s">
        <v>1</v>
      </c>
      <c r="E40" s="10" t="s">
        <v>2</v>
      </c>
      <c r="F40" s="22" t="s">
        <v>3</v>
      </c>
      <c r="G40" s="10" t="s">
        <v>1</v>
      </c>
      <c r="H40" s="10" t="s">
        <v>2</v>
      </c>
      <c r="I40" s="12" t="s">
        <v>4</v>
      </c>
      <c r="J40" s="12" t="s">
        <v>5</v>
      </c>
      <c r="K40" s="12" t="s">
        <v>2</v>
      </c>
      <c r="L40" s="10" t="s">
        <v>6</v>
      </c>
    </row>
    <row r="41" spans="1:14" x14ac:dyDescent="0.2">
      <c r="A41" s="4">
        <v>-5</v>
      </c>
      <c r="B41" s="14">
        <v>45342</v>
      </c>
      <c r="C41" s="13">
        <v>3.798</v>
      </c>
      <c r="D41" s="13">
        <f>AVERAGE(C41:C44)</f>
        <v>28.1295</v>
      </c>
      <c r="E41" s="13">
        <f>STDEV(C41:C44)/SQRT(COUNT(C41:C44))</f>
        <v>8.4719435147235647</v>
      </c>
      <c r="F41" s="25">
        <f>C41/(1+ 0.317/$I$1)</f>
        <v>3.5724114671163578</v>
      </c>
      <c r="G41" s="13">
        <f>AVERAGE(F41:F44)</f>
        <v>26.171192386351144</v>
      </c>
      <c r="H41" s="13">
        <f>STDEV(F41:F44)/SQRT(COUNT(F41:F44))</f>
        <v>7.8457159016056472</v>
      </c>
      <c r="I41" s="12">
        <v>-0.43790000000000001</v>
      </c>
      <c r="J41" s="12">
        <f>AVERAGE(I41:I44)</f>
        <v>-0.99297499999999994</v>
      </c>
      <c r="K41" s="12">
        <f>STDEV(I41:I44)/SQRT(COUNT(I41:I44))</f>
        <v>0.18567422355207711</v>
      </c>
      <c r="L41" s="10">
        <f>LOG(F41*0.000000001)</f>
        <v>-8.4470385252575699</v>
      </c>
      <c r="M41" s="142" t="s">
        <v>24</v>
      </c>
      <c r="N41" s="152" t="s">
        <v>60</v>
      </c>
    </row>
    <row r="42" spans="1:14" x14ac:dyDescent="0.2">
      <c r="A42" s="4">
        <v>-6</v>
      </c>
      <c r="B42" s="14">
        <v>45516</v>
      </c>
      <c r="C42" s="13">
        <v>42.32</v>
      </c>
      <c r="D42" s="15"/>
      <c r="E42" s="15"/>
      <c r="F42" s="25">
        <f>C42/(1+ 0.439/$I$1)</f>
        <v>38.916724674848872</v>
      </c>
      <c r="G42" s="12"/>
      <c r="H42" s="12"/>
      <c r="I42" s="12">
        <v>-1.1399999999999999</v>
      </c>
      <c r="L42" s="10">
        <f>LOG(F42*0.000000001)</f>
        <v>-7.4098637181338125</v>
      </c>
      <c r="M42" s="142" t="s">
        <v>52</v>
      </c>
    </row>
    <row r="43" spans="1:14" x14ac:dyDescent="0.2">
      <c r="A43" s="144" t="s">
        <v>53</v>
      </c>
      <c r="B43" s="14">
        <v>45523</v>
      </c>
      <c r="C43" s="13">
        <v>36.07</v>
      </c>
      <c r="D43" s="15"/>
      <c r="E43" s="15"/>
      <c r="F43" s="25">
        <f>C43/(1+ 0.304/$I$1)</f>
        <v>34.010405709992483</v>
      </c>
      <c r="G43" s="12"/>
      <c r="H43" s="98">
        <f>H41/G41</f>
        <v>0.29978442654746451</v>
      </c>
      <c r="I43" s="12">
        <v>-1.216</v>
      </c>
      <c r="L43" s="10">
        <f>LOG(F43*0.000000001)</f>
        <v>-7.4683881873392552</v>
      </c>
      <c r="M43" s="142" t="s">
        <v>52</v>
      </c>
    </row>
    <row r="44" spans="1:14" ht="15" x14ac:dyDescent="0.25">
      <c r="A44" s="111" t="s">
        <v>101</v>
      </c>
      <c r="B44" s="14">
        <v>45539</v>
      </c>
      <c r="C44" s="13">
        <v>30.33</v>
      </c>
      <c r="D44" s="15"/>
      <c r="E44" s="15"/>
      <c r="F44" s="25">
        <f>C44/(1+ 0.382/$I$1)</f>
        <v>28.185227693446866</v>
      </c>
      <c r="G44" s="12"/>
      <c r="H44" s="16"/>
      <c r="I44" s="12">
        <v>-1.1779999999999999</v>
      </c>
    </row>
    <row r="45" spans="1:14" ht="15" x14ac:dyDescent="0.25">
      <c r="A45" s="143"/>
      <c r="B45" s="14"/>
      <c r="D45" s="15"/>
      <c r="E45" s="15"/>
      <c r="F45" s="24"/>
      <c r="G45" s="12"/>
      <c r="H45" s="16"/>
    </row>
    <row r="46" spans="1:14" x14ac:dyDescent="0.2">
      <c r="A46" s="97">
        <v>34491</v>
      </c>
      <c r="B46" s="10" t="s">
        <v>0</v>
      </c>
      <c r="C46" s="12" t="s">
        <v>8</v>
      </c>
      <c r="D46" s="10" t="s">
        <v>1</v>
      </c>
      <c r="E46" s="10" t="s">
        <v>2</v>
      </c>
      <c r="F46" s="22" t="s">
        <v>3</v>
      </c>
      <c r="G46" s="10" t="s">
        <v>1</v>
      </c>
      <c r="H46" s="10" t="s">
        <v>2</v>
      </c>
      <c r="I46" s="12" t="s">
        <v>4</v>
      </c>
      <c r="J46" s="12" t="s">
        <v>5</v>
      </c>
      <c r="K46" s="12" t="s">
        <v>2</v>
      </c>
      <c r="L46" s="10" t="s">
        <v>6</v>
      </c>
    </row>
    <row r="47" spans="1:14" x14ac:dyDescent="0.2">
      <c r="A47" s="4">
        <v>-5</v>
      </c>
      <c r="B47" s="14"/>
      <c r="C47" s="13"/>
      <c r="D47" s="13">
        <f>AVERAGE(C47:C51)</f>
        <v>6.2506666666666675</v>
      </c>
      <c r="E47" s="13">
        <f>STDEV(C47:C51)/SQRT(COUNT(C47:C51))</f>
        <v>0.54169558897143166</v>
      </c>
      <c r="F47" s="25"/>
      <c r="G47" s="13">
        <f>AVERAGE(F47:F51)</f>
        <v>5.821744405393722</v>
      </c>
      <c r="H47" s="13">
        <f>STDEV(F47:F51)/SQRT(COUNT(F47:F51))</f>
        <v>0.53699368868067821</v>
      </c>
      <c r="J47" s="12">
        <f>AVERAGE(I47:I51)</f>
        <v>-1.0174666666666667</v>
      </c>
      <c r="K47" s="12">
        <f>STDEV(I47:I51)/SQRT(COUNT(I47:I51))</f>
        <v>8.0885213591717464E-2</v>
      </c>
      <c r="L47" s="10" t="e">
        <f>LOG(F47*0.000000001)</f>
        <v>#NUM!</v>
      </c>
    </row>
    <row r="48" spans="1:14" x14ac:dyDescent="0.2">
      <c r="A48" s="4">
        <v>-7</v>
      </c>
      <c r="B48" s="14">
        <v>45516</v>
      </c>
      <c r="C48" s="13">
        <v>6.1210000000000004</v>
      </c>
      <c r="D48" s="15"/>
      <c r="E48" s="15"/>
      <c r="F48" s="25">
        <f>C48/(1+ 0.439/$I$1)</f>
        <v>5.6287635098003301</v>
      </c>
      <c r="G48" s="12"/>
      <c r="H48" s="12"/>
      <c r="I48" s="12">
        <v>-1.1519999999999999</v>
      </c>
      <c r="L48" s="10">
        <f>LOG(F48*0.000000001)</f>
        <v>-8.2495869976617549</v>
      </c>
      <c r="M48" s="142" t="s">
        <v>52</v>
      </c>
    </row>
    <row r="49" spans="1:14" x14ac:dyDescent="0.2">
      <c r="A49" s="133" t="s">
        <v>49</v>
      </c>
      <c r="B49" s="14">
        <v>45523</v>
      </c>
      <c r="C49" s="13">
        <v>7.2469999999999999</v>
      </c>
      <c r="D49" s="15"/>
      <c r="E49" s="15"/>
      <c r="F49" s="25">
        <f>C49/(1+ 0.304/$I$1)</f>
        <v>6.8331968444778353</v>
      </c>
      <c r="G49" s="12"/>
      <c r="H49" s="98">
        <f>H47/G47</f>
        <v>9.2239310297299384E-2</v>
      </c>
      <c r="I49" s="12">
        <v>-0.87239999999999995</v>
      </c>
      <c r="L49" s="10">
        <f>LOG(F49*0.000000001)</f>
        <v>-8.1653760683393397</v>
      </c>
      <c r="M49" s="142" t="s">
        <v>52</v>
      </c>
    </row>
    <row r="50" spans="1:14" ht="15" x14ac:dyDescent="0.25">
      <c r="A50" s="111" t="s">
        <v>100</v>
      </c>
      <c r="B50" s="14">
        <v>45539</v>
      </c>
      <c r="C50" s="13">
        <v>5.3840000000000003</v>
      </c>
      <c r="D50" s="15"/>
      <c r="E50" s="15"/>
      <c r="F50" s="25">
        <f>C50/(1+ 0.382/$I$1)</f>
        <v>5.0032728619029987</v>
      </c>
      <c r="G50" s="12"/>
      <c r="H50" s="16"/>
      <c r="I50" s="12">
        <v>-1.028</v>
      </c>
    </row>
    <row r="51" spans="1:14" x14ac:dyDescent="0.2">
      <c r="A51" s="4">
        <v>-5</v>
      </c>
      <c r="B51" s="14">
        <v>45342</v>
      </c>
      <c r="C51" s="13" t="s">
        <v>103</v>
      </c>
      <c r="D51" s="13"/>
      <c r="E51" s="13"/>
      <c r="F51" s="25"/>
      <c r="G51" s="13"/>
      <c r="H51" s="13"/>
      <c r="J51" s="12">
        <v>-0.40760000000000002</v>
      </c>
      <c r="L51" s="10" t="e">
        <f>LOG(F51*0.000000001)</f>
        <v>#NUM!</v>
      </c>
      <c r="M51" s="142" t="s">
        <v>24</v>
      </c>
      <c r="N51" s="152" t="s">
        <v>61</v>
      </c>
    </row>
    <row r="52" spans="1:14" ht="15" x14ac:dyDescent="0.25">
      <c r="A52" s="143"/>
      <c r="B52" s="14"/>
      <c r="D52" s="15"/>
      <c r="E52" s="15"/>
      <c r="F52" s="24"/>
      <c r="G52" s="12"/>
      <c r="H52" s="16"/>
    </row>
    <row r="53" spans="1:14" x14ac:dyDescent="0.2">
      <c r="A53" s="4">
        <v>34492</v>
      </c>
      <c r="B53" s="10" t="s">
        <v>0</v>
      </c>
      <c r="C53" s="12" t="s">
        <v>8</v>
      </c>
      <c r="D53" s="10" t="s">
        <v>1</v>
      </c>
      <c r="E53" s="10" t="s">
        <v>2</v>
      </c>
      <c r="F53" s="22" t="s">
        <v>3</v>
      </c>
      <c r="G53" s="10" t="s">
        <v>1</v>
      </c>
      <c r="H53" s="10" t="s">
        <v>2</v>
      </c>
      <c r="I53" s="12" t="s">
        <v>4</v>
      </c>
      <c r="J53" s="12" t="s">
        <v>5</v>
      </c>
      <c r="K53" s="12" t="s">
        <v>2</v>
      </c>
      <c r="L53" s="10" t="s">
        <v>6</v>
      </c>
    </row>
    <row r="54" spans="1:14" x14ac:dyDescent="0.2">
      <c r="A54" s="144" t="s">
        <v>48</v>
      </c>
      <c r="B54" s="14">
        <v>45516</v>
      </c>
      <c r="C54" s="12">
        <v>1.5469999999999999</v>
      </c>
      <c r="D54" s="12">
        <f>AVERAGE(C54:C58)</f>
        <v>1.6283999999999998</v>
      </c>
      <c r="E54" s="12">
        <f>STDEV(C54:C58)/SQRT(COUNT(C54:C58))</f>
        <v>0.19077253471084363</v>
      </c>
      <c r="F54" s="26">
        <f>C54/(1+ 0.439/$I$1)</f>
        <v>1.4225938816633081</v>
      </c>
      <c r="G54" s="12">
        <f>AVERAGE(F54:F58)</f>
        <v>1.5131202931764647</v>
      </c>
      <c r="H54" s="12">
        <f>STDEV(F54:F58)/SQRT(COUNT(F54:F58))</f>
        <v>0.18245147033152342</v>
      </c>
      <c r="I54" s="12">
        <v>-1.008</v>
      </c>
      <c r="J54" s="12">
        <f>AVERAGE(I54:I58)</f>
        <v>-1.1549200000000002</v>
      </c>
      <c r="K54" s="12">
        <f>STDEV(I54:I58)/SQRT(COUNT(I54:I58))</f>
        <v>0.10364895754420281</v>
      </c>
      <c r="L54" s="10">
        <f>LOG(F54*0.000000001)</f>
        <v>-8.8469190634615735</v>
      </c>
      <c r="M54" s="142" t="s">
        <v>24</v>
      </c>
    </row>
    <row r="55" spans="1:14" x14ac:dyDescent="0.2">
      <c r="A55" s="144" t="s">
        <v>54</v>
      </c>
      <c r="B55" s="14">
        <v>45516</v>
      </c>
      <c r="C55" s="12">
        <v>1.655</v>
      </c>
      <c r="D55" s="15"/>
      <c r="E55" s="15"/>
      <c r="F55" s="26">
        <f>C55/(1+ 0.439/$I$1)</f>
        <v>1.5219087745008242</v>
      </c>
      <c r="G55" s="12"/>
      <c r="H55" s="12"/>
      <c r="I55" s="12">
        <v>-1.2470000000000001</v>
      </c>
      <c r="L55" s="10">
        <f>LOG(F55*0.000000001)</f>
        <v>-8.8176113790492039</v>
      </c>
      <c r="M55" s="142" t="s">
        <v>52</v>
      </c>
    </row>
    <row r="56" spans="1:14" x14ac:dyDescent="0.2">
      <c r="A56" s="133" t="s">
        <v>49</v>
      </c>
      <c r="B56" s="14">
        <v>45523</v>
      </c>
      <c r="C56" s="12">
        <v>2.2349999999999999</v>
      </c>
      <c r="D56" s="15"/>
      <c r="E56" s="15"/>
      <c r="F56" s="26">
        <f>C56/(1+ 0.304/$I$1)</f>
        <v>2.1073816679188577</v>
      </c>
      <c r="G56" s="12"/>
      <c r="H56" s="98">
        <f>H54/G54</f>
        <v>0.12057962024189532</v>
      </c>
      <c r="I56" s="12">
        <v>-1.375</v>
      </c>
      <c r="L56" s="10">
        <f>LOG(F56*0.000000001)</f>
        <v>-8.6762568021896627</v>
      </c>
      <c r="M56" s="142" t="s">
        <v>52</v>
      </c>
    </row>
    <row r="57" spans="1:14" x14ac:dyDescent="0.2">
      <c r="A57" s="133" t="s">
        <v>49</v>
      </c>
      <c r="B57" s="14">
        <v>45539</v>
      </c>
      <c r="C57" s="12">
        <v>1.669</v>
      </c>
      <c r="D57" s="15"/>
      <c r="E57" s="15"/>
      <c r="F57" s="26">
        <f>C57/(1+ 0.382/$I$1)</f>
        <v>1.5509774157719363</v>
      </c>
      <c r="G57" s="12"/>
      <c r="H57" s="16"/>
      <c r="I57" s="12">
        <v>-1.32</v>
      </c>
    </row>
    <row r="58" spans="1:14" ht="15" x14ac:dyDescent="0.25">
      <c r="A58" s="111" t="s">
        <v>102</v>
      </c>
      <c r="B58" s="14">
        <v>45539</v>
      </c>
      <c r="C58" s="12">
        <v>1.036</v>
      </c>
      <c r="D58" s="15"/>
      <c r="E58" s="15"/>
      <c r="F58" s="26">
        <f>C58/(1+ 0.382/$I$1)</f>
        <v>0.96273972602739721</v>
      </c>
      <c r="G58" s="12"/>
      <c r="H58" s="16"/>
      <c r="I58" s="12">
        <v>-0.8246</v>
      </c>
    </row>
    <row r="59" spans="1:14" ht="15" x14ac:dyDescent="0.25">
      <c r="A59" s="143"/>
      <c r="B59" s="112" t="s">
        <v>50</v>
      </c>
      <c r="C59" s="135">
        <v>5.1290000000000002E-2</v>
      </c>
      <c r="D59" s="136" t="s">
        <v>51</v>
      </c>
      <c r="E59" s="15"/>
      <c r="F59" s="137">
        <f>C64/(1+ 0.317/$I$1)</f>
        <v>1.3554094060333524</v>
      </c>
      <c r="G59" s="135"/>
      <c r="H59" s="138"/>
      <c r="I59" s="135">
        <v>-0.57099999999999995</v>
      </c>
      <c r="M59" s="142" t="s">
        <v>24</v>
      </c>
      <c r="N59" s="152" t="s">
        <v>61</v>
      </c>
    </row>
    <row r="60" spans="1:14" ht="15" x14ac:dyDescent="0.25">
      <c r="A60" s="143"/>
      <c r="B60" s="14"/>
      <c r="D60" s="15"/>
      <c r="E60" s="15"/>
      <c r="F60" s="25"/>
      <c r="G60" s="12"/>
      <c r="H60" s="16"/>
    </row>
    <row r="61" spans="1:14" x14ac:dyDescent="0.2">
      <c r="A61" s="97">
        <v>34493</v>
      </c>
      <c r="B61" s="10" t="s">
        <v>0</v>
      </c>
      <c r="C61" s="12" t="s">
        <v>8</v>
      </c>
      <c r="D61" s="10" t="s">
        <v>1</v>
      </c>
      <c r="E61" s="10" t="s">
        <v>2</v>
      </c>
      <c r="F61" s="22" t="s">
        <v>3</v>
      </c>
      <c r="G61" s="10" t="s">
        <v>1</v>
      </c>
      <c r="H61" s="10" t="s">
        <v>2</v>
      </c>
      <c r="I61" s="12" t="s">
        <v>4</v>
      </c>
      <c r="J61" s="12" t="s">
        <v>5</v>
      </c>
      <c r="K61" s="12" t="s">
        <v>2</v>
      </c>
      <c r="L61" s="10" t="s">
        <v>6</v>
      </c>
    </row>
    <row r="62" spans="1:14" x14ac:dyDescent="0.2">
      <c r="A62" s="4">
        <v>-5</v>
      </c>
      <c r="B62" s="14">
        <v>45516</v>
      </c>
      <c r="C62" s="12">
        <v>1.492</v>
      </c>
      <c r="D62" s="12">
        <f>AVERAGE(C62:C66)</f>
        <v>1.6978000000000002</v>
      </c>
      <c r="E62" s="12">
        <f>STDEV(C62:C66)/SQRT(COUNT(C62:C66))</f>
        <v>0.10613547945903823</v>
      </c>
      <c r="F62" s="26">
        <f>C62/(1+ 0.439/$I$1)</f>
        <v>1.3720168529034622</v>
      </c>
      <c r="G62" s="12">
        <f>AVERAGE(F62:F66)</f>
        <v>1.5752741043184022</v>
      </c>
      <c r="H62" s="12">
        <f>STDEV(F62:F66)/SQRT(COUNT(F62:F66))</f>
        <v>9.7017913867650102E-2</v>
      </c>
      <c r="I62" s="12">
        <v>-1.45</v>
      </c>
      <c r="J62" s="12">
        <f>AVERAGE(I62:I66)</f>
        <v>-1.3792</v>
      </c>
      <c r="K62" s="12">
        <f>STDEV(I62:I66)/SQRT(COUNT(I62:I66))</f>
        <v>6.0836995323569371E-2</v>
      </c>
      <c r="L62" s="10">
        <f>LOG(F62*0.000000001)</f>
        <v>-8.8626405540242921</v>
      </c>
      <c r="M62" s="142" t="s">
        <v>24</v>
      </c>
    </row>
    <row r="63" spans="1:14" x14ac:dyDescent="0.2">
      <c r="A63" s="144" t="s">
        <v>54</v>
      </c>
      <c r="B63" s="14">
        <v>45516</v>
      </c>
      <c r="C63" s="12">
        <v>1.8009999999999999</v>
      </c>
      <c r="D63" s="15"/>
      <c r="E63" s="15"/>
      <c r="F63" s="26">
        <f>C63/(1+ 0.439/$I$1)</f>
        <v>1.6561677962996884</v>
      </c>
      <c r="G63" s="12"/>
      <c r="H63" s="12"/>
      <c r="I63" s="12">
        <v>-1.359</v>
      </c>
      <c r="L63" s="10">
        <f>LOG(F63*0.000000001)</f>
        <v>-8.7808956643414078</v>
      </c>
      <c r="M63" s="142" t="s">
        <v>52</v>
      </c>
    </row>
    <row r="64" spans="1:14" x14ac:dyDescent="0.2">
      <c r="A64" s="144" t="s">
        <v>49</v>
      </c>
      <c r="B64" s="14">
        <v>45523</v>
      </c>
      <c r="C64" s="12">
        <v>1.4410000000000001</v>
      </c>
      <c r="D64" s="15"/>
      <c r="E64" s="15"/>
      <c r="F64" s="26">
        <f>C64/(1+ 0.304/$I$1)</f>
        <v>1.3587190082644627</v>
      </c>
      <c r="G64" s="12"/>
      <c r="H64" s="98">
        <f>H62/G62</f>
        <v>6.1587957042960668E-2</v>
      </c>
      <c r="I64" s="12">
        <v>-1.5740000000000001</v>
      </c>
      <c r="L64" s="10">
        <f>LOG(F64*0.000000001)</f>
        <v>-8.8668703488436282</v>
      </c>
      <c r="M64" s="142" t="s">
        <v>52</v>
      </c>
    </row>
    <row r="65" spans="1:15" x14ac:dyDescent="0.2">
      <c r="A65" s="144"/>
      <c r="B65" s="14">
        <v>45539</v>
      </c>
      <c r="C65" s="12">
        <v>2.0219999999999998</v>
      </c>
      <c r="D65" s="15"/>
      <c r="E65" s="15"/>
      <c r="F65" s="26">
        <f>C65/(1+ 0.382/$I$1)</f>
        <v>1.8790151795631245</v>
      </c>
      <c r="G65" s="12"/>
      <c r="H65" s="16"/>
      <c r="I65" s="12">
        <v>-1.2729999999999999</v>
      </c>
    </row>
    <row r="66" spans="1:15" ht="15" x14ac:dyDescent="0.25">
      <c r="A66" s="111" t="s">
        <v>102</v>
      </c>
      <c r="B66" s="14">
        <v>45539</v>
      </c>
      <c r="C66" s="12">
        <v>1.7330000000000001</v>
      </c>
      <c r="D66" s="15"/>
      <c r="E66" s="15"/>
      <c r="F66" s="26">
        <f>C66/(1+ 0.382/$I$1)</f>
        <v>1.6104516845612735</v>
      </c>
      <c r="G66" s="12"/>
      <c r="H66" s="16"/>
      <c r="I66" s="12">
        <v>-1.24</v>
      </c>
    </row>
    <row r="67" spans="1:15" ht="15" x14ac:dyDescent="0.25">
      <c r="A67" s="143"/>
      <c r="B67" s="112" t="s">
        <v>50</v>
      </c>
      <c r="C67" s="135">
        <v>2.934E-3</v>
      </c>
      <c r="D67" s="136" t="s">
        <v>51</v>
      </c>
      <c r="E67" s="136"/>
      <c r="F67" s="141">
        <f>C71/(1+ 0.317/$I$1)</f>
        <v>8.2726063331459621</v>
      </c>
      <c r="G67" s="135"/>
      <c r="H67" s="138"/>
      <c r="I67" s="135">
        <v>-0.35589999999999999</v>
      </c>
      <c r="M67" s="142" t="s">
        <v>24</v>
      </c>
      <c r="N67" s="152" t="s">
        <v>62</v>
      </c>
    </row>
    <row r="68" spans="1:15" ht="15" x14ac:dyDescent="0.25">
      <c r="A68" s="143"/>
      <c r="B68" s="14"/>
      <c r="D68" s="15"/>
      <c r="E68" s="15"/>
      <c r="F68" s="25"/>
      <c r="G68" s="12"/>
      <c r="H68" s="16"/>
    </row>
    <row r="69" spans="1:15" x14ac:dyDescent="0.2">
      <c r="A69" s="97">
        <v>34494</v>
      </c>
      <c r="B69" s="10" t="s">
        <v>0</v>
      </c>
      <c r="C69" s="12" t="s">
        <v>8</v>
      </c>
      <c r="D69" s="10" t="s">
        <v>1</v>
      </c>
      <c r="E69" s="10" t="s">
        <v>2</v>
      </c>
      <c r="F69" s="22" t="s">
        <v>3</v>
      </c>
      <c r="G69" s="10" t="s">
        <v>1</v>
      </c>
      <c r="H69" s="10" t="s">
        <v>2</v>
      </c>
      <c r="I69" s="12" t="s">
        <v>4</v>
      </c>
      <c r="J69" s="12" t="s">
        <v>5</v>
      </c>
      <c r="K69" s="12" t="s">
        <v>2</v>
      </c>
      <c r="L69" s="10" t="s">
        <v>6</v>
      </c>
    </row>
    <row r="70" spans="1:15" x14ac:dyDescent="0.2">
      <c r="A70" s="133" t="s">
        <v>48</v>
      </c>
      <c r="B70" s="14">
        <v>45342</v>
      </c>
      <c r="C70" s="13">
        <v>4.1269999999999998</v>
      </c>
      <c r="D70" s="13">
        <f>AVERAGE(C70:C73)</f>
        <v>14.218</v>
      </c>
      <c r="E70" s="13">
        <f>STDEV(C70:C73)/SQRT(COUNT(C70:C73))</f>
        <v>4.5982039790915481</v>
      </c>
      <c r="F70" s="25">
        <f>C70/(1+ 0.317/$I$1)</f>
        <v>3.8818699643994754</v>
      </c>
      <c r="G70" s="13">
        <f>AVERAGE(F70:F73)</f>
        <v>13.274195607047258</v>
      </c>
      <c r="H70" s="13">
        <f>STDEV(F70:F73)/SQRT(COUNT(F70:F73))</f>
        <v>4.3082117086990985</v>
      </c>
      <c r="I70" s="12">
        <v>-0.57899999999999996</v>
      </c>
      <c r="J70" s="12">
        <f>AVERAGE(I70:I73)</f>
        <v>-0.97065000000000001</v>
      </c>
      <c r="K70" s="12">
        <f>STDEV(I70:I73)/SQRT(COUNT(I70:I73))</f>
        <v>0.13606808038625356</v>
      </c>
      <c r="L70" s="10">
        <f>LOG(F70*0.000000001)</f>
        <v>-8.4109590167811525</v>
      </c>
      <c r="M70" s="142" t="s">
        <v>24</v>
      </c>
      <c r="N70" s="152" t="s">
        <v>60</v>
      </c>
    </row>
    <row r="71" spans="1:15" x14ac:dyDescent="0.2">
      <c r="A71" s="133" t="s">
        <v>53</v>
      </c>
      <c r="B71" s="14">
        <v>45516</v>
      </c>
      <c r="C71" s="13">
        <v>8.7949999999999999</v>
      </c>
      <c r="D71" s="15"/>
      <c r="E71" s="15"/>
      <c r="F71" s="25">
        <f>C71/(1+ 0.439/$I$1)</f>
        <v>8.0877266898699389</v>
      </c>
      <c r="G71" s="12"/>
      <c r="H71" s="12"/>
      <c r="I71" s="12">
        <v>-0.99360000000000004</v>
      </c>
      <c r="L71" s="10">
        <f>LOG(F71*0.000000001)</f>
        <v>-8.0921735333674611</v>
      </c>
      <c r="M71" s="142" t="s">
        <v>52</v>
      </c>
    </row>
    <row r="72" spans="1:15" x14ac:dyDescent="0.2">
      <c r="A72" s="133" t="s">
        <v>53</v>
      </c>
      <c r="B72" s="14">
        <v>45523</v>
      </c>
      <c r="C72" s="13">
        <v>20.94</v>
      </c>
      <c r="D72" s="15"/>
      <c r="E72" s="15"/>
      <c r="F72" s="25">
        <f>C72/(1+ 0.304/$I$1)</f>
        <v>19.744327573253194</v>
      </c>
      <c r="G72" s="12"/>
      <c r="H72" s="98">
        <f>H70/G70</f>
        <v>0.32455538823097296</v>
      </c>
      <c r="I72" s="12">
        <v>-1.167</v>
      </c>
      <c r="L72" s="10">
        <f>LOG(F72*0.000000001)</f>
        <v>-7.7045576523147945</v>
      </c>
      <c r="M72" s="142" t="s">
        <v>52</v>
      </c>
    </row>
    <row r="73" spans="1:15" ht="15" x14ac:dyDescent="0.25">
      <c r="A73" s="111" t="s">
        <v>101</v>
      </c>
      <c r="B73" s="14">
        <v>45539</v>
      </c>
      <c r="C73" s="13">
        <v>23.01</v>
      </c>
      <c r="D73" s="12"/>
      <c r="E73" s="12"/>
      <c r="F73" s="25">
        <f>C73/(1+ 0.382/$I$1)</f>
        <v>21.382858200666419</v>
      </c>
      <c r="G73" s="12"/>
      <c r="H73" s="18"/>
      <c r="I73" s="12">
        <v>-1.143</v>
      </c>
    </row>
    <row r="74" spans="1:15" x14ac:dyDescent="0.2">
      <c r="B74" s="14"/>
      <c r="D74" s="15"/>
      <c r="E74" s="15"/>
      <c r="F74" s="23"/>
      <c r="G74" s="12"/>
      <c r="H74" s="16"/>
    </row>
    <row r="75" spans="1:15" ht="15" x14ac:dyDescent="0.25">
      <c r="A75" s="36" t="s">
        <v>9</v>
      </c>
      <c r="B75" s="27"/>
      <c r="C75" s="28"/>
      <c r="D75" s="28"/>
      <c r="E75" s="28"/>
      <c r="F75" s="29"/>
      <c r="G75" s="28"/>
      <c r="H75" s="30"/>
      <c r="I75" s="28"/>
      <c r="J75" s="28"/>
      <c r="K75" s="28"/>
      <c r="L75" s="31"/>
    </row>
    <row r="76" spans="1:15" x14ac:dyDescent="0.2">
      <c r="A76" s="7" t="s">
        <v>14</v>
      </c>
      <c r="B76" s="10" t="s">
        <v>0</v>
      </c>
      <c r="C76" s="12" t="s">
        <v>8</v>
      </c>
      <c r="D76" s="10" t="s">
        <v>1</v>
      </c>
      <c r="E76" s="10" t="s">
        <v>2</v>
      </c>
      <c r="F76" s="22" t="s">
        <v>3</v>
      </c>
      <c r="G76" s="10" t="s">
        <v>1</v>
      </c>
      <c r="H76" s="10" t="s">
        <v>2</v>
      </c>
      <c r="I76" s="12" t="s">
        <v>4</v>
      </c>
      <c r="J76" s="12" t="s">
        <v>5</v>
      </c>
      <c r="K76" s="12" t="s">
        <v>2</v>
      </c>
      <c r="L76" s="10" t="s">
        <v>6</v>
      </c>
      <c r="O76" s="1"/>
    </row>
    <row r="77" spans="1:15" x14ac:dyDescent="0.2">
      <c r="A77" s="91">
        <v>-6</v>
      </c>
      <c r="B77" s="14">
        <v>45342</v>
      </c>
      <c r="C77" s="12">
        <v>2.6920000000000002</v>
      </c>
      <c r="D77" s="12">
        <f>AVERAGE(C77:C82)</f>
        <v>2.2589999999999999</v>
      </c>
      <c r="E77" s="12">
        <f>STDEV(C77:C82)/SQRT(COUNT(C77:C82))</f>
        <v>0.48751820478829333</v>
      </c>
      <c r="F77" s="26">
        <f>C77/(1+ 0.317/$I$1)</f>
        <v>2.5321041783773661</v>
      </c>
      <c r="G77" s="12">
        <f>AVERAGE(F77:F82)</f>
        <v>2.1041012723535042</v>
      </c>
      <c r="H77" s="12">
        <f>STDEV(F77:F82)/SQRT(COUNT(F77:F82))</f>
        <v>0.45235964134310325</v>
      </c>
      <c r="I77" s="12">
        <v>-0.78979999999999995</v>
      </c>
      <c r="J77" s="12">
        <f>AVERAGE(I77:I82)</f>
        <v>-0.74702000000000002</v>
      </c>
      <c r="K77" s="12">
        <f>STDEV(I77:I82)/SQRT(COUNT(I77:I82))</f>
        <v>4.5475844137300062E-2</v>
      </c>
      <c r="L77" s="10">
        <f>LOG(F77*0.000000001)</f>
        <v>-8.5965184301066291</v>
      </c>
      <c r="M77" s="142" t="s">
        <v>24</v>
      </c>
      <c r="O77" s="1"/>
    </row>
    <row r="78" spans="1:15" x14ac:dyDescent="0.2">
      <c r="A78" s="139" t="s">
        <v>53</v>
      </c>
      <c r="B78" s="14">
        <v>45516</v>
      </c>
      <c r="C78" s="12">
        <v>1.7050000000000001</v>
      </c>
      <c r="D78" s="15"/>
      <c r="E78" s="15"/>
      <c r="F78" s="26">
        <f>C78/(1+ 0.439/$I$1)</f>
        <v>1.5678878915552299</v>
      </c>
      <c r="H78" s="16"/>
      <c r="I78" s="12">
        <v>-0.74260000000000004</v>
      </c>
      <c r="L78" s="10">
        <f>LOG(F78*0.000000001)</f>
        <v>-8.8046849938324261</v>
      </c>
      <c r="M78" s="142" t="s">
        <v>52</v>
      </c>
      <c r="O78" s="1"/>
    </row>
    <row r="79" spans="1:15" x14ac:dyDescent="0.2">
      <c r="A79" s="139" t="s">
        <v>53</v>
      </c>
      <c r="B79" s="14">
        <v>45523</v>
      </c>
      <c r="C79" s="12">
        <v>1.3080000000000001</v>
      </c>
      <c r="D79" s="15"/>
      <c r="E79" s="15"/>
      <c r="F79" s="26">
        <f>C79/(1+ 0.304/$I$1)</f>
        <v>1.2333132982719759</v>
      </c>
      <c r="H79" s="98">
        <f>H77/G77</f>
        <v>0.21498948139369956</v>
      </c>
      <c r="I79" s="12">
        <v>-0.83030000000000004</v>
      </c>
      <c r="L79" s="10">
        <f>LOG(F79*0.000000001)</f>
        <v>-8.90892658566937</v>
      </c>
      <c r="M79" s="142" t="s">
        <v>52</v>
      </c>
      <c r="O79" s="1"/>
    </row>
    <row r="80" spans="1:15" x14ac:dyDescent="0.2">
      <c r="A80" s="139" t="s">
        <v>53</v>
      </c>
      <c r="B80" s="14">
        <v>45539</v>
      </c>
      <c r="C80" s="12">
        <v>1.6160000000000001</v>
      </c>
      <c r="D80" s="15"/>
      <c r="E80" s="15"/>
      <c r="F80" s="26">
        <f>C80/(1+ 0.382/$I$1)</f>
        <v>1.5017252869307662</v>
      </c>
      <c r="H80" s="16"/>
      <c r="I80" s="12">
        <v>-0.7984</v>
      </c>
      <c r="M80" s="142" t="s">
        <v>52</v>
      </c>
      <c r="O80" s="1"/>
    </row>
    <row r="81" spans="1:15" ht="15" x14ac:dyDescent="0.25">
      <c r="A81" s="111" t="s">
        <v>55</v>
      </c>
      <c r="B81" s="14">
        <v>45548</v>
      </c>
      <c r="C81" s="12">
        <v>3.9740000000000002</v>
      </c>
      <c r="D81" s="15"/>
      <c r="E81" s="15"/>
      <c r="F81" s="26">
        <f>C81/(1+ 0.393/$I$1)</f>
        <v>3.6854757066321819</v>
      </c>
      <c r="H81" s="16"/>
      <c r="I81" s="12">
        <v>-0.57399999999999995</v>
      </c>
      <c r="M81" s="142" t="s">
        <v>52</v>
      </c>
      <c r="O81" s="1"/>
    </row>
    <row r="82" spans="1:15" ht="15" x14ac:dyDescent="0.25">
      <c r="A82" s="91"/>
      <c r="B82" s="14"/>
      <c r="D82" s="15"/>
      <c r="E82" s="15"/>
      <c r="F82" s="24"/>
      <c r="H82" s="16"/>
      <c r="M82" s="145"/>
      <c r="O82" s="1"/>
    </row>
    <row r="83" spans="1:15" s="1" customFormat="1" x14ac:dyDescent="0.2">
      <c r="A83" s="92" t="s">
        <v>43</v>
      </c>
      <c r="B83" s="10" t="s">
        <v>0</v>
      </c>
      <c r="C83" s="12" t="s">
        <v>8</v>
      </c>
      <c r="D83" s="10" t="s">
        <v>1</v>
      </c>
      <c r="E83" s="10" t="s">
        <v>2</v>
      </c>
      <c r="F83" s="22" t="s">
        <v>3</v>
      </c>
      <c r="G83" s="10" t="s">
        <v>1</v>
      </c>
      <c r="H83" s="10" t="s">
        <v>2</v>
      </c>
      <c r="I83" s="12" t="s">
        <v>4</v>
      </c>
      <c r="J83" s="12" t="s">
        <v>5</v>
      </c>
      <c r="K83" s="12" t="s">
        <v>2</v>
      </c>
      <c r="L83" s="10" t="s">
        <v>6</v>
      </c>
      <c r="M83" s="142"/>
    </row>
    <row r="84" spans="1:15" s="1" customFormat="1" x14ac:dyDescent="0.2">
      <c r="A84" s="91">
        <v>-7</v>
      </c>
      <c r="B84" s="14">
        <v>45342</v>
      </c>
      <c r="C84" s="12">
        <v>1.022</v>
      </c>
      <c r="D84" s="13">
        <f>AVERAGE(C84:C87)</f>
        <v>0.86203333333333321</v>
      </c>
      <c r="E84" s="13">
        <f>STDEV(C84:C87)/SQRT(COUNT(C84:C87))</f>
        <v>0.14958955325972659</v>
      </c>
      <c r="F84" s="25">
        <f>C84/(1+ 0.317/$I$1)</f>
        <v>0.96129660858160026</v>
      </c>
      <c r="G84" s="13">
        <f>AVERAGE(F84:F87)</f>
        <v>0.80947340686313218</v>
      </c>
      <c r="H84" s="13">
        <f>STDEV(F84:F87)/SQRT(COUNT(F84:F87))</f>
        <v>0.14318505922557606</v>
      </c>
      <c r="I84" s="12">
        <v>-0.97640000000000005</v>
      </c>
      <c r="J84" s="12">
        <f>AVERAGE(I84:I87)</f>
        <v>-1.2577999999999998</v>
      </c>
      <c r="K84" s="12">
        <f>STDEV(I84:I87)/SQRT(COUNT(I84:I87))</f>
        <v>0.16126760369026449</v>
      </c>
      <c r="L84" s="10">
        <f>LOG(F84*0.000000001)</f>
        <v>-9.0171425898598745</v>
      </c>
      <c r="M84" s="142" t="s">
        <v>24</v>
      </c>
    </row>
    <row r="85" spans="1:15" s="1" customFormat="1" x14ac:dyDescent="0.2">
      <c r="A85" s="139" t="s">
        <v>49</v>
      </c>
      <c r="B85" s="14">
        <v>45523</v>
      </c>
      <c r="C85" s="12">
        <v>1.0009999999999999</v>
      </c>
      <c r="D85" s="15"/>
      <c r="E85" s="15"/>
      <c r="F85" s="26">
        <f>C85/(1+ 0.304/$I$1)</f>
        <v>0.94384297520661142</v>
      </c>
      <c r="G85" s="17"/>
      <c r="H85" s="10"/>
      <c r="I85" s="12">
        <v>-1.262</v>
      </c>
      <c r="J85" s="12"/>
      <c r="K85" s="12"/>
      <c r="L85" s="10">
        <f>LOG(F85*0.000000001)</f>
        <v>-9.0251002521782997</v>
      </c>
      <c r="M85" s="142" t="s">
        <v>52</v>
      </c>
    </row>
    <row r="86" spans="1:15" s="1" customFormat="1" ht="15" x14ac:dyDescent="0.25">
      <c r="A86" s="111" t="s">
        <v>100</v>
      </c>
      <c r="B86" s="14">
        <v>45539</v>
      </c>
      <c r="C86" s="12">
        <v>0.56310000000000004</v>
      </c>
      <c r="D86" s="15"/>
      <c r="E86" s="15"/>
      <c r="F86" s="26">
        <f>C86/(1+ 0.382/$I$1)</f>
        <v>0.52328063680118475</v>
      </c>
      <c r="G86" s="17"/>
      <c r="H86" s="98">
        <f>H84/G84</f>
        <v>0.17688667473394362</v>
      </c>
      <c r="I86" s="12">
        <v>-1.5349999999999999</v>
      </c>
      <c r="J86" s="12"/>
      <c r="K86" s="12"/>
      <c r="L86" s="10">
        <f>LOG(F86*0.000000001)</f>
        <v>-9.2812653353654042</v>
      </c>
      <c r="M86" s="142"/>
    </row>
    <row r="87" spans="1:15" s="1" customFormat="1" x14ac:dyDescent="0.2">
      <c r="A87" s="91"/>
      <c r="B87" s="14"/>
      <c r="C87" s="12"/>
      <c r="D87" s="17"/>
      <c r="E87" s="17"/>
      <c r="F87" s="24"/>
      <c r="G87" s="17"/>
      <c r="H87" s="17"/>
      <c r="I87" s="12"/>
      <c r="J87" s="12"/>
      <c r="K87" s="12"/>
      <c r="L87" s="10"/>
      <c r="M87" s="142"/>
    </row>
    <row r="88" spans="1:15" ht="15" x14ac:dyDescent="0.25">
      <c r="A88" s="92"/>
      <c r="M88" s="145"/>
    </row>
    <row r="89" spans="1:15" ht="15" x14ac:dyDescent="0.25">
      <c r="A89" s="91"/>
      <c r="B89" s="14"/>
      <c r="D89" s="17"/>
      <c r="E89" s="17"/>
      <c r="F89" s="23"/>
      <c r="G89" s="13"/>
      <c r="H89" s="13"/>
      <c r="M89" s="145"/>
    </row>
    <row r="90" spans="1:15" ht="15" x14ac:dyDescent="0.25">
      <c r="A90" s="91"/>
      <c r="B90" s="14"/>
      <c r="D90" s="17"/>
      <c r="E90" s="17"/>
      <c r="F90" s="23"/>
      <c r="G90" s="17"/>
      <c r="M90" s="145"/>
    </row>
    <row r="91" spans="1:15" ht="15" x14ac:dyDescent="0.25">
      <c r="A91" s="146"/>
      <c r="B91" s="14"/>
      <c r="D91" s="15"/>
      <c r="E91" s="15"/>
      <c r="F91" s="23"/>
      <c r="G91" s="17"/>
      <c r="H91" s="16"/>
      <c r="M91" s="145"/>
    </row>
    <row r="92" spans="1:15" ht="15" x14ac:dyDescent="0.25">
      <c r="A92" s="91"/>
      <c r="B92" s="14"/>
      <c r="D92" s="15"/>
      <c r="E92" s="15"/>
      <c r="F92" s="24"/>
      <c r="G92" s="17"/>
      <c r="H92" s="17"/>
      <c r="M92" s="145"/>
    </row>
    <row r="93" spans="1:15" s="1" customFormat="1" x14ac:dyDescent="0.2">
      <c r="A93" s="92"/>
      <c r="B93" s="10"/>
      <c r="C93" s="12"/>
      <c r="D93" s="10"/>
      <c r="E93" s="10"/>
      <c r="F93" s="22"/>
      <c r="G93" s="10"/>
      <c r="H93" s="10"/>
      <c r="I93" s="12"/>
      <c r="J93" s="12"/>
      <c r="K93" s="12"/>
      <c r="L93" s="10"/>
      <c r="M93" s="142"/>
    </row>
    <row r="94" spans="1:15" s="1" customFormat="1" x14ac:dyDescent="0.2">
      <c r="A94" s="91"/>
      <c r="B94" s="14"/>
      <c r="C94" s="12"/>
      <c r="D94" s="12"/>
      <c r="E94" s="12"/>
      <c r="F94" s="25"/>
      <c r="G94" s="12"/>
      <c r="H94" s="12"/>
      <c r="I94" s="12"/>
      <c r="J94" s="12"/>
      <c r="K94" s="12"/>
      <c r="L94" s="10"/>
      <c r="M94" s="142"/>
    </row>
    <row r="95" spans="1:15" s="1" customFormat="1" x14ac:dyDescent="0.2">
      <c r="A95" s="91"/>
      <c r="B95" s="14"/>
      <c r="C95" s="12"/>
      <c r="D95" s="15"/>
      <c r="E95" s="15"/>
      <c r="F95" s="25"/>
      <c r="G95" s="17"/>
      <c r="H95" s="17"/>
      <c r="I95" s="12"/>
      <c r="J95" s="12"/>
      <c r="K95" s="12"/>
      <c r="L95" s="10"/>
      <c r="M95" s="142"/>
    </row>
    <row r="96" spans="1:15" s="1" customFormat="1" ht="15" x14ac:dyDescent="0.25">
      <c r="A96" s="146"/>
      <c r="B96" s="14"/>
      <c r="C96" s="12"/>
      <c r="D96" s="15"/>
      <c r="E96" s="15"/>
      <c r="F96" s="25"/>
      <c r="G96" s="10"/>
      <c r="H96" s="16"/>
      <c r="I96" s="10"/>
      <c r="J96" s="12"/>
      <c r="K96" s="12"/>
      <c r="L96" s="10"/>
      <c r="M96" s="142"/>
    </row>
    <row r="97" spans="1:13" s="1" customFormat="1" x14ac:dyDescent="0.2">
      <c r="A97" s="91"/>
      <c r="B97" s="14"/>
      <c r="C97" s="12"/>
      <c r="D97" s="15"/>
      <c r="E97" s="15"/>
      <c r="F97" s="25"/>
      <c r="G97" s="10"/>
      <c r="H97" s="16"/>
      <c r="I97" s="10"/>
      <c r="J97" s="12"/>
      <c r="K97" s="12"/>
      <c r="L97" s="10"/>
      <c r="M97" s="142"/>
    </row>
    <row r="98" spans="1:13" s="48" customFormat="1" ht="15" x14ac:dyDescent="0.25">
      <c r="A98" s="45"/>
      <c r="B98" s="46"/>
      <c r="C98" s="37"/>
      <c r="D98" s="37"/>
      <c r="E98" s="37"/>
      <c r="F98" s="37"/>
      <c r="G98" s="38"/>
      <c r="H98" s="47"/>
      <c r="I98" s="37"/>
      <c r="J98" s="37"/>
      <c r="K98" s="37"/>
      <c r="L98" s="38"/>
      <c r="M98" s="85"/>
    </row>
    <row r="99" spans="1:13" s="48" customFormat="1" ht="15" x14ac:dyDescent="0.25">
      <c r="A99" s="45"/>
      <c r="B99" s="38"/>
      <c r="C99" s="43"/>
      <c r="D99" s="38"/>
      <c r="E99" s="38"/>
      <c r="F99" s="38"/>
      <c r="G99" s="38"/>
      <c r="H99" s="38"/>
      <c r="I99" s="37"/>
      <c r="J99" s="37"/>
      <c r="K99" s="37"/>
      <c r="L99" s="38"/>
      <c r="M99" s="85"/>
    </row>
    <row r="100" spans="1:13" s="48" customFormat="1" ht="15" x14ac:dyDescent="0.25">
      <c r="A100" s="50"/>
      <c r="B100" s="38"/>
      <c r="C100" s="43"/>
      <c r="D100" s="38"/>
      <c r="E100" s="38"/>
      <c r="F100" s="38"/>
      <c r="G100" s="38"/>
      <c r="H100" s="38"/>
      <c r="I100" s="37"/>
      <c r="J100" s="37"/>
      <c r="K100" s="37"/>
      <c r="L100" s="38"/>
      <c r="M100" s="71"/>
    </row>
    <row r="101" spans="1:13" s="48" customFormat="1" ht="15" x14ac:dyDescent="0.25">
      <c r="A101" s="51"/>
      <c r="B101" s="46"/>
      <c r="C101" s="37"/>
      <c r="D101" s="38"/>
      <c r="E101" s="41"/>
      <c r="F101" s="39"/>
      <c r="G101" s="38"/>
      <c r="H101" s="47"/>
      <c r="I101" s="37"/>
      <c r="J101" s="37"/>
      <c r="K101" s="37"/>
      <c r="L101" s="38"/>
      <c r="M101" s="71"/>
    </row>
    <row r="102" spans="1:13" s="48" customFormat="1" x14ac:dyDescent="0.2">
      <c r="A102" s="52"/>
      <c r="B102" s="38"/>
      <c r="C102" s="37"/>
      <c r="D102" s="38"/>
      <c r="E102" s="38"/>
      <c r="F102" s="38"/>
      <c r="G102" s="38"/>
      <c r="H102" s="38"/>
      <c r="I102" s="37"/>
      <c r="J102" s="37"/>
      <c r="K102" s="37"/>
      <c r="L102" s="38"/>
      <c r="M102" s="71"/>
    </row>
    <row r="103" spans="1:13" s="48" customFormat="1" x14ac:dyDescent="0.2">
      <c r="A103" s="53"/>
      <c r="B103" s="46"/>
      <c r="C103" s="37"/>
      <c r="D103" s="42"/>
      <c r="E103" s="42"/>
      <c r="F103" s="40"/>
      <c r="G103" s="40"/>
      <c r="H103" s="40"/>
      <c r="I103" s="37"/>
      <c r="J103" s="37"/>
      <c r="K103" s="37"/>
      <c r="L103" s="38"/>
      <c r="M103" s="71"/>
    </row>
    <row r="104" spans="1:13" s="48" customFormat="1" ht="15" x14ac:dyDescent="0.25">
      <c r="A104" s="51"/>
      <c r="B104" s="46"/>
      <c r="C104" s="37"/>
      <c r="D104" s="40"/>
      <c r="E104" s="40"/>
      <c r="F104" s="40"/>
      <c r="G104" s="40"/>
      <c r="H104" s="40"/>
      <c r="I104" s="37"/>
      <c r="J104" s="37"/>
      <c r="K104" s="37"/>
      <c r="L104" s="38"/>
      <c r="M104" s="71"/>
    </row>
    <row r="105" spans="1:13" s="48" customFormat="1" x14ac:dyDescent="0.2">
      <c r="A105" s="45"/>
      <c r="B105" s="46"/>
      <c r="C105" s="37"/>
      <c r="D105" s="40"/>
      <c r="E105" s="40"/>
      <c r="F105" s="40"/>
      <c r="G105" s="40"/>
      <c r="H105" s="47"/>
      <c r="I105" s="37"/>
      <c r="J105" s="37"/>
      <c r="K105" s="37"/>
      <c r="L105" s="38"/>
      <c r="M105" s="71"/>
    </row>
    <row r="106" spans="1:13" s="48" customFormat="1" x14ac:dyDescent="0.2">
      <c r="A106" s="45"/>
      <c r="B106" s="54"/>
      <c r="C106" s="134"/>
      <c r="D106" s="40"/>
      <c r="E106" s="40"/>
      <c r="F106" s="40"/>
      <c r="G106" s="40"/>
      <c r="H106" s="47"/>
      <c r="I106" s="37"/>
      <c r="J106" s="37"/>
      <c r="K106" s="37"/>
      <c r="L106" s="38"/>
      <c r="M106" s="71"/>
    </row>
    <row r="107" spans="1:13" s="48" customFormat="1" x14ac:dyDescent="0.2">
      <c r="A107" s="52"/>
      <c r="B107" s="38"/>
      <c r="C107" s="37"/>
      <c r="D107" s="38"/>
      <c r="E107" s="38"/>
      <c r="F107" s="38"/>
      <c r="G107" s="38"/>
      <c r="H107" s="38"/>
      <c r="I107" s="37"/>
      <c r="J107" s="37"/>
      <c r="K107" s="37"/>
      <c r="L107" s="38"/>
      <c r="M107" s="71"/>
    </row>
    <row r="108" spans="1:13" s="48" customFormat="1" x14ac:dyDescent="0.2">
      <c r="A108" s="45"/>
      <c r="B108" s="46"/>
      <c r="C108" s="37"/>
      <c r="D108" s="40"/>
      <c r="E108" s="40"/>
      <c r="F108" s="40"/>
      <c r="G108" s="40"/>
      <c r="H108" s="40"/>
      <c r="I108" s="37"/>
      <c r="J108" s="37"/>
      <c r="K108" s="37"/>
      <c r="L108" s="38"/>
      <c r="M108" s="71"/>
    </row>
    <row r="109" spans="1:13" s="48" customFormat="1" ht="15" x14ac:dyDescent="0.25">
      <c r="A109" s="51"/>
      <c r="B109" s="46"/>
      <c r="C109" s="37"/>
      <c r="D109" s="40"/>
      <c r="E109" s="40"/>
      <c r="F109" s="40"/>
      <c r="G109" s="40"/>
      <c r="H109" s="40"/>
      <c r="I109" s="37"/>
      <c r="J109" s="37"/>
      <c r="K109" s="37"/>
      <c r="L109" s="38"/>
      <c r="M109" s="71"/>
    </row>
    <row r="110" spans="1:13" s="48" customFormat="1" x14ac:dyDescent="0.2">
      <c r="A110" s="45"/>
      <c r="B110" s="46"/>
      <c r="C110" s="37"/>
      <c r="D110" s="40"/>
      <c r="E110" s="40"/>
      <c r="F110" s="40"/>
      <c r="G110" s="40"/>
      <c r="H110" s="47"/>
      <c r="I110" s="37"/>
      <c r="J110" s="37"/>
      <c r="K110" s="37"/>
      <c r="L110" s="38"/>
      <c r="M110" s="71"/>
    </row>
    <row r="111" spans="1:13" s="48" customFormat="1" x14ac:dyDescent="0.2">
      <c r="A111" s="45"/>
      <c r="B111" s="46"/>
      <c r="C111" s="37"/>
      <c r="D111" s="40"/>
      <c r="E111" s="40"/>
      <c r="F111" s="40"/>
      <c r="G111" s="40"/>
      <c r="H111" s="47"/>
      <c r="I111" s="37"/>
      <c r="J111" s="37"/>
      <c r="K111" s="37"/>
      <c r="L111" s="38"/>
      <c r="M111" s="71"/>
    </row>
    <row r="112" spans="1:13" s="56" customFormat="1" x14ac:dyDescent="0.2">
      <c r="A112" s="55"/>
      <c r="B112" s="38"/>
      <c r="C112" s="37"/>
      <c r="D112" s="38"/>
      <c r="E112" s="38"/>
      <c r="F112" s="41"/>
      <c r="G112" s="38"/>
      <c r="H112" s="38"/>
      <c r="I112" s="37"/>
      <c r="J112" s="37"/>
      <c r="K112" s="37"/>
      <c r="L112" s="38"/>
      <c r="M112" s="71"/>
    </row>
    <row r="113" spans="1:13" s="56" customFormat="1" x14ac:dyDescent="0.2">
      <c r="A113" s="45"/>
      <c r="B113" s="46"/>
      <c r="C113" s="37"/>
      <c r="D113" s="41"/>
      <c r="E113" s="41"/>
      <c r="F113" s="40"/>
      <c r="G113" s="41"/>
      <c r="H113" s="41"/>
      <c r="I113" s="37"/>
      <c r="J113" s="37"/>
      <c r="K113" s="37"/>
      <c r="L113" s="38"/>
      <c r="M113" s="71"/>
    </row>
    <row r="114" spans="1:13" s="56" customFormat="1" ht="15" x14ac:dyDescent="0.25">
      <c r="A114" s="51"/>
      <c r="B114" s="46"/>
      <c r="C114" s="37"/>
      <c r="D114" s="40"/>
      <c r="E114" s="40"/>
      <c r="F114" s="40"/>
      <c r="G114" s="41"/>
      <c r="H114" s="41"/>
      <c r="I114" s="37"/>
      <c r="J114" s="37"/>
      <c r="K114" s="37"/>
      <c r="L114" s="38"/>
      <c r="M114" s="71"/>
    </row>
    <row r="115" spans="1:13" s="56" customFormat="1" x14ac:dyDescent="0.2">
      <c r="A115" s="45"/>
      <c r="B115" s="46"/>
      <c r="C115" s="37"/>
      <c r="D115" s="40"/>
      <c r="E115" s="40"/>
      <c r="F115" s="40"/>
      <c r="G115" s="41"/>
      <c r="H115" s="47"/>
      <c r="I115" s="37"/>
      <c r="J115" s="37"/>
      <c r="K115" s="37"/>
      <c r="L115" s="38"/>
      <c r="M115" s="71"/>
    </row>
    <row r="116" spans="1:13" s="48" customFormat="1" ht="15" x14ac:dyDescent="0.25">
      <c r="A116" s="45"/>
      <c r="B116" s="46"/>
      <c r="C116" s="37"/>
      <c r="D116" s="40"/>
      <c r="E116" s="40"/>
      <c r="F116" s="37"/>
      <c r="G116" s="41"/>
      <c r="H116" s="47"/>
      <c r="I116" s="37"/>
      <c r="J116" s="37"/>
      <c r="K116" s="37"/>
      <c r="L116" s="38"/>
      <c r="M116" s="85"/>
    </row>
    <row r="117" spans="1:13" s="56" customFormat="1" x14ac:dyDescent="0.2">
      <c r="A117" s="58"/>
      <c r="B117" s="38"/>
      <c r="C117" s="37"/>
      <c r="D117" s="38"/>
      <c r="E117" s="38"/>
      <c r="F117" s="41"/>
      <c r="G117" s="38"/>
      <c r="H117" s="38"/>
      <c r="I117" s="37"/>
      <c r="J117" s="37"/>
      <c r="K117" s="37"/>
      <c r="L117" s="38"/>
      <c r="M117" s="71"/>
    </row>
    <row r="118" spans="1:13" s="56" customFormat="1" x14ac:dyDescent="0.2">
      <c r="A118" s="45"/>
      <c r="B118" s="46"/>
      <c r="C118" s="37"/>
      <c r="D118" s="41"/>
      <c r="E118" s="41"/>
      <c r="F118" s="40"/>
      <c r="G118" s="41"/>
      <c r="H118" s="41"/>
      <c r="I118" s="37"/>
      <c r="J118" s="37"/>
      <c r="K118" s="37"/>
      <c r="L118" s="38"/>
      <c r="M118" s="71"/>
    </row>
    <row r="119" spans="1:13" s="56" customFormat="1" x14ac:dyDescent="0.2">
      <c r="A119" s="45"/>
      <c r="B119" s="46"/>
      <c r="C119" s="37"/>
      <c r="D119" s="40"/>
      <c r="E119" s="40"/>
      <c r="F119" s="40"/>
      <c r="G119" s="41"/>
      <c r="H119" s="41"/>
      <c r="I119" s="37"/>
      <c r="J119" s="37"/>
      <c r="K119" s="37"/>
      <c r="L119" s="38"/>
      <c r="M119" s="71"/>
    </row>
    <row r="120" spans="1:13" s="56" customFormat="1" x14ac:dyDescent="0.2">
      <c r="A120" s="45"/>
      <c r="B120" s="46"/>
      <c r="C120" s="37"/>
      <c r="D120" s="40"/>
      <c r="E120" s="40"/>
      <c r="F120" s="40"/>
      <c r="G120" s="41"/>
      <c r="H120" s="47"/>
      <c r="I120" s="37"/>
      <c r="J120" s="37"/>
      <c r="K120" s="37"/>
      <c r="L120" s="38"/>
      <c r="M120" s="71"/>
    </row>
    <row r="121" spans="1:13" s="48" customFormat="1" ht="15" x14ac:dyDescent="0.25">
      <c r="A121" s="51"/>
      <c r="B121" s="46"/>
      <c r="C121" s="37"/>
      <c r="D121" s="40"/>
      <c r="E121" s="40"/>
      <c r="F121" s="40"/>
      <c r="G121" s="41"/>
      <c r="H121" s="47"/>
      <c r="I121" s="37"/>
      <c r="J121" s="37"/>
      <c r="K121" s="37"/>
      <c r="L121" s="38"/>
      <c r="M121" s="85"/>
    </row>
    <row r="122" spans="1:13" s="48" customFormat="1" ht="15" x14ac:dyDescent="0.25">
      <c r="A122" s="51"/>
      <c r="B122" s="46"/>
      <c r="C122" s="37"/>
      <c r="D122" s="40"/>
      <c r="E122" s="40"/>
      <c r="F122" s="40"/>
      <c r="G122" s="41"/>
      <c r="H122" s="47"/>
      <c r="I122" s="37"/>
      <c r="J122" s="37"/>
      <c r="K122" s="37"/>
      <c r="L122" s="38"/>
      <c r="M122" s="85"/>
    </row>
    <row r="123" spans="1:13" s="48" customFormat="1" ht="15" x14ac:dyDescent="0.25">
      <c r="A123" s="58"/>
      <c r="B123" s="38"/>
      <c r="C123" s="37"/>
      <c r="D123" s="38"/>
      <c r="E123" s="38"/>
      <c r="F123" s="41"/>
      <c r="G123" s="38"/>
      <c r="H123" s="38"/>
      <c r="I123" s="37"/>
      <c r="J123" s="37"/>
      <c r="K123" s="37"/>
      <c r="L123" s="38"/>
      <c r="M123" s="85"/>
    </row>
    <row r="124" spans="1:13" s="48" customFormat="1" ht="15" x14ac:dyDescent="0.25">
      <c r="A124" s="45"/>
      <c r="B124" s="46"/>
      <c r="C124" s="37"/>
      <c r="D124" s="41"/>
      <c r="E124" s="41"/>
      <c r="F124" s="41"/>
      <c r="G124" s="41"/>
      <c r="H124" s="41"/>
      <c r="I124" s="37"/>
      <c r="J124" s="37"/>
      <c r="K124" s="37"/>
      <c r="L124" s="38"/>
      <c r="M124" s="85"/>
    </row>
    <row r="125" spans="1:13" s="48" customFormat="1" ht="15" x14ac:dyDescent="0.25">
      <c r="A125" s="45"/>
      <c r="B125" s="46"/>
      <c r="C125" s="37"/>
      <c r="D125" s="40"/>
      <c r="E125" s="40"/>
      <c r="F125" s="41"/>
      <c r="G125" s="41"/>
      <c r="H125" s="41"/>
      <c r="I125" s="37"/>
      <c r="J125" s="37"/>
      <c r="K125" s="37"/>
      <c r="L125" s="38"/>
      <c r="M125" s="85"/>
    </row>
    <row r="126" spans="1:13" s="48" customFormat="1" ht="15" x14ac:dyDescent="0.25">
      <c r="A126" s="51"/>
      <c r="B126" s="46"/>
      <c r="C126" s="37"/>
      <c r="D126" s="40"/>
      <c r="E126" s="40"/>
      <c r="F126" s="41"/>
      <c r="G126" s="41"/>
      <c r="H126" s="47"/>
      <c r="I126" s="37"/>
      <c r="J126" s="37"/>
      <c r="K126" s="37"/>
      <c r="L126" s="38"/>
      <c r="M126" s="85"/>
    </row>
    <row r="127" spans="1:13" s="48" customFormat="1" ht="15" x14ac:dyDescent="0.25">
      <c r="A127" s="45"/>
      <c r="B127" s="46"/>
      <c r="C127" s="37"/>
      <c r="D127" s="40"/>
      <c r="E127" s="40"/>
      <c r="F127" s="37"/>
      <c r="G127" s="41"/>
      <c r="H127" s="47"/>
      <c r="I127" s="37"/>
      <c r="J127" s="37"/>
      <c r="K127" s="37"/>
      <c r="L127" s="38"/>
      <c r="M127" s="85"/>
    </row>
    <row r="128" spans="1:13" s="48" customFormat="1" ht="15" x14ac:dyDescent="0.25">
      <c r="A128" s="58"/>
      <c r="B128" s="38"/>
      <c r="C128" s="37"/>
      <c r="D128" s="38"/>
      <c r="E128" s="38"/>
      <c r="F128" s="41"/>
      <c r="G128" s="38"/>
      <c r="H128" s="38"/>
      <c r="I128" s="37"/>
      <c r="J128" s="37"/>
      <c r="K128" s="37"/>
      <c r="L128" s="38"/>
      <c r="M128" s="85"/>
    </row>
    <row r="129" spans="1:13" s="48" customFormat="1" ht="15" x14ac:dyDescent="0.25">
      <c r="A129" s="45"/>
      <c r="B129" s="46"/>
      <c r="C129" s="37"/>
      <c r="D129" s="42"/>
      <c r="E129" s="42"/>
      <c r="F129" s="42"/>
      <c r="G129" s="42"/>
      <c r="H129" s="42"/>
      <c r="I129" s="37"/>
      <c r="J129" s="37"/>
      <c r="K129" s="37"/>
      <c r="L129" s="38"/>
      <c r="M129" s="85"/>
    </row>
    <row r="130" spans="1:13" s="48" customFormat="1" ht="15" x14ac:dyDescent="0.25">
      <c r="A130" s="45"/>
      <c r="B130" s="46"/>
      <c r="C130" s="37"/>
      <c r="D130" s="40"/>
      <c r="E130" s="40"/>
      <c r="F130" s="42"/>
      <c r="G130" s="41"/>
      <c r="H130" s="41"/>
      <c r="I130" s="37"/>
      <c r="J130" s="37"/>
      <c r="K130" s="37"/>
      <c r="L130" s="38"/>
      <c r="M130" s="85"/>
    </row>
    <row r="131" spans="1:13" s="48" customFormat="1" ht="15" x14ac:dyDescent="0.25">
      <c r="A131" s="45"/>
      <c r="B131" s="46"/>
      <c r="C131" s="37"/>
      <c r="D131" s="40"/>
      <c r="E131" s="40"/>
      <c r="F131" s="42"/>
      <c r="G131" s="41"/>
      <c r="H131" s="47"/>
      <c r="I131" s="37"/>
      <c r="J131" s="37"/>
      <c r="K131" s="37"/>
      <c r="L131" s="38"/>
      <c r="M131" s="85"/>
    </row>
    <row r="132" spans="1:13" s="48" customFormat="1" ht="15" x14ac:dyDescent="0.25">
      <c r="A132" s="45"/>
      <c r="B132" s="46"/>
      <c r="C132" s="37"/>
      <c r="D132" s="40"/>
      <c r="E132" s="40"/>
      <c r="F132" s="42"/>
      <c r="G132" s="41"/>
      <c r="H132" s="47"/>
      <c r="I132" s="37"/>
      <c r="J132" s="37"/>
      <c r="K132" s="37"/>
      <c r="L132" s="38"/>
      <c r="M132" s="85"/>
    </row>
    <row r="133" spans="1:13" s="48" customFormat="1" ht="15" x14ac:dyDescent="0.25">
      <c r="A133" s="51"/>
      <c r="B133" s="46"/>
      <c r="C133" s="37"/>
      <c r="D133" s="40"/>
      <c r="E133" s="40"/>
      <c r="F133" s="42"/>
      <c r="G133" s="41"/>
      <c r="H133" s="47"/>
      <c r="I133" s="37"/>
      <c r="J133" s="37"/>
      <c r="K133" s="37"/>
      <c r="L133" s="38"/>
      <c r="M133" s="85"/>
    </row>
    <row r="134" spans="1:13" s="48" customFormat="1" ht="15" x14ac:dyDescent="0.25">
      <c r="A134" s="45"/>
      <c r="B134" s="46"/>
      <c r="C134" s="37"/>
      <c r="D134" s="40"/>
      <c r="E134" s="40"/>
      <c r="F134" s="42"/>
      <c r="G134" s="41"/>
      <c r="H134" s="47"/>
      <c r="I134" s="37"/>
      <c r="J134" s="37"/>
      <c r="K134" s="37"/>
      <c r="L134" s="38"/>
      <c r="M134" s="85"/>
    </row>
    <row r="135" spans="1:13" s="48" customFormat="1" ht="15" x14ac:dyDescent="0.25">
      <c r="A135" s="45"/>
      <c r="B135" s="46"/>
      <c r="C135" s="37"/>
      <c r="D135" s="40"/>
      <c r="E135" s="40"/>
      <c r="F135" s="42"/>
      <c r="G135" s="41"/>
      <c r="H135" s="47"/>
      <c r="I135" s="37"/>
      <c r="J135" s="37"/>
      <c r="K135" s="37"/>
      <c r="L135" s="38"/>
      <c r="M135" s="85"/>
    </row>
    <row r="136" spans="1:13" s="48" customFormat="1" ht="15" x14ac:dyDescent="0.25">
      <c r="A136" s="45"/>
      <c r="B136" s="46"/>
      <c r="C136" s="37"/>
      <c r="D136" s="40"/>
      <c r="E136" s="40"/>
      <c r="F136" s="40"/>
      <c r="G136" s="41"/>
      <c r="H136" s="47"/>
      <c r="I136" s="37"/>
      <c r="J136" s="37"/>
      <c r="K136" s="37"/>
      <c r="L136" s="38"/>
      <c r="M136" s="85"/>
    </row>
    <row r="137" spans="1:13" s="48" customFormat="1" ht="15" x14ac:dyDescent="0.25">
      <c r="A137" s="58"/>
      <c r="B137" s="38"/>
      <c r="C137" s="37"/>
      <c r="D137" s="38"/>
      <c r="E137" s="38"/>
      <c r="F137" s="41"/>
      <c r="G137" s="38"/>
      <c r="H137" s="38"/>
      <c r="I137" s="37"/>
      <c r="J137" s="37"/>
      <c r="K137" s="37"/>
      <c r="L137" s="38"/>
      <c r="M137" s="85"/>
    </row>
    <row r="138" spans="1:13" s="48" customFormat="1" ht="15" x14ac:dyDescent="0.25">
      <c r="A138" s="45"/>
      <c r="B138" s="46"/>
      <c r="C138" s="37"/>
      <c r="D138" s="40"/>
      <c r="E138" s="40"/>
      <c r="F138" s="40"/>
      <c r="G138" s="40"/>
      <c r="H138" s="40"/>
      <c r="I138" s="37"/>
      <c r="J138" s="37"/>
      <c r="K138" s="37"/>
      <c r="L138" s="38"/>
      <c r="M138" s="85"/>
    </row>
    <row r="139" spans="1:13" s="48" customFormat="1" ht="15" x14ac:dyDescent="0.25">
      <c r="A139" s="51"/>
      <c r="B139" s="46"/>
      <c r="C139" s="37"/>
      <c r="D139" s="40"/>
      <c r="E139" s="40"/>
      <c r="F139" s="40"/>
      <c r="G139" s="41"/>
      <c r="H139" s="41"/>
      <c r="I139" s="37"/>
      <c r="J139" s="37"/>
      <c r="K139" s="37"/>
      <c r="L139" s="38"/>
      <c r="M139" s="85"/>
    </row>
    <row r="140" spans="1:13" s="48" customFormat="1" ht="15" x14ac:dyDescent="0.25">
      <c r="A140" s="45"/>
      <c r="B140" s="46"/>
      <c r="C140" s="37"/>
      <c r="D140" s="40"/>
      <c r="E140" s="40"/>
      <c r="F140" s="40"/>
      <c r="G140" s="41"/>
      <c r="H140" s="47"/>
      <c r="I140" s="37"/>
      <c r="J140" s="37"/>
      <c r="K140" s="37"/>
      <c r="L140" s="38"/>
      <c r="M140" s="85"/>
    </row>
    <row r="141" spans="1:13" s="48" customFormat="1" ht="15" x14ac:dyDescent="0.25">
      <c r="A141" s="45"/>
      <c r="B141" s="46"/>
      <c r="C141" s="37"/>
      <c r="D141" s="40"/>
      <c r="E141" s="40"/>
      <c r="F141" s="40"/>
      <c r="G141" s="41"/>
      <c r="H141" s="47"/>
      <c r="I141" s="37"/>
      <c r="J141" s="37"/>
      <c r="K141" s="37"/>
      <c r="L141" s="38"/>
      <c r="M141" s="85"/>
    </row>
    <row r="142" spans="1:13" s="48" customFormat="1" ht="15" x14ac:dyDescent="0.25">
      <c r="A142" s="60"/>
      <c r="B142" s="38"/>
      <c r="C142" s="37"/>
      <c r="D142" s="38"/>
      <c r="E142" s="38"/>
      <c r="F142" s="41"/>
      <c r="G142" s="38"/>
      <c r="H142" s="38"/>
      <c r="I142" s="37"/>
      <c r="J142" s="37"/>
      <c r="K142" s="37"/>
      <c r="L142" s="38"/>
      <c r="M142" s="71"/>
    </row>
    <row r="143" spans="1:13" s="48" customFormat="1" x14ac:dyDescent="0.2">
      <c r="A143" s="45"/>
      <c r="B143" s="46"/>
      <c r="C143" s="37"/>
      <c r="D143" s="37"/>
      <c r="E143" s="37"/>
      <c r="F143" s="37"/>
      <c r="G143" s="37"/>
      <c r="H143" s="37"/>
      <c r="I143" s="37"/>
      <c r="J143" s="37"/>
      <c r="K143" s="37"/>
      <c r="L143" s="38"/>
      <c r="M143" s="71"/>
    </row>
    <row r="144" spans="1:13" s="48" customFormat="1" x14ac:dyDescent="0.2">
      <c r="A144" s="45"/>
      <c r="B144" s="46"/>
      <c r="C144" s="37"/>
      <c r="D144" s="40"/>
      <c r="E144" s="40"/>
      <c r="F144" s="37"/>
      <c r="G144" s="37"/>
      <c r="H144" s="37"/>
      <c r="I144" s="37"/>
      <c r="J144" s="37"/>
      <c r="K144" s="37"/>
      <c r="L144" s="38"/>
      <c r="M144" s="71"/>
    </row>
    <row r="145" spans="1:13" s="48" customFormat="1" x14ac:dyDescent="0.2">
      <c r="A145" s="45"/>
      <c r="B145" s="46"/>
      <c r="C145" s="37"/>
      <c r="D145" s="40"/>
      <c r="E145" s="40"/>
      <c r="F145" s="37"/>
      <c r="G145" s="38"/>
      <c r="H145" s="47"/>
      <c r="I145" s="37"/>
      <c r="J145" s="37"/>
      <c r="K145" s="37"/>
      <c r="L145" s="38"/>
      <c r="M145" s="71"/>
    </row>
    <row r="146" spans="1:13" s="48" customFormat="1" ht="15" x14ac:dyDescent="0.25">
      <c r="A146" s="51"/>
      <c r="B146" s="46"/>
      <c r="C146" s="37"/>
      <c r="D146" s="40"/>
      <c r="E146" s="40"/>
      <c r="F146" s="37"/>
      <c r="G146" s="38"/>
      <c r="H146" s="47"/>
      <c r="I146" s="37"/>
      <c r="J146" s="37"/>
      <c r="K146" s="37"/>
      <c r="L146" s="38"/>
      <c r="M146" s="71"/>
    </row>
    <row r="147" spans="1:13" s="48" customFormat="1" x14ac:dyDescent="0.2">
      <c r="A147" s="45"/>
      <c r="B147" s="46"/>
      <c r="C147" s="37"/>
      <c r="D147" s="40"/>
      <c r="E147" s="40"/>
      <c r="F147" s="37"/>
      <c r="G147" s="38"/>
      <c r="H147" s="47"/>
      <c r="I147" s="37"/>
      <c r="J147" s="37"/>
      <c r="K147" s="37"/>
      <c r="L147" s="38"/>
      <c r="M147" s="71"/>
    </row>
    <row r="148" spans="1:13" s="48" customFormat="1" ht="15" x14ac:dyDescent="0.25">
      <c r="A148" s="51"/>
      <c r="B148" s="61"/>
      <c r="C148" s="43"/>
      <c r="D148" s="62"/>
      <c r="E148" s="62"/>
      <c r="F148" s="43"/>
      <c r="G148" s="44"/>
      <c r="H148" s="63"/>
      <c r="I148" s="43"/>
      <c r="J148" s="43"/>
      <c r="K148" s="43"/>
      <c r="L148" s="44"/>
      <c r="M148" s="71"/>
    </row>
    <row r="149" spans="1:13" s="48" customFormat="1" x14ac:dyDescent="0.2">
      <c r="A149" s="45"/>
      <c r="B149" s="46"/>
      <c r="C149" s="37"/>
      <c r="D149" s="40"/>
      <c r="E149" s="40"/>
      <c r="F149" s="37"/>
      <c r="G149" s="38"/>
      <c r="H149" s="47"/>
      <c r="I149" s="37"/>
      <c r="J149" s="37"/>
      <c r="K149" s="37"/>
      <c r="L149" s="38"/>
      <c r="M149" s="71"/>
    </row>
    <row r="150" spans="1:13" s="48" customFormat="1" x14ac:dyDescent="0.2">
      <c r="A150" s="64"/>
      <c r="B150" s="38"/>
      <c r="C150" s="37"/>
      <c r="D150" s="38"/>
      <c r="E150" s="38"/>
      <c r="F150" s="38"/>
      <c r="G150" s="38"/>
      <c r="H150" s="38"/>
      <c r="I150" s="37"/>
      <c r="J150" s="37"/>
      <c r="K150" s="37"/>
      <c r="L150" s="38"/>
      <c r="M150" s="71"/>
    </row>
    <row r="151" spans="1:13" s="48" customFormat="1" x14ac:dyDescent="0.2">
      <c r="A151" s="65"/>
      <c r="B151" s="46"/>
      <c r="C151" s="37"/>
      <c r="D151" s="40"/>
      <c r="E151" s="40"/>
      <c r="F151" s="40"/>
      <c r="G151" s="40"/>
      <c r="H151" s="40"/>
      <c r="I151" s="37"/>
      <c r="J151" s="37"/>
      <c r="K151" s="37"/>
      <c r="L151" s="38"/>
      <c r="M151" s="71"/>
    </row>
    <row r="152" spans="1:13" s="48" customFormat="1" ht="15" x14ac:dyDescent="0.25">
      <c r="A152" s="51"/>
      <c r="B152" s="46"/>
      <c r="C152" s="37"/>
      <c r="D152" s="40"/>
      <c r="E152" s="40"/>
      <c r="F152" s="40"/>
      <c r="G152" s="40"/>
      <c r="H152" s="40"/>
      <c r="I152" s="37"/>
      <c r="J152" s="37"/>
      <c r="K152" s="37"/>
      <c r="L152" s="38"/>
      <c r="M152" s="71"/>
    </row>
    <row r="153" spans="1:13" s="48" customFormat="1" x14ac:dyDescent="0.2">
      <c r="A153" s="45"/>
      <c r="B153" s="46"/>
      <c r="C153" s="37"/>
      <c r="D153" s="40"/>
      <c r="E153" s="40"/>
      <c r="F153" s="40"/>
      <c r="G153" s="38"/>
      <c r="H153" s="47"/>
      <c r="I153" s="37"/>
      <c r="J153" s="37"/>
      <c r="K153" s="37"/>
      <c r="L153" s="38"/>
      <c r="M153" s="71"/>
    </row>
    <row r="154" spans="1:13" s="48" customFormat="1" ht="15" x14ac:dyDescent="0.25">
      <c r="A154" s="45"/>
      <c r="B154" s="61"/>
      <c r="C154" s="43"/>
      <c r="D154" s="62"/>
      <c r="E154" s="62"/>
      <c r="F154" s="40"/>
      <c r="G154" s="38"/>
      <c r="H154" s="63"/>
      <c r="I154" s="37"/>
      <c r="J154" s="37"/>
      <c r="K154" s="37"/>
      <c r="L154" s="38"/>
      <c r="M154" s="71"/>
    </row>
    <row r="155" spans="1:13" s="48" customFormat="1" x14ac:dyDescent="0.2">
      <c r="A155" s="45"/>
      <c r="B155" s="38"/>
      <c r="C155" s="37"/>
      <c r="D155" s="38"/>
      <c r="E155" s="38"/>
      <c r="F155" s="38"/>
      <c r="G155" s="38"/>
      <c r="H155" s="38"/>
      <c r="I155" s="37"/>
      <c r="J155" s="37"/>
      <c r="K155" s="37"/>
      <c r="L155" s="38"/>
      <c r="M155" s="71"/>
    </row>
    <row r="156" spans="1:13" s="48" customFormat="1" x14ac:dyDescent="0.2">
      <c r="A156" s="45"/>
      <c r="B156" s="46"/>
      <c r="C156" s="37"/>
      <c r="D156" s="41"/>
      <c r="E156" s="41"/>
      <c r="F156" s="40"/>
      <c r="G156" s="41"/>
      <c r="H156" s="41"/>
      <c r="I156" s="37"/>
      <c r="J156" s="37"/>
      <c r="K156" s="37"/>
      <c r="L156" s="38"/>
      <c r="M156" s="71"/>
    </row>
    <row r="157" spans="1:13" s="48" customFormat="1" ht="15" x14ac:dyDescent="0.25">
      <c r="A157" s="51"/>
      <c r="B157" s="46"/>
      <c r="C157" s="37"/>
      <c r="D157" s="41"/>
      <c r="E157" s="41"/>
      <c r="F157" s="40"/>
      <c r="G157" s="41"/>
      <c r="H157" s="41"/>
      <c r="I157" s="37"/>
      <c r="J157" s="37"/>
      <c r="K157" s="37"/>
      <c r="L157" s="38"/>
      <c r="M157" s="71"/>
    </row>
    <row r="158" spans="1:13" s="48" customFormat="1" x14ac:dyDescent="0.2">
      <c r="A158" s="45"/>
      <c r="B158" s="46"/>
      <c r="C158" s="37"/>
      <c r="D158" s="40"/>
      <c r="E158" s="40"/>
      <c r="F158" s="40"/>
      <c r="G158" s="41"/>
      <c r="H158" s="47"/>
      <c r="I158" s="37"/>
      <c r="J158" s="37"/>
      <c r="K158" s="37"/>
      <c r="L158" s="38"/>
      <c r="M158" s="71"/>
    </row>
    <row r="159" spans="1:13" s="48" customFormat="1" x14ac:dyDescent="0.2">
      <c r="A159" s="45"/>
      <c r="B159" s="46"/>
      <c r="C159" s="37"/>
      <c r="D159" s="40"/>
      <c r="E159" s="40"/>
      <c r="F159" s="40"/>
      <c r="G159" s="41"/>
      <c r="H159" s="47"/>
      <c r="I159" s="37"/>
      <c r="J159" s="37"/>
      <c r="K159" s="37"/>
      <c r="L159" s="38"/>
      <c r="M159" s="71"/>
    </row>
    <row r="160" spans="1:13" s="48" customFormat="1" x14ac:dyDescent="0.2">
      <c r="A160" s="45"/>
      <c r="B160" s="46"/>
      <c r="C160" s="37"/>
      <c r="D160" s="40"/>
      <c r="E160" s="40"/>
      <c r="F160" s="40"/>
      <c r="G160" s="41"/>
      <c r="H160" s="47"/>
      <c r="I160" s="37"/>
      <c r="J160" s="37"/>
      <c r="K160" s="37"/>
      <c r="L160" s="38"/>
      <c r="M160" s="71"/>
    </row>
    <row r="161" spans="1:23" s="56" customFormat="1" x14ac:dyDescent="0.2">
      <c r="A161" s="65"/>
      <c r="B161" s="38"/>
      <c r="C161" s="37"/>
      <c r="D161" s="38"/>
      <c r="E161" s="38"/>
      <c r="F161" s="38"/>
      <c r="G161" s="38"/>
      <c r="H161" s="38"/>
      <c r="I161" s="37"/>
      <c r="J161" s="37"/>
      <c r="K161" s="37"/>
      <c r="L161" s="38"/>
      <c r="M161" s="71"/>
    </row>
    <row r="162" spans="1:23" s="56" customFormat="1" x14ac:dyDescent="0.2">
      <c r="A162" s="65"/>
      <c r="B162" s="46"/>
      <c r="C162" s="37"/>
      <c r="D162" s="37"/>
      <c r="E162" s="37"/>
      <c r="F162" s="37"/>
      <c r="G162" s="37"/>
      <c r="H162" s="37"/>
      <c r="I162" s="37"/>
      <c r="J162" s="66"/>
      <c r="K162" s="66"/>
      <c r="L162" s="38"/>
      <c r="M162" s="71"/>
      <c r="P162" s="67"/>
      <c r="Q162" s="68"/>
      <c r="R162" s="69"/>
      <c r="S162" s="69"/>
      <c r="T162" s="68"/>
      <c r="U162" s="69"/>
      <c r="V162" s="69"/>
      <c r="W162" s="70"/>
    </row>
    <row r="163" spans="1:23" s="56" customFormat="1" x14ac:dyDescent="0.2">
      <c r="A163" s="45"/>
      <c r="B163" s="46"/>
      <c r="C163" s="37"/>
      <c r="D163" s="40"/>
      <c r="E163" s="40"/>
      <c r="F163" s="37"/>
      <c r="G163" s="37"/>
      <c r="H163" s="37"/>
      <c r="I163" s="37"/>
      <c r="J163" s="66"/>
      <c r="K163" s="66"/>
      <c r="L163" s="38"/>
      <c r="M163" s="71"/>
      <c r="P163" s="67"/>
      <c r="Q163" s="68"/>
      <c r="R163" s="69"/>
      <c r="S163" s="69"/>
      <c r="T163" s="68"/>
      <c r="U163" s="69"/>
      <c r="V163" s="72"/>
      <c r="W163" s="70"/>
    </row>
    <row r="164" spans="1:23" s="56" customFormat="1" x14ac:dyDescent="0.2">
      <c r="A164" s="65"/>
      <c r="B164" s="46"/>
      <c r="C164" s="37"/>
      <c r="D164" s="40"/>
      <c r="E164" s="40"/>
      <c r="F164" s="37"/>
      <c r="G164" s="37"/>
      <c r="H164" s="47"/>
      <c r="I164" s="37"/>
      <c r="J164" s="66"/>
      <c r="K164" s="66"/>
      <c r="L164" s="38"/>
      <c r="M164" s="71"/>
    </row>
    <row r="165" spans="1:23" s="56" customFormat="1" ht="15" x14ac:dyDescent="0.25">
      <c r="A165" s="51"/>
      <c r="B165" s="46"/>
      <c r="C165" s="37"/>
      <c r="D165" s="40"/>
      <c r="E165" s="40"/>
      <c r="F165" s="37"/>
      <c r="G165" s="37"/>
      <c r="H165" s="47"/>
      <c r="I165" s="37"/>
      <c r="J165" s="66"/>
      <c r="K165" s="66"/>
      <c r="L165" s="38"/>
      <c r="M165" s="71"/>
    </row>
    <row r="166" spans="1:23" s="48" customFormat="1" x14ac:dyDescent="0.2">
      <c r="A166" s="65"/>
      <c r="B166" s="46"/>
      <c r="C166" s="37"/>
      <c r="D166" s="40"/>
      <c r="E166" s="40"/>
      <c r="F166" s="37"/>
      <c r="G166" s="37"/>
      <c r="H166" s="47"/>
      <c r="I166" s="37"/>
      <c r="J166" s="66"/>
      <c r="K166" s="66"/>
      <c r="L166" s="38"/>
      <c r="M166" s="71"/>
    </row>
    <row r="167" spans="1:23" s="56" customFormat="1" x14ac:dyDescent="0.2">
      <c r="A167" s="65"/>
      <c r="B167" s="46"/>
      <c r="C167" s="37"/>
      <c r="D167" s="40"/>
      <c r="E167" s="40"/>
      <c r="F167" s="37"/>
      <c r="G167" s="37"/>
      <c r="H167" s="47"/>
      <c r="I167" s="37"/>
      <c r="J167" s="66"/>
      <c r="K167" s="66"/>
      <c r="L167" s="38"/>
      <c r="M167" s="71"/>
    </row>
    <row r="168" spans="1:23" s="48" customFormat="1" ht="15" x14ac:dyDescent="0.25">
      <c r="A168" s="45"/>
      <c r="B168" s="38"/>
      <c r="C168" s="43"/>
      <c r="D168" s="38"/>
      <c r="E168" s="38"/>
      <c r="F168" s="38"/>
      <c r="G168" s="38"/>
      <c r="H168" s="38"/>
      <c r="I168" s="37"/>
      <c r="J168" s="37"/>
      <c r="K168" s="37"/>
      <c r="L168" s="38"/>
      <c r="M168" s="71"/>
    </row>
    <row r="169" spans="1:23" s="48" customFormat="1" ht="15" x14ac:dyDescent="0.25">
      <c r="A169" s="50"/>
      <c r="B169" s="38"/>
      <c r="C169" s="43"/>
      <c r="D169" s="38"/>
      <c r="E169" s="38"/>
      <c r="F169" s="38"/>
      <c r="G169" s="38"/>
      <c r="H169" s="38"/>
      <c r="I169" s="37"/>
      <c r="J169" s="37"/>
      <c r="K169" s="37"/>
      <c r="L169" s="38"/>
      <c r="M169" s="71"/>
    </row>
    <row r="170" spans="1:23" s="48" customFormat="1" ht="15" x14ac:dyDescent="0.25">
      <c r="A170" s="50"/>
      <c r="B170" s="38"/>
      <c r="C170" s="43"/>
      <c r="D170" s="38"/>
      <c r="E170" s="38"/>
      <c r="F170" s="38"/>
      <c r="G170" s="38"/>
      <c r="H170" s="38"/>
      <c r="I170" s="37"/>
      <c r="J170" s="37"/>
      <c r="K170" s="37"/>
      <c r="L170" s="38"/>
      <c r="M170" s="71"/>
    </row>
    <row r="171" spans="1:23" s="56" customFormat="1" x14ac:dyDescent="0.2">
      <c r="A171" s="52"/>
      <c r="B171" s="38"/>
      <c r="C171" s="37"/>
      <c r="D171" s="38"/>
      <c r="E171" s="38"/>
      <c r="F171" s="38"/>
      <c r="G171" s="38"/>
      <c r="H171" s="38"/>
      <c r="I171" s="37"/>
      <c r="J171" s="37"/>
      <c r="K171" s="37"/>
      <c r="L171" s="38"/>
      <c r="M171" s="71"/>
    </row>
    <row r="172" spans="1:23" s="56" customFormat="1" x14ac:dyDescent="0.2">
      <c r="A172" s="73"/>
      <c r="B172" s="46"/>
      <c r="C172" s="37"/>
      <c r="D172" s="40"/>
      <c r="E172" s="40"/>
      <c r="F172" s="41"/>
      <c r="G172" s="37"/>
      <c r="H172" s="37"/>
      <c r="I172" s="38"/>
      <c r="J172" s="37"/>
      <c r="K172" s="37"/>
      <c r="L172" s="38"/>
      <c r="M172" s="71"/>
    </row>
    <row r="173" spans="1:23" s="56" customFormat="1" ht="15" x14ac:dyDescent="0.25">
      <c r="A173" s="51"/>
      <c r="B173" s="46"/>
      <c r="C173" s="37"/>
      <c r="D173" s="76"/>
      <c r="E173" s="76"/>
      <c r="F173" s="41"/>
      <c r="G173" s="77"/>
      <c r="H173" s="77"/>
      <c r="I173" s="37"/>
      <c r="J173" s="37"/>
      <c r="K173" s="37"/>
      <c r="L173" s="38"/>
      <c r="M173" s="71"/>
    </row>
    <row r="174" spans="1:23" s="56" customFormat="1" x14ac:dyDescent="0.2">
      <c r="A174" s="53"/>
      <c r="B174" s="46"/>
      <c r="C174" s="37"/>
      <c r="D174" s="76"/>
      <c r="E174" s="76"/>
      <c r="F174" s="41"/>
      <c r="G174" s="77"/>
      <c r="H174" s="47"/>
      <c r="I174" s="37"/>
      <c r="J174" s="37"/>
      <c r="K174" s="37"/>
      <c r="L174" s="38"/>
      <c r="M174" s="71"/>
    </row>
    <row r="175" spans="1:23" s="80" customFormat="1" x14ac:dyDescent="0.2">
      <c r="A175" s="45"/>
      <c r="B175" s="46"/>
      <c r="C175" s="37"/>
      <c r="D175" s="76"/>
      <c r="E175" s="76"/>
      <c r="F175" s="40"/>
      <c r="G175" s="77"/>
      <c r="H175" s="47"/>
      <c r="I175" s="37"/>
      <c r="J175" s="78"/>
      <c r="K175" s="78"/>
      <c r="L175" s="79"/>
      <c r="M175" s="71"/>
      <c r="N175" s="56"/>
    </row>
    <row r="176" spans="1:23" s="48" customFormat="1" x14ac:dyDescent="0.2">
      <c r="A176" s="52"/>
      <c r="B176" s="38"/>
      <c r="C176" s="37"/>
      <c r="D176" s="38"/>
      <c r="E176" s="38"/>
      <c r="F176" s="38"/>
      <c r="G176" s="38"/>
      <c r="H176" s="38"/>
      <c r="I176" s="37"/>
      <c r="J176" s="37"/>
      <c r="K176" s="37"/>
      <c r="L176" s="38"/>
      <c r="M176" s="147"/>
      <c r="N176" s="80"/>
    </row>
    <row r="177" spans="1:13" s="48" customFormat="1" x14ac:dyDescent="0.2">
      <c r="A177" s="81"/>
      <c r="B177" s="46"/>
      <c r="C177" s="37"/>
      <c r="D177" s="37"/>
      <c r="E177" s="37"/>
      <c r="F177" s="37"/>
      <c r="G177" s="37"/>
      <c r="H177" s="37"/>
      <c r="I177" s="37"/>
      <c r="J177" s="37"/>
      <c r="K177" s="37"/>
      <c r="L177" s="38"/>
      <c r="M177" s="71"/>
    </row>
    <row r="178" spans="1:13" s="48" customFormat="1" x14ac:dyDescent="0.2">
      <c r="A178" s="45"/>
      <c r="B178" s="46"/>
      <c r="C178" s="37"/>
      <c r="D178" s="37"/>
      <c r="E178" s="37"/>
      <c r="F178" s="37"/>
      <c r="G178" s="37"/>
      <c r="H178" s="37"/>
      <c r="I178" s="37"/>
      <c r="J178" s="37"/>
      <c r="K178" s="37"/>
      <c r="L178" s="38"/>
      <c r="M178" s="71"/>
    </row>
    <row r="179" spans="1:13" s="48" customFormat="1" x14ac:dyDescent="0.2">
      <c r="A179" s="45"/>
      <c r="B179" s="46"/>
      <c r="C179" s="37"/>
      <c r="D179" s="37"/>
      <c r="E179" s="37"/>
      <c r="F179" s="37"/>
      <c r="G179" s="37"/>
      <c r="H179" s="47"/>
      <c r="I179" s="37"/>
      <c r="J179" s="37"/>
      <c r="K179" s="37"/>
      <c r="L179" s="38"/>
      <c r="M179" s="71"/>
    </row>
    <row r="180" spans="1:13" s="48" customFormat="1" ht="15" x14ac:dyDescent="0.25">
      <c r="A180" s="51"/>
      <c r="B180" s="46"/>
      <c r="C180" s="37"/>
      <c r="D180" s="76"/>
      <c r="E180" s="76"/>
      <c r="F180" s="37"/>
      <c r="G180" s="47"/>
      <c r="H180" s="38"/>
      <c r="I180" s="37"/>
      <c r="J180" s="37"/>
      <c r="K180" s="37"/>
      <c r="L180" s="38"/>
      <c r="M180" s="71"/>
    </row>
    <row r="181" spans="1:13" s="48" customFormat="1" x14ac:dyDescent="0.2">
      <c r="A181" s="45"/>
      <c r="B181" s="46"/>
      <c r="C181" s="37"/>
      <c r="D181" s="76"/>
      <c r="E181" s="76"/>
      <c r="F181" s="37"/>
      <c r="G181" s="47"/>
      <c r="H181" s="38"/>
      <c r="I181" s="37"/>
      <c r="J181" s="37"/>
      <c r="K181" s="37"/>
      <c r="L181" s="38"/>
      <c r="M181" s="71"/>
    </row>
    <row r="182" spans="1:13" s="56" customFormat="1" x14ac:dyDescent="0.2">
      <c r="A182" s="55"/>
      <c r="B182" s="38"/>
      <c r="C182" s="37"/>
      <c r="D182" s="38"/>
      <c r="E182" s="38"/>
      <c r="F182" s="38"/>
      <c r="G182" s="38"/>
      <c r="H182" s="38"/>
      <c r="I182" s="37"/>
      <c r="J182" s="37"/>
      <c r="K182" s="37"/>
      <c r="L182" s="38"/>
      <c r="M182" s="71"/>
    </row>
    <row r="183" spans="1:13" s="56" customFormat="1" x14ac:dyDescent="0.2">
      <c r="A183" s="81"/>
      <c r="B183" s="46"/>
      <c r="C183" s="37"/>
      <c r="D183" s="37"/>
      <c r="E183" s="37"/>
      <c r="F183" s="37"/>
      <c r="G183" s="37"/>
      <c r="H183" s="37"/>
      <c r="I183" s="37"/>
      <c r="J183" s="37"/>
      <c r="K183" s="37"/>
      <c r="L183" s="38"/>
      <c r="M183" s="71"/>
    </row>
    <row r="184" spans="1:13" s="56" customFormat="1" x14ac:dyDescent="0.2">
      <c r="A184" s="45"/>
      <c r="B184" s="46"/>
      <c r="C184" s="37"/>
      <c r="D184" s="37"/>
      <c r="E184" s="37"/>
      <c r="F184" s="37"/>
      <c r="G184" s="39"/>
      <c r="H184" s="39"/>
      <c r="I184" s="37"/>
      <c r="J184" s="37"/>
      <c r="K184" s="37"/>
      <c r="L184" s="38"/>
      <c r="M184" s="71"/>
    </row>
    <row r="185" spans="1:13" s="56" customFormat="1" x14ac:dyDescent="0.2">
      <c r="A185" s="45"/>
      <c r="B185" s="46"/>
      <c r="C185" s="37"/>
      <c r="D185" s="76"/>
      <c r="E185" s="76"/>
      <c r="F185" s="37"/>
      <c r="G185" s="39"/>
      <c r="H185" s="47"/>
      <c r="I185" s="37"/>
      <c r="J185" s="37"/>
      <c r="K185" s="37"/>
      <c r="L185" s="38"/>
      <c r="M185" s="71"/>
    </row>
    <row r="186" spans="1:13" s="56" customFormat="1" x14ac:dyDescent="0.2">
      <c r="A186" s="45"/>
      <c r="B186" s="46"/>
      <c r="C186" s="37"/>
      <c r="D186" s="76"/>
      <c r="E186" s="76"/>
      <c r="F186" s="37"/>
      <c r="G186" s="39"/>
      <c r="H186" s="47"/>
      <c r="I186" s="37"/>
      <c r="J186" s="37"/>
      <c r="K186" s="37"/>
      <c r="L186" s="38"/>
      <c r="M186" s="71"/>
    </row>
    <row r="187" spans="1:13" s="56" customFormat="1" ht="15" x14ac:dyDescent="0.25">
      <c r="A187" s="51"/>
      <c r="B187" s="46"/>
      <c r="C187" s="37"/>
      <c r="D187" s="76"/>
      <c r="E187" s="76"/>
      <c r="F187" s="37"/>
      <c r="G187" s="39"/>
      <c r="H187" s="47"/>
      <c r="I187" s="71"/>
      <c r="J187" s="37"/>
      <c r="K187" s="37"/>
      <c r="L187" s="79"/>
      <c r="M187" s="71"/>
    </row>
    <row r="188" spans="1:13" s="56" customFormat="1" x14ac:dyDescent="0.2">
      <c r="A188" s="45"/>
      <c r="B188" s="46"/>
      <c r="C188" s="37"/>
      <c r="D188" s="76"/>
      <c r="E188" s="76"/>
      <c r="F188" s="37"/>
      <c r="G188" s="39"/>
      <c r="H188" s="47"/>
      <c r="I188" s="37"/>
      <c r="J188" s="37"/>
      <c r="K188" s="37"/>
      <c r="L188" s="38"/>
      <c r="M188" s="71"/>
    </row>
    <row r="189" spans="1:13" s="56" customFormat="1" x14ac:dyDescent="0.2">
      <c r="A189" s="45"/>
      <c r="B189" s="46"/>
      <c r="C189" s="37"/>
      <c r="D189" s="76"/>
      <c r="E189" s="76"/>
      <c r="F189" s="37"/>
      <c r="G189" s="39"/>
      <c r="H189" s="47"/>
      <c r="I189" s="37"/>
      <c r="J189" s="37"/>
      <c r="K189" s="37"/>
      <c r="L189" s="38"/>
      <c r="M189" s="71"/>
    </row>
    <row r="190" spans="1:13" s="56" customFormat="1" x14ac:dyDescent="0.2">
      <c r="A190" s="45"/>
      <c r="B190" s="46"/>
      <c r="C190" s="37"/>
      <c r="D190" s="76"/>
      <c r="E190" s="76"/>
      <c r="F190" s="37"/>
      <c r="G190" s="39"/>
      <c r="H190" s="47"/>
      <c r="I190" s="37"/>
      <c r="J190" s="37"/>
      <c r="K190" s="37"/>
      <c r="L190" s="38"/>
      <c r="M190" s="71"/>
    </row>
    <row r="191" spans="1:13" s="56" customFormat="1" x14ac:dyDescent="0.2">
      <c r="A191" s="45"/>
      <c r="B191" s="46"/>
      <c r="C191" s="37"/>
      <c r="D191" s="76"/>
      <c r="E191" s="76"/>
      <c r="F191" s="37"/>
      <c r="G191" s="39"/>
      <c r="H191" s="47"/>
      <c r="I191" s="37"/>
      <c r="J191" s="37"/>
      <c r="K191" s="37"/>
      <c r="L191" s="38"/>
      <c r="M191" s="71"/>
    </row>
    <row r="192" spans="1:13" s="56" customFormat="1" ht="15" x14ac:dyDescent="0.25">
      <c r="A192" s="82"/>
      <c r="B192" s="44"/>
      <c r="C192" s="43"/>
      <c r="D192" s="44"/>
      <c r="E192" s="44"/>
      <c r="F192" s="44"/>
      <c r="G192" s="44"/>
      <c r="H192" s="44"/>
      <c r="I192" s="43"/>
      <c r="J192" s="43"/>
      <c r="K192" s="43"/>
      <c r="L192" s="44"/>
      <c r="M192" s="71"/>
    </row>
    <row r="193" spans="1:13" s="56" customFormat="1" ht="15" x14ac:dyDescent="0.25">
      <c r="A193" s="83"/>
      <c r="B193" s="61"/>
      <c r="C193" s="43"/>
      <c r="D193" s="84"/>
      <c r="E193" s="84"/>
      <c r="F193" s="43"/>
      <c r="G193" s="43"/>
      <c r="H193" s="43"/>
      <c r="I193" s="43"/>
      <c r="J193" s="43"/>
      <c r="K193" s="43"/>
      <c r="L193" s="44"/>
      <c r="M193" s="71"/>
    </row>
    <row r="194" spans="1:13" s="56" customFormat="1" ht="15" x14ac:dyDescent="0.25">
      <c r="A194" s="51"/>
      <c r="B194" s="61"/>
      <c r="C194" s="43"/>
      <c r="D194" s="43"/>
      <c r="E194" s="43"/>
      <c r="F194" s="43"/>
      <c r="G194" s="84"/>
      <c r="H194" s="84"/>
      <c r="I194" s="43"/>
      <c r="J194" s="43"/>
      <c r="K194" s="43"/>
      <c r="L194" s="44"/>
      <c r="M194" s="71"/>
    </row>
    <row r="195" spans="1:13" s="56" customFormat="1" ht="15" x14ac:dyDescent="0.25">
      <c r="A195" s="51"/>
      <c r="B195" s="61"/>
      <c r="C195" s="43"/>
      <c r="D195" s="86"/>
      <c r="E195" s="86"/>
      <c r="F195" s="43"/>
      <c r="G195" s="87"/>
      <c r="H195" s="63"/>
      <c r="I195" s="43"/>
      <c r="J195" s="43"/>
      <c r="K195" s="43"/>
      <c r="L195" s="44"/>
      <c r="M195" s="71"/>
    </row>
    <row r="196" spans="1:13" s="56" customFormat="1" ht="15" x14ac:dyDescent="0.25">
      <c r="A196" s="51"/>
      <c r="B196" s="61"/>
      <c r="C196" s="43"/>
      <c r="D196" s="86"/>
      <c r="E196" s="86"/>
      <c r="F196" s="43"/>
      <c r="G196" s="87"/>
      <c r="H196" s="63"/>
      <c r="I196" s="71"/>
      <c r="J196" s="43"/>
      <c r="K196" s="43"/>
      <c r="L196" s="79"/>
      <c r="M196" s="71"/>
    </row>
    <row r="197" spans="1:13" s="56" customFormat="1" ht="15" x14ac:dyDescent="0.25">
      <c r="A197" s="51"/>
      <c r="B197" s="61"/>
      <c r="C197" s="43"/>
      <c r="D197" s="86"/>
      <c r="E197" s="86"/>
      <c r="F197" s="43"/>
      <c r="G197" s="87"/>
      <c r="H197" s="63"/>
      <c r="I197" s="43"/>
      <c r="J197" s="43"/>
      <c r="K197" s="43"/>
      <c r="L197" s="44"/>
      <c r="M197" s="71"/>
    </row>
    <row r="198" spans="1:13" s="56" customFormat="1" ht="15" x14ac:dyDescent="0.25">
      <c r="A198" s="51"/>
      <c r="B198" s="61"/>
      <c r="C198" s="43"/>
      <c r="D198" s="86"/>
      <c r="E198" s="86"/>
      <c r="F198" s="43"/>
      <c r="G198" s="87"/>
      <c r="H198" s="63"/>
      <c r="I198" s="43"/>
      <c r="J198" s="43"/>
      <c r="K198" s="43"/>
      <c r="L198" s="44"/>
      <c r="M198" s="71"/>
    </row>
    <row r="199" spans="1:13" s="56" customFormat="1" ht="15" x14ac:dyDescent="0.25">
      <c r="A199" s="51"/>
      <c r="B199" s="61"/>
      <c r="C199" s="43"/>
      <c r="D199" s="86"/>
      <c r="E199" s="86"/>
      <c r="F199" s="43"/>
      <c r="G199" s="87"/>
      <c r="H199" s="63"/>
      <c r="I199" s="43"/>
      <c r="J199" s="43"/>
      <c r="K199" s="43"/>
      <c r="L199" s="44"/>
      <c r="M199" s="71"/>
    </row>
    <row r="200" spans="1:13" s="56" customFormat="1" ht="15" x14ac:dyDescent="0.25">
      <c r="A200" s="51"/>
      <c r="B200" s="61"/>
      <c r="C200" s="43"/>
      <c r="D200" s="76"/>
      <c r="E200" s="76"/>
      <c r="F200" s="43"/>
      <c r="G200" s="87"/>
      <c r="H200" s="63"/>
      <c r="I200" s="43"/>
      <c r="J200" s="37"/>
      <c r="K200" s="37"/>
      <c r="L200" s="38"/>
      <c r="M200" s="71"/>
    </row>
    <row r="201" spans="1:13" s="48" customFormat="1" ht="15" x14ac:dyDescent="0.25">
      <c r="A201" s="45"/>
      <c r="B201" s="61"/>
      <c r="C201" s="43"/>
      <c r="D201" s="76"/>
      <c r="E201" s="76"/>
      <c r="F201" s="43"/>
      <c r="G201" s="42"/>
      <c r="H201" s="47"/>
      <c r="I201" s="43"/>
      <c r="J201" s="37"/>
      <c r="K201" s="37"/>
      <c r="L201" s="38"/>
      <c r="M201" s="71"/>
    </row>
    <row r="202" spans="1:13" s="48" customFormat="1" x14ac:dyDescent="0.2">
      <c r="A202" s="58"/>
      <c r="B202" s="38"/>
      <c r="C202" s="37"/>
      <c r="D202" s="38"/>
      <c r="E202" s="38"/>
      <c r="F202" s="38"/>
      <c r="G202" s="38"/>
      <c r="H202" s="38"/>
      <c r="I202" s="37"/>
      <c r="J202" s="37"/>
      <c r="K202" s="37"/>
      <c r="L202" s="38"/>
      <c r="M202" s="71"/>
    </row>
    <row r="203" spans="1:13" s="48" customFormat="1" x14ac:dyDescent="0.2">
      <c r="A203" s="88"/>
      <c r="B203" s="46"/>
      <c r="C203" s="37"/>
      <c r="D203" s="39"/>
      <c r="E203" s="39"/>
      <c r="F203" s="37"/>
      <c r="G203" s="37"/>
      <c r="H203" s="37"/>
      <c r="I203" s="37"/>
      <c r="J203" s="37"/>
      <c r="K203" s="37"/>
      <c r="L203" s="38"/>
      <c r="M203" s="71"/>
    </row>
    <row r="204" spans="1:13" s="48" customFormat="1" x14ac:dyDescent="0.2">
      <c r="A204" s="45"/>
      <c r="B204" s="46"/>
      <c r="C204" s="37"/>
      <c r="D204" s="37"/>
      <c r="E204" s="37"/>
      <c r="F204" s="37"/>
      <c r="G204" s="39"/>
      <c r="H204" s="39"/>
      <c r="I204" s="37"/>
      <c r="J204" s="37"/>
      <c r="K204" s="37"/>
      <c r="L204" s="38"/>
      <c r="M204" s="71"/>
    </row>
    <row r="205" spans="1:13" s="48" customFormat="1" x14ac:dyDescent="0.2">
      <c r="A205" s="45"/>
      <c r="B205" s="46"/>
      <c r="C205" s="37"/>
      <c r="D205" s="76"/>
      <c r="E205" s="76"/>
      <c r="F205" s="37"/>
      <c r="G205" s="39"/>
      <c r="H205" s="47"/>
      <c r="I205" s="37"/>
      <c r="J205" s="37"/>
      <c r="K205" s="37"/>
      <c r="L205" s="38"/>
      <c r="M205" s="71"/>
    </row>
    <row r="206" spans="1:13" s="48" customFormat="1" x14ac:dyDescent="0.2">
      <c r="A206" s="45"/>
      <c r="B206" s="46"/>
      <c r="C206" s="37"/>
      <c r="D206" s="76"/>
      <c r="E206" s="76"/>
      <c r="F206" s="37"/>
      <c r="G206" s="39"/>
      <c r="H206" s="47"/>
      <c r="I206" s="37"/>
      <c r="J206" s="37"/>
      <c r="K206" s="37"/>
      <c r="L206" s="38"/>
      <c r="M206" s="71"/>
    </row>
    <row r="207" spans="1:13" s="48" customFormat="1" ht="15" x14ac:dyDescent="0.25">
      <c r="A207" s="51"/>
      <c r="B207" s="46"/>
      <c r="C207" s="37"/>
      <c r="D207" s="76"/>
      <c r="E207" s="76"/>
      <c r="F207" s="37"/>
      <c r="G207" s="39"/>
      <c r="H207" s="47"/>
      <c r="I207" s="37"/>
      <c r="J207" s="37"/>
      <c r="K207" s="37"/>
      <c r="L207" s="38"/>
      <c r="M207" s="71"/>
    </row>
    <row r="208" spans="1:13" s="48" customFormat="1" x14ac:dyDescent="0.2">
      <c r="A208" s="45"/>
      <c r="B208" s="46"/>
      <c r="C208" s="37"/>
      <c r="D208" s="76"/>
      <c r="E208" s="76"/>
      <c r="F208" s="37"/>
      <c r="G208" s="39"/>
      <c r="H208" s="47"/>
      <c r="I208" s="37"/>
      <c r="J208" s="37"/>
      <c r="K208" s="37"/>
      <c r="L208" s="38"/>
      <c r="M208" s="71"/>
    </row>
    <row r="209" spans="1:13" s="48" customFormat="1" x14ac:dyDescent="0.2">
      <c r="A209" s="45"/>
      <c r="B209" s="46"/>
      <c r="C209" s="37"/>
      <c r="D209" s="76"/>
      <c r="E209" s="76"/>
      <c r="F209" s="37"/>
      <c r="G209" s="39"/>
      <c r="H209" s="47"/>
      <c r="I209" s="37"/>
      <c r="J209" s="37"/>
      <c r="K209" s="37"/>
      <c r="L209" s="38"/>
      <c r="M209" s="71"/>
    </row>
    <row r="210" spans="1:13" s="48" customFormat="1" x14ac:dyDescent="0.2">
      <c r="A210" s="45"/>
      <c r="B210" s="46"/>
      <c r="C210" s="37"/>
      <c r="D210" s="76"/>
      <c r="E210" s="76"/>
      <c r="F210" s="37"/>
      <c r="G210" s="42"/>
      <c r="H210" s="47"/>
      <c r="I210" s="37"/>
      <c r="J210" s="37"/>
      <c r="K210" s="37"/>
      <c r="L210" s="38"/>
      <c r="M210" s="71"/>
    </row>
    <row r="211" spans="1:13" s="48" customFormat="1" x14ac:dyDescent="0.2">
      <c r="A211" s="58"/>
      <c r="B211" s="38"/>
      <c r="C211" s="37"/>
      <c r="D211" s="38"/>
      <c r="E211" s="38"/>
      <c r="F211" s="38"/>
      <c r="G211" s="38"/>
      <c r="H211" s="38"/>
      <c r="I211" s="37"/>
      <c r="J211" s="37"/>
      <c r="K211" s="37"/>
      <c r="L211" s="38"/>
      <c r="M211" s="71"/>
    </row>
    <row r="212" spans="1:13" s="48" customFormat="1" x14ac:dyDescent="0.2">
      <c r="A212" s="88"/>
      <c r="B212" s="46"/>
      <c r="C212" s="37"/>
      <c r="D212" s="41"/>
      <c r="E212" s="41"/>
      <c r="F212" s="41"/>
      <c r="G212" s="41"/>
      <c r="H212" s="41"/>
      <c r="I212" s="37"/>
      <c r="J212" s="37"/>
      <c r="K212" s="37"/>
      <c r="L212" s="38"/>
      <c r="M212" s="71"/>
    </row>
    <row r="213" spans="1:13" s="48" customFormat="1" x14ac:dyDescent="0.2">
      <c r="A213" s="45"/>
      <c r="B213" s="46"/>
      <c r="C213" s="37"/>
      <c r="D213" s="37"/>
      <c r="E213" s="37"/>
      <c r="F213" s="41"/>
      <c r="G213" s="39"/>
      <c r="H213" s="39"/>
      <c r="I213" s="37"/>
      <c r="J213" s="37"/>
      <c r="K213" s="37"/>
      <c r="L213" s="38"/>
      <c r="M213" s="71"/>
    </row>
    <row r="214" spans="1:13" s="48" customFormat="1" x14ac:dyDescent="0.2">
      <c r="A214" s="45"/>
      <c r="B214" s="46"/>
      <c r="C214" s="37"/>
      <c r="D214" s="76"/>
      <c r="E214" s="76"/>
      <c r="F214" s="41"/>
      <c r="G214" s="39"/>
      <c r="H214" s="47"/>
      <c r="I214" s="37"/>
      <c r="J214" s="37"/>
      <c r="K214" s="37"/>
      <c r="L214" s="38"/>
      <c r="M214" s="71"/>
    </row>
    <row r="215" spans="1:13" s="48" customFormat="1" ht="15" x14ac:dyDescent="0.25">
      <c r="A215" s="51"/>
      <c r="B215" s="46"/>
      <c r="C215" s="37"/>
      <c r="D215" s="76"/>
      <c r="E215" s="76"/>
      <c r="F215" s="37"/>
      <c r="G215" s="39"/>
      <c r="H215" s="47"/>
      <c r="I215" s="37"/>
      <c r="J215" s="37"/>
      <c r="K215" s="37"/>
      <c r="L215" s="38"/>
      <c r="M215" s="71"/>
    </row>
    <row r="216" spans="1:13" s="48" customFormat="1" x14ac:dyDescent="0.2">
      <c r="A216" s="45"/>
      <c r="B216" s="46"/>
      <c r="C216" s="37"/>
      <c r="D216" s="76"/>
      <c r="E216" s="76"/>
      <c r="F216" s="37"/>
      <c r="G216" s="39"/>
      <c r="H216" s="47"/>
      <c r="I216" s="37"/>
      <c r="J216" s="37"/>
      <c r="K216" s="37"/>
      <c r="L216" s="38"/>
      <c r="M216" s="71"/>
    </row>
    <row r="217" spans="1:13" s="48" customFormat="1" x14ac:dyDescent="0.2">
      <c r="A217" s="45"/>
      <c r="B217" s="46"/>
      <c r="C217" s="37"/>
      <c r="D217" s="76"/>
      <c r="E217" s="76"/>
      <c r="F217" s="41"/>
      <c r="G217" s="42"/>
      <c r="H217" s="47"/>
      <c r="I217" s="37"/>
      <c r="J217" s="37"/>
      <c r="K217" s="37"/>
      <c r="L217" s="38"/>
      <c r="M217" s="71"/>
    </row>
    <row r="218" spans="1:13" s="48" customFormat="1" x14ac:dyDescent="0.2">
      <c r="A218" s="58"/>
      <c r="B218" s="38"/>
      <c r="C218" s="37"/>
      <c r="D218" s="38"/>
      <c r="E218" s="38"/>
      <c r="F218" s="38"/>
      <c r="G218" s="38"/>
      <c r="H218" s="38"/>
      <c r="I218" s="37"/>
      <c r="J218" s="37"/>
      <c r="K218" s="37"/>
      <c r="L218" s="38"/>
      <c r="M218" s="71"/>
    </row>
    <row r="219" spans="1:13" s="48" customFormat="1" x14ac:dyDescent="0.2">
      <c r="A219" s="88"/>
      <c r="B219" s="46"/>
      <c r="C219" s="37"/>
      <c r="D219" s="37"/>
      <c r="E219" s="37"/>
      <c r="F219" s="37"/>
      <c r="G219" s="37"/>
      <c r="H219" s="37"/>
      <c r="I219" s="37"/>
      <c r="J219" s="37"/>
      <c r="K219" s="37"/>
      <c r="L219" s="38"/>
      <c r="M219" s="71"/>
    </row>
    <row r="220" spans="1:13" s="48" customFormat="1" x14ac:dyDescent="0.2">
      <c r="A220" s="45"/>
      <c r="B220" s="46"/>
      <c r="C220" s="37"/>
      <c r="D220" s="37"/>
      <c r="E220" s="37"/>
      <c r="F220" s="37"/>
      <c r="G220" s="39"/>
      <c r="H220" s="39"/>
      <c r="I220" s="37"/>
      <c r="J220" s="37"/>
      <c r="K220" s="37"/>
      <c r="L220" s="38"/>
      <c r="M220" s="71"/>
    </row>
    <row r="221" spans="1:13" s="48" customFormat="1" ht="15" x14ac:dyDescent="0.25">
      <c r="A221" s="51"/>
      <c r="B221" s="46"/>
      <c r="C221" s="37"/>
      <c r="D221" s="76"/>
      <c r="E221" s="76"/>
      <c r="F221" s="37"/>
      <c r="G221" s="39"/>
      <c r="H221" s="47"/>
      <c r="I221" s="37"/>
      <c r="J221" s="37"/>
      <c r="K221" s="37"/>
      <c r="L221" s="38"/>
      <c r="M221" s="71"/>
    </row>
    <row r="222" spans="1:13" s="48" customFormat="1" x14ac:dyDescent="0.2">
      <c r="A222" s="45"/>
      <c r="B222" s="46"/>
      <c r="C222" s="37"/>
      <c r="D222" s="76"/>
      <c r="E222" s="76"/>
      <c r="F222" s="37"/>
      <c r="G222" s="42"/>
      <c r="H222" s="47"/>
      <c r="I222" s="37"/>
      <c r="J222" s="37"/>
      <c r="K222" s="37"/>
      <c r="L222" s="38"/>
      <c r="M222" s="71"/>
    </row>
    <row r="224" spans="1:13" x14ac:dyDescent="0.2">
      <c r="B224" s="14"/>
      <c r="D224" s="12"/>
      <c r="E224" s="12"/>
      <c r="F224" s="26"/>
      <c r="G224" s="12"/>
      <c r="H224" s="12"/>
    </row>
    <row r="225" spans="1:13" x14ac:dyDescent="0.2">
      <c r="B225" s="14"/>
      <c r="D225" s="12"/>
      <c r="E225" s="12"/>
      <c r="F225" s="26"/>
      <c r="G225" s="12"/>
      <c r="H225" s="12"/>
    </row>
    <row r="226" spans="1:13" x14ac:dyDescent="0.2">
      <c r="A226" s="6"/>
      <c r="B226" s="14"/>
      <c r="D226" s="21"/>
      <c r="E226" s="21"/>
      <c r="F226" s="26"/>
      <c r="H226" s="16"/>
    </row>
    <row r="227" spans="1:13" x14ac:dyDescent="0.2">
      <c r="B227" s="14"/>
      <c r="D227" s="21"/>
      <c r="E227" s="21"/>
      <c r="F227" s="26"/>
      <c r="H227" s="16"/>
    </row>
    <row r="228" spans="1:13" x14ac:dyDescent="0.2">
      <c r="B228" s="14"/>
      <c r="D228" s="21"/>
      <c r="E228" s="21"/>
      <c r="F228" s="26"/>
      <c r="H228" s="16"/>
    </row>
    <row r="229" spans="1:13" x14ac:dyDescent="0.2">
      <c r="B229" s="14"/>
      <c r="D229" s="21"/>
      <c r="E229" s="21"/>
      <c r="F229" s="26"/>
      <c r="H229" s="16"/>
    </row>
    <row r="230" spans="1:13" s="1" customFormat="1" x14ac:dyDescent="0.2">
      <c r="A230" s="8"/>
      <c r="B230" s="10"/>
      <c r="C230" s="12"/>
      <c r="D230" s="10"/>
      <c r="E230" s="10"/>
      <c r="F230" s="22"/>
      <c r="G230" s="10"/>
      <c r="H230" s="10"/>
      <c r="I230" s="12"/>
      <c r="J230" s="12"/>
      <c r="K230" s="12"/>
      <c r="L230" s="10"/>
      <c r="M230" s="142"/>
    </row>
    <row r="231" spans="1:13" s="1" customFormat="1" x14ac:dyDescent="0.2">
      <c r="A231" s="4"/>
      <c r="B231" s="14"/>
      <c r="C231" s="12"/>
      <c r="D231" s="12"/>
      <c r="E231" s="12"/>
      <c r="F231" s="26"/>
      <c r="G231" s="12"/>
      <c r="H231" s="12"/>
      <c r="I231" s="12"/>
      <c r="J231" s="12"/>
      <c r="K231" s="12"/>
      <c r="L231" s="10"/>
      <c r="M231" s="142"/>
    </row>
    <row r="232" spans="1:13" s="1" customFormat="1" ht="15" x14ac:dyDescent="0.25">
      <c r="A232" s="5"/>
      <c r="B232" s="14"/>
      <c r="C232" s="12"/>
      <c r="D232" s="12"/>
      <c r="E232" s="12"/>
      <c r="F232" s="26"/>
      <c r="G232" s="12"/>
      <c r="H232" s="12"/>
      <c r="I232" s="12"/>
      <c r="J232" s="12"/>
      <c r="K232" s="12"/>
      <c r="L232" s="10"/>
      <c r="M232" s="142"/>
    </row>
    <row r="233" spans="1:13" s="1" customFormat="1" x14ac:dyDescent="0.2">
      <c r="A233" s="4"/>
      <c r="B233" s="14"/>
      <c r="C233" s="12"/>
      <c r="D233" s="21"/>
      <c r="E233" s="21"/>
      <c r="F233" s="26"/>
      <c r="G233" s="10"/>
      <c r="H233" s="16"/>
      <c r="I233" s="12"/>
      <c r="J233" s="12"/>
      <c r="K233" s="12"/>
      <c r="L233" s="10"/>
      <c r="M233" s="142"/>
    </row>
    <row r="234" spans="1:13" x14ac:dyDescent="0.2">
      <c r="B234" s="14"/>
      <c r="D234" s="12"/>
      <c r="E234" s="12"/>
      <c r="F234" s="26"/>
      <c r="H234" s="16"/>
    </row>
    <row r="236" spans="1:13" x14ac:dyDescent="0.2">
      <c r="B236" s="14"/>
      <c r="D236" s="12"/>
      <c r="E236" s="12"/>
      <c r="F236" s="24"/>
      <c r="G236" s="12"/>
      <c r="H236" s="12"/>
    </row>
    <row r="237" spans="1:13" ht="15" x14ac:dyDescent="0.25">
      <c r="A237" s="5"/>
      <c r="B237" s="14"/>
      <c r="D237" s="12"/>
      <c r="E237" s="12"/>
      <c r="F237" s="24"/>
      <c r="G237" s="12"/>
      <c r="H237" s="12"/>
    </row>
    <row r="238" spans="1:13" x14ac:dyDescent="0.2">
      <c r="A238" s="8"/>
      <c r="B238" s="14"/>
      <c r="D238" s="12"/>
      <c r="E238" s="12"/>
      <c r="F238" s="24"/>
      <c r="G238" s="12"/>
      <c r="H238" s="16"/>
    </row>
    <row r="239" spans="1:13" x14ac:dyDescent="0.2">
      <c r="A239" s="8"/>
      <c r="B239" s="14"/>
      <c r="D239" s="12"/>
      <c r="E239" s="12"/>
      <c r="F239" s="26"/>
      <c r="G239" s="12"/>
      <c r="H239" s="16"/>
    </row>
    <row r="240" spans="1:13" s="1" customFormat="1" x14ac:dyDescent="0.2">
      <c r="A240" s="4"/>
      <c r="B240" s="10"/>
      <c r="C240" s="12"/>
      <c r="D240" s="10"/>
      <c r="E240" s="10"/>
      <c r="F240" s="22"/>
      <c r="G240" s="10"/>
      <c r="H240" s="10"/>
      <c r="I240" s="12"/>
      <c r="J240" s="12"/>
      <c r="K240" s="12"/>
      <c r="L240" s="10"/>
      <c r="M240" s="142"/>
    </row>
    <row r="241" spans="1:13" s="1" customFormat="1" x14ac:dyDescent="0.2">
      <c r="A241" s="4"/>
      <c r="B241" s="14"/>
      <c r="C241" s="12"/>
      <c r="D241" s="12"/>
      <c r="E241" s="12"/>
      <c r="F241" s="26"/>
      <c r="G241" s="12"/>
      <c r="H241" s="12"/>
      <c r="I241" s="12"/>
      <c r="J241" s="12"/>
      <c r="K241" s="12"/>
      <c r="L241" s="10"/>
      <c r="M241" s="142"/>
    </row>
    <row r="242" spans="1:13" s="1" customFormat="1" ht="15" x14ac:dyDescent="0.25">
      <c r="A242" s="5"/>
      <c r="B242" s="14"/>
      <c r="C242" s="12"/>
      <c r="D242" s="12"/>
      <c r="E242" s="12"/>
      <c r="F242" s="26"/>
      <c r="G242" s="12"/>
      <c r="H242" s="12"/>
      <c r="I242" s="12"/>
      <c r="J242" s="12"/>
      <c r="K242" s="12"/>
      <c r="L242" s="10"/>
      <c r="M242" s="142"/>
    </row>
    <row r="243" spans="1:13" s="1" customFormat="1" x14ac:dyDescent="0.2">
      <c r="A243" s="4"/>
      <c r="B243" s="14"/>
      <c r="C243" s="12"/>
      <c r="D243" s="21"/>
      <c r="E243" s="21"/>
      <c r="F243" s="26"/>
      <c r="G243" s="10"/>
      <c r="H243" s="16"/>
      <c r="I243" s="12"/>
      <c r="J243" s="12"/>
      <c r="K243" s="12"/>
      <c r="L243" s="10"/>
      <c r="M243" s="142"/>
    </row>
    <row r="244" spans="1:13" x14ac:dyDescent="0.2">
      <c r="B244" s="14"/>
      <c r="D244" s="12"/>
      <c r="E244" s="12"/>
      <c r="F244" s="26"/>
    </row>
    <row r="245" spans="1:13" x14ac:dyDescent="0.2">
      <c r="F245" s="26"/>
    </row>
  </sheetData>
  <pageMargins left="0.25" right="0.25" top="0.75" bottom="0.75" header="0.3" footer="0.3"/>
  <pageSetup scale="8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5C20-4F6D-48E8-ABA8-8203951791AF}">
  <dimension ref="A1:W260"/>
  <sheetViews>
    <sheetView topLeftCell="A83" zoomScale="115" zoomScaleNormal="115" workbookViewId="0">
      <pane xSplit="1" topLeftCell="B1" activePane="topRight" state="frozen"/>
      <selection pane="topRight" activeCell="J117" sqref="J117"/>
    </sheetView>
  </sheetViews>
  <sheetFormatPr defaultColWidth="8.85546875" defaultRowHeight="14.25" x14ac:dyDescent="0.2"/>
  <cols>
    <col min="1" max="1" width="30.7109375" style="4" customWidth="1"/>
    <col min="2" max="2" width="10.140625" style="10" customWidth="1"/>
    <col min="3" max="3" width="9.42578125" style="13" customWidth="1"/>
    <col min="4" max="5" width="6.7109375" style="10" customWidth="1"/>
    <col min="6" max="6" width="9.7109375" style="22" customWidth="1"/>
    <col min="7" max="7" width="8.42578125" style="10" customWidth="1"/>
    <col min="8" max="8" width="10.42578125" style="10" customWidth="1"/>
    <col min="9" max="9" width="9" style="12" customWidth="1"/>
    <col min="10" max="10" width="8.85546875" style="12" customWidth="1"/>
    <col min="11" max="12" width="7.85546875" style="12" customWidth="1"/>
    <col min="13" max="13" width="3.42578125" customWidth="1"/>
    <col min="14" max="14" width="4.28515625" customWidth="1"/>
    <col min="17" max="17" width="9.140625" bestFit="1" customWidth="1"/>
  </cols>
  <sheetData>
    <row r="1" spans="1:18" ht="15" x14ac:dyDescent="0.25">
      <c r="A1" s="9" t="s">
        <v>23</v>
      </c>
      <c r="C1" s="11" t="s">
        <v>21</v>
      </c>
      <c r="F1" s="10" t="s">
        <v>12</v>
      </c>
      <c r="G1" s="110" t="s">
        <v>29</v>
      </c>
      <c r="H1" s="33" t="s">
        <v>10</v>
      </c>
      <c r="I1" s="34">
        <v>13.673999999999999</v>
      </c>
      <c r="J1" s="12" t="s">
        <v>11</v>
      </c>
      <c r="M1" s="108" t="s">
        <v>36</v>
      </c>
      <c r="N1" s="109"/>
      <c r="O1" s="109"/>
      <c r="R1" s="103"/>
    </row>
    <row r="2" spans="1:18" ht="17.25" x14ac:dyDescent="0.25">
      <c r="A2" s="3" t="s">
        <v>22</v>
      </c>
      <c r="C2" s="11" t="s">
        <v>13</v>
      </c>
      <c r="D2" s="90"/>
      <c r="E2" s="89"/>
      <c r="F2" s="10"/>
      <c r="G2" s="1" t="s">
        <v>80</v>
      </c>
    </row>
    <row r="3" spans="1:18" ht="15" x14ac:dyDescent="0.25">
      <c r="A3" s="3"/>
      <c r="C3" s="11"/>
      <c r="F3" s="10"/>
      <c r="G3" s="179">
        <v>45555</v>
      </c>
      <c r="N3" s="2" t="s">
        <v>87</v>
      </c>
    </row>
    <row r="4" spans="1:18" ht="15" x14ac:dyDescent="0.25">
      <c r="A4" s="127">
        <v>34485</v>
      </c>
      <c r="B4" s="10" t="s">
        <v>0</v>
      </c>
      <c r="C4" s="13" t="s">
        <v>8</v>
      </c>
      <c r="D4" s="10" t="s">
        <v>1</v>
      </c>
      <c r="E4" s="10" t="s">
        <v>2</v>
      </c>
      <c r="F4" s="10" t="s">
        <v>3</v>
      </c>
      <c r="G4" s="10" t="s">
        <v>1</v>
      </c>
      <c r="H4" s="10" t="s">
        <v>2</v>
      </c>
      <c r="I4" s="12" t="s">
        <v>4</v>
      </c>
      <c r="J4" s="12" t="s">
        <v>5</v>
      </c>
      <c r="K4" s="12" t="s">
        <v>2</v>
      </c>
      <c r="L4" s="12" t="s">
        <v>6</v>
      </c>
      <c r="M4" s="12"/>
    </row>
    <row r="5" spans="1:18" x14ac:dyDescent="0.2">
      <c r="A5" s="95"/>
      <c r="B5" s="14">
        <v>45338</v>
      </c>
      <c r="C5" s="15">
        <v>27.59</v>
      </c>
      <c r="D5" s="17">
        <f>AVERAGE(C5:C14)</f>
        <v>94.347142857142856</v>
      </c>
      <c r="E5" s="17">
        <f>STDEV(C5:C14)/SQRT(COUNT(C5:C14))</f>
        <v>33.629810097752326</v>
      </c>
      <c r="F5" s="17">
        <f>C5/(1+ 11.19/$I$1)</f>
        <v>15.173168436293437</v>
      </c>
      <c r="G5" s="17">
        <f>AVERAGE(F5:F14)</f>
        <v>51.997685419282575</v>
      </c>
      <c r="H5" s="17">
        <f>STDEV(F5:F14)/SQRT(COUNT(F5:F14))</f>
        <v>18.195508050158697</v>
      </c>
      <c r="I5" s="12">
        <v>-0.46060000000000001</v>
      </c>
      <c r="J5" s="12">
        <f>AVERAGE(I5:I14)</f>
        <v>-0.79392857142857132</v>
      </c>
      <c r="K5" s="12">
        <f>STDEV(I5:I14)/SQRT(COUNT(I5:I14))</f>
        <v>0.14609371863927065</v>
      </c>
      <c r="L5" s="12">
        <f t="shared" ref="L5:L12" si="0">LOG(F5*0.000000001)</f>
        <v>-7.8189237210776152</v>
      </c>
      <c r="M5">
        <v>-5</v>
      </c>
      <c r="N5" t="s">
        <v>24</v>
      </c>
    </row>
    <row r="6" spans="1:18" x14ac:dyDescent="0.2">
      <c r="A6" s="95"/>
      <c r="B6" s="14">
        <v>45369</v>
      </c>
      <c r="C6" s="15">
        <v>92.6</v>
      </c>
      <c r="D6" s="15"/>
      <c r="E6" s="15"/>
      <c r="F6" s="17">
        <f>C6/(1+ 11.17/$I$1)</f>
        <v>50.966527129286739</v>
      </c>
      <c r="G6" s="15"/>
      <c r="I6" s="12">
        <v>-0.60540000000000005</v>
      </c>
      <c r="L6" s="12">
        <f t="shared" si="0"/>
        <v>-7.2927149583275597</v>
      </c>
      <c r="M6">
        <v>-6</v>
      </c>
      <c r="N6" t="s">
        <v>24</v>
      </c>
    </row>
    <row r="7" spans="1:18" ht="15.75" x14ac:dyDescent="0.25">
      <c r="A7" s="96"/>
      <c r="B7" s="14">
        <v>45369</v>
      </c>
      <c r="C7" s="13">
        <v>7.42</v>
      </c>
      <c r="D7" s="15"/>
      <c r="E7" s="15"/>
      <c r="F7" s="13">
        <f>C7/(1+ 11.17/$I$1)</f>
        <v>4.0839269038802124</v>
      </c>
      <c r="G7" s="15"/>
      <c r="H7" s="98">
        <f>H5/G5</f>
        <v>0.34992919210613865</v>
      </c>
      <c r="I7" s="12">
        <v>-0.49659999999999999</v>
      </c>
      <c r="L7" s="12">
        <f t="shared" si="0"/>
        <v>-8.3889220397304669</v>
      </c>
      <c r="M7">
        <v>-6</v>
      </c>
      <c r="N7" t="s">
        <v>24</v>
      </c>
    </row>
    <row r="8" spans="1:18" ht="15.75" x14ac:dyDescent="0.25">
      <c r="A8" s="96"/>
      <c r="B8" s="14">
        <v>45386</v>
      </c>
      <c r="C8" s="15">
        <v>251.7</v>
      </c>
      <c r="D8" s="15"/>
      <c r="E8" s="15"/>
      <c r="F8" s="15">
        <f>C8/(1+ 11.74/$I$1)</f>
        <v>135.42715825922718</v>
      </c>
      <c r="G8" s="15"/>
      <c r="H8" s="16"/>
      <c r="I8" s="12">
        <v>-0.97919999999999996</v>
      </c>
      <c r="L8" s="12">
        <f t="shared" si="0"/>
        <v>-6.8682942344736082</v>
      </c>
      <c r="M8">
        <v>-6</v>
      </c>
      <c r="N8" t="s">
        <v>24</v>
      </c>
    </row>
    <row r="9" spans="1:18" ht="15.75" x14ac:dyDescent="0.25">
      <c r="A9" s="96"/>
      <c r="B9" s="14">
        <v>45477</v>
      </c>
      <c r="C9" s="105" t="s">
        <v>71</v>
      </c>
      <c r="D9" s="15"/>
      <c r="E9" s="15"/>
      <c r="G9" s="15" t="e">
        <f>C9/(1+ 10.51/$I$1)</f>
        <v>#VALUE!</v>
      </c>
      <c r="H9" s="16"/>
      <c r="J9" s="12">
        <v>-1.407</v>
      </c>
      <c r="M9">
        <v>-5</v>
      </c>
      <c r="N9" s="1" t="s">
        <v>40</v>
      </c>
      <c r="O9" s="102" t="s">
        <v>91</v>
      </c>
    </row>
    <row r="10" spans="1:18" x14ac:dyDescent="0.2">
      <c r="A10" s="95"/>
      <c r="B10" s="14">
        <v>45519</v>
      </c>
      <c r="C10" s="17">
        <v>14.32</v>
      </c>
      <c r="D10" s="15"/>
      <c r="E10" s="15"/>
      <c r="F10" s="17">
        <f>C10/(1+ 8.32/$I$1)</f>
        <v>8.902958988815131</v>
      </c>
      <c r="G10" s="15"/>
      <c r="H10" s="16"/>
      <c r="I10" s="12">
        <v>-0.60829999999999995</v>
      </c>
      <c r="L10" s="12">
        <f t="shared" si="0"/>
        <v>-8.0504656271823549</v>
      </c>
      <c r="M10">
        <v>-6</v>
      </c>
      <c r="N10" s="1" t="s">
        <v>40</v>
      </c>
      <c r="O10" s="151" t="s">
        <v>72</v>
      </c>
    </row>
    <row r="11" spans="1:18" x14ac:dyDescent="0.2">
      <c r="A11" s="95"/>
      <c r="B11" s="14">
        <v>45533</v>
      </c>
      <c r="C11" s="15">
        <v>108.2</v>
      </c>
      <c r="D11" s="15"/>
      <c r="E11" s="15"/>
      <c r="F11" s="15">
        <f>C11/(1+ 10.77/$I$1)</f>
        <v>60.527196858124697</v>
      </c>
      <c r="G11" s="15"/>
      <c r="H11" s="16"/>
      <c r="I11" s="12">
        <v>-1.5620000000000001</v>
      </c>
      <c r="L11" s="12">
        <f t="shared" si="0"/>
        <v>-7.2180494387132192</v>
      </c>
      <c r="M11">
        <v>-5</v>
      </c>
      <c r="N11" s="1" t="s">
        <v>40</v>
      </c>
    </row>
    <row r="12" spans="1:18" ht="15" x14ac:dyDescent="0.25">
      <c r="A12" s="143" t="s">
        <v>70</v>
      </c>
      <c r="B12" s="14">
        <v>45553</v>
      </c>
      <c r="C12" s="15">
        <v>158.6</v>
      </c>
      <c r="D12" s="15"/>
      <c r="E12" s="15"/>
      <c r="F12" s="15">
        <f>C12/(1+ 10.72/$I$1)</f>
        <v>88.902861359350652</v>
      </c>
      <c r="G12" s="15"/>
      <c r="H12" s="16"/>
      <c r="I12" s="12">
        <v>-0.84540000000000004</v>
      </c>
      <c r="L12" s="12">
        <f t="shared" si="0"/>
        <v>-7.0510842609355384</v>
      </c>
      <c r="M12">
        <v>-5</v>
      </c>
      <c r="N12" s="1" t="s">
        <v>40</v>
      </c>
    </row>
    <row r="13" spans="1:18" x14ac:dyDescent="0.2">
      <c r="A13" s="95"/>
      <c r="B13" s="14"/>
      <c r="C13" s="15"/>
      <c r="D13" s="15"/>
      <c r="E13" s="15"/>
      <c r="F13" s="15"/>
      <c r="G13" s="15"/>
      <c r="H13" s="16"/>
      <c r="N13" s="1"/>
    </row>
    <row r="14" spans="1:18" ht="15" x14ac:dyDescent="0.25">
      <c r="A14" s="128">
        <v>34486</v>
      </c>
      <c r="B14" s="14"/>
      <c r="C14" s="17"/>
      <c r="D14" s="15"/>
      <c r="E14" s="15"/>
      <c r="F14" s="17"/>
      <c r="G14" s="15"/>
    </row>
    <row r="15" spans="1:18" x14ac:dyDescent="0.2">
      <c r="A15" s="95"/>
      <c r="B15" s="10" t="s">
        <v>0</v>
      </c>
      <c r="C15" s="13" t="s">
        <v>8</v>
      </c>
      <c r="D15" s="10" t="s">
        <v>1</v>
      </c>
      <c r="E15" s="10" t="s">
        <v>2</v>
      </c>
      <c r="F15" s="10" t="s">
        <v>3</v>
      </c>
      <c r="G15" s="10" t="s">
        <v>1</v>
      </c>
      <c r="H15" s="10" t="s">
        <v>2</v>
      </c>
      <c r="I15" s="12" t="s">
        <v>4</v>
      </c>
      <c r="J15" s="12" t="s">
        <v>5</v>
      </c>
      <c r="K15" s="12" t="s">
        <v>2</v>
      </c>
      <c r="L15" s="12" t="s">
        <v>6</v>
      </c>
    </row>
    <row r="16" spans="1:18" x14ac:dyDescent="0.2">
      <c r="A16" s="95"/>
      <c r="B16" s="14">
        <v>45338</v>
      </c>
      <c r="C16" s="99" t="s">
        <v>33</v>
      </c>
      <c r="D16" s="17">
        <f>AVERAGE(C16:C24)</f>
        <v>104.90349999999998</v>
      </c>
      <c r="E16" s="17">
        <f>STDEV(C16:C24)/SQRT(COUNT(C16:C24))</f>
        <v>37.072535349635849</v>
      </c>
      <c r="F16" s="13"/>
      <c r="G16" s="17">
        <f>AVERAGE(F16:F24)</f>
        <v>57.885959152053083</v>
      </c>
      <c r="H16" s="17">
        <f>STDEV(F16:F24)/SQRT(COUNT(F16:F24))</f>
        <v>20.000330803445319</v>
      </c>
      <c r="J16" s="12">
        <f>AVERAGE(I16:I24)</f>
        <v>-1.2062250000000001</v>
      </c>
      <c r="K16" s="12">
        <f>STDEV(I16:I24)/SQRT(COUNT(I16:I24))</f>
        <v>0.17712054183319806</v>
      </c>
      <c r="L16" s="12" t="e">
        <f t="shared" ref="L16:L24" si="1">LOG(F16*0.000000001)</f>
        <v>#NUM!</v>
      </c>
      <c r="M16">
        <v>-5</v>
      </c>
      <c r="N16" t="s">
        <v>24</v>
      </c>
      <c r="O16" s="156" t="s">
        <v>78</v>
      </c>
      <c r="P16" s="102"/>
      <c r="R16" s="1" t="s">
        <v>7</v>
      </c>
    </row>
    <row r="17" spans="1:18" ht="15.75" x14ac:dyDescent="0.25">
      <c r="A17" s="96"/>
      <c r="B17" s="14">
        <v>45369</v>
      </c>
      <c r="C17" s="17">
        <v>53.7</v>
      </c>
      <c r="D17" s="15"/>
      <c r="E17" s="15"/>
      <c r="F17" s="17">
        <f>C17/(1+ 11.17/$I$1)</f>
        <v>29.556182579294799</v>
      </c>
      <c r="G17" s="17"/>
      <c r="H17" s="17"/>
      <c r="I17" s="12">
        <v>-0.4738</v>
      </c>
      <c r="L17" s="12">
        <f t="shared" si="1"/>
        <v>-7.5293516593099383</v>
      </c>
      <c r="M17">
        <v>-6</v>
      </c>
      <c r="N17" t="s">
        <v>24</v>
      </c>
    </row>
    <row r="18" spans="1:18" ht="15.75" x14ac:dyDescent="0.25">
      <c r="A18" s="96"/>
      <c r="B18" s="14">
        <v>45369</v>
      </c>
      <c r="C18" s="15">
        <v>202.8</v>
      </c>
      <c r="D18" s="15"/>
      <c r="E18" s="15"/>
      <c r="F18" s="17">
        <f>C18/(1+ 11.17/$I$1)</f>
        <v>111.61999677990661</v>
      </c>
      <c r="G18" s="17"/>
      <c r="H18" s="98">
        <f>H16/G16</f>
        <v>0.34551264410958549</v>
      </c>
      <c r="I18" s="12">
        <v>-1.119</v>
      </c>
      <c r="L18" s="12">
        <f t="shared" si="1"/>
        <v>-6.9522579943481952</v>
      </c>
      <c r="M18">
        <v>-7</v>
      </c>
      <c r="N18" t="s">
        <v>24</v>
      </c>
    </row>
    <row r="19" spans="1:18" ht="15.75" x14ac:dyDescent="0.25">
      <c r="A19" s="96"/>
      <c r="B19" s="14">
        <v>45386</v>
      </c>
      <c r="C19" s="15">
        <v>301.39999999999998</v>
      </c>
      <c r="D19" s="15"/>
      <c r="E19" s="15"/>
      <c r="F19" s="17">
        <f>C19/(1+ 11.74/$I$1)</f>
        <v>162.16823797906665</v>
      </c>
      <c r="G19" s="17"/>
      <c r="H19" s="16"/>
      <c r="I19" s="12">
        <v>-1.7150000000000001</v>
      </c>
      <c r="L19" s="12">
        <f t="shared" si="1"/>
        <v>-6.7900342020433584</v>
      </c>
      <c r="M19">
        <v>-6</v>
      </c>
      <c r="N19" t="s">
        <v>24</v>
      </c>
      <c r="O19" s="1"/>
    </row>
    <row r="20" spans="1:18" ht="15.75" x14ac:dyDescent="0.25">
      <c r="A20" s="96"/>
      <c r="B20" s="14">
        <v>45386</v>
      </c>
      <c r="C20" s="17">
        <v>47.29</v>
      </c>
      <c r="D20" s="15"/>
      <c r="E20" s="15"/>
      <c r="F20" s="17">
        <f>C20/(1+ 11.74/$I$1)</f>
        <v>25.444379475879437</v>
      </c>
      <c r="G20" s="17"/>
      <c r="H20" s="16"/>
      <c r="I20" s="12">
        <v>-2.048</v>
      </c>
      <c r="L20" s="12">
        <f t="shared" si="1"/>
        <v>-7.5944081360065452</v>
      </c>
      <c r="M20">
        <v>-7</v>
      </c>
      <c r="N20" t="s">
        <v>24</v>
      </c>
    </row>
    <row r="21" spans="1:18" x14ac:dyDescent="0.2">
      <c r="A21" s="95"/>
      <c r="B21" s="14">
        <v>45477</v>
      </c>
      <c r="C21" s="17">
        <v>25.05</v>
      </c>
      <c r="D21" s="15"/>
      <c r="E21" s="15"/>
      <c r="F21" s="15">
        <f>C21/(1+ 10.51/$I$1)</f>
        <v>14.16364952034403</v>
      </c>
      <c r="H21" s="16"/>
      <c r="I21" s="12">
        <v>-1.0920000000000001</v>
      </c>
      <c r="L21" s="12">
        <f>LOG(F21*0.000000001)</f>
        <v>-7.8488248284024769</v>
      </c>
      <c r="M21">
        <v>-6</v>
      </c>
      <c r="N21" s="1" t="s">
        <v>40</v>
      </c>
    </row>
    <row r="22" spans="1:18" x14ac:dyDescent="0.2">
      <c r="A22" s="95"/>
      <c r="B22" s="14">
        <v>45519</v>
      </c>
      <c r="C22" s="17">
        <v>50.72</v>
      </c>
      <c r="D22" s="15"/>
      <c r="E22" s="15"/>
      <c r="F22" s="15">
        <f>C22/(1+ 8.32/$I$1)</f>
        <v>31.533385468764205</v>
      </c>
      <c r="G22" s="17"/>
      <c r="H22" s="16"/>
      <c r="I22" s="12">
        <v>-0.72799999999999998</v>
      </c>
      <c r="L22" s="12">
        <f t="shared" si="1"/>
        <v>-7.5012294002805158</v>
      </c>
      <c r="M22">
        <v>-6</v>
      </c>
      <c r="N22" s="1" t="s">
        <v>40</v>
      </c>
    </row>
    <row r="23" spans="1:18" x14ac:dyDescent="0.2">
      <c r="A23" s="95"/>
      <c r="B23" s="14">
        <v>45519</v>
      </c>
      <c r="C23" s="13">
        <v>1.0680000000000001</v>
      </c>
      <c r="D23" s="13"/>
      <c r="E23" s="13"/>
      <c r="F23" s="13">
        <f>C23/(1+ 8.32/$I$1)</f>
        <v>0.66399163408202233</v>
      </c>
      <c r="G23" s="13"/>
      <c r="H23" s="13"/>
      <c r="I23" s="12">
        <v>-1.208</v>
      </c>
      <c r="L23" s="12">
        <f t="shared" si="1"/>
        <v>-9.1778373924616545</v>
      </c>
      <c r="M23">
        <v>-7</v>
      </c>
      <c r="N23" s="1" t="s">
        <v>40</v>
      </c>
    </row>
    <row r="24" spans="1:18" x14ac:dyDescent="0.2">
      <c r="A24" s="95"/>
      <c r="B24" s="14">
        <v>45533</v>
      </c>
      <c r="C24" s="15">
        <v>157.19999999999999</v>
      </c>
      <c r="D24" s="13"/>
      <c r="E24" s="13"/>
      <c r="F24" s="15">
        <f>C24/(1+ 10.77/$I$1)</f>
        <v>87.937849779086889</v>
      </c>
      <c r="G24" s="13"/>
      <c r="H24" s="13"/>
      <c r="I24" s="12">
        <v>-1.266</v>
      </c>
      <c r="L24" s="12">
        <f t="shared" si="1"/>
        <v>-7.0558241577803802</v>
      </c>
      <c r="M24">
        <v>-6</v>
      </c>
      <c r="N24" s="1" t="s">
        <v>40</v>
      </c>
    </row>
    <row r="25" spans="1:18" x14ac:dyDescent="0.2">
      <c r="A25" s="95"/>
      <c r="B25" s="14"/>
      <c r="D25" s="13"/>
      <c r="E25" s="13"/>
      <c r="F25" s="13"/>
      <c r="G25" s="13"/>
      <c r="H25" s="13"/>
    </row>
    <row r="26" spans="1:18" ht="15" x14ac:dyDescent="0.25">
      <c r="A26" s="128">
        <v>34487</v>
      </c>
      <c r="B26" s="10" t="s">
        <v>0</v>
      </c>
      <c r="C26" s="13" t="s">
        <v>8</v>
      </c>
      <c r="D26" s="10" t="s">
        <v>1</v>
      </c>
      <c r="E26" s="10" t="s">
        <v>2</v>
      </c>
      <c r="F26" s="10" t="s">
        <v>3</v>
      </c>
      <c r="G26" s="10" t="s">
        <v>1</v>
      </c>
      <c r="H26" s="10" t="s">
        <v>2</v>
      </c>
      <c r="I26" s="12" t="s">
        <v>4</v>
      </c>
      <c r="J26" s="12" t="s">
        <v>5</v>
      </c>
      <c r="K26" s="12" t="s">
        <v>2</v>
      </c>
      <c r="L26" s="12" t="s">
        <v>6</v>
      </c>
      <c r="N26" s="7"/>
    </row>
    <row r="27" spans="1:18" x14ac:dyDescent="0.2">
      <c r="A27" s="95"/>
      <c r="B27" s="14">
        <v>45338</v>
      </c>
      <c r="C27" s="17">
        <v>16.47</v>
      </c>
      <c r="D27" s="17">
        <f>AVERAGE(C27:C34)</f>
        <v>105.02</v>
      </c>
      <c r="E27" s="17">
        <f>STDEV(C27:C34)/SQRT(COUNT(C27:C34))</f>
        <v>27.187174234501509</v>
      </c>
      <c r="F27" s="12">
        <f>C27/(1+ 11.19/$I$1)</f>
        <v>9.0577051158301156</v>
      </c>
      <c r="G27" s="17">
        <f>AVERAGE(F27:F34)</f>
        <v>57.744749130368099</v>
      </c>
      <c r="H27" s="17">
        <f>STDEV(F27:F34)/SQRT(COUNT(F27:F34))</f>
        <v>14.84978039678732</v>
      </c>
      <c r="I27" s="12">
        <v>-0.39610000000000001</v>
      </c>
      <c r="J27" s="12">
        <f>AVERAGE(I27:I34)</f>
        <v>-1.0454999999999999</v>
      </c>
      <c r="K27" s="12">
        <f>STDEV(I27:I34)/SQRT(COUNT(I27:I34))</f>
        <v>0.20502714802818542</v>
      </c>
      <c r="L27" s="12">
        <f t="shared" ref="L27:L33" si="2">LOG(F27*0.000000001)</f>
        <v>-8.0429818223870466</v>
      </c>
      <c r="M27">
        <v>-5</v>
      </c>
      <c r="N27" t="s">
        <v>24</v>
      </c>
    </row>
    <row r="28" spans="1:18" x14ac:dyDescent="0.2">
      <c r="A28" s="95"/>
      <c r="B28" s="14">
        <v>45369</v>
      </c>
      <c r="C28" s="15">
        <v>111.7</v>
      </c>
      <c r="D28" s="15"/>
      <c r="E28" s="15"/>
      <c r="F28" s="17">
        <f>C28/(1+ 11.17/$I$1)</f>
        <v>61.479061342778934</v>
      </c>
      <c r="G28" s="12"/>
      <c r="H28" s="12"/>
      <c r="I28" s="12">
        <v>-0.64590000000000003</v>
      </c>
      <c r="L28" s="12">
        <f t="shared" si="2"/>
        <v>-7.2112727718938849</v>
      </c>
      <c r="M28">
        <v>-6</v>
      </c>
      <c r="N28" t="s">
        <v>24</v>
      </c>
    </row>
    <row r="29" spans="1:18" ht="15.75" x14ac:dyDescent="0.25">
      <c r="A29" s="96"/>
      <c r="B29" s="14">
        <v>45369</v>
      </c>
      <c r="C29" s="17">
        <v>85</v>
      </c>
      <c r="D29" s="15"/>
      <c r="E29" s="15"/>
      <c r="F29" s="17">
        <f>C29/(1+ 11.17/$I$1)</f>
        <v>46.783529222347447</v>
      </c>
      <c r="G29" s="12"/>
      <c r="H29" s="98">
        <f>H27/G27</f>
        <v>0.25716243676566231</v>
      </c>
      <c r="I29" s="12">
        <v>-1.349</v>
      </c>
      <c r="L29" s="12">
        <f t="shared" si="2"/>
        <v>-7.3299070192952014</v>
      </c>
      <c r="M29">
        <v>-7</v>
      </c>
      <c r="N29" t="s">
        <v>24</v>
      </c>
    </row>
    <row r="30" spans="1:18" ht="15.75" x14ac:dyDescent="0.25">
      <c r="A30" s="96"/>
      <c r="B30" s="14">
        <v>45386</v>
      </c>
      <c r="C30" s="15">
        <v>212.3</v>
      </c>
      <c r="D30" s="15"/>
      <c r="E30" s="15"/>
      <c r="F30" s="17">
        <f>C30/(1+ 11.74/$I$1)</f>
        <v>114.227992445109</v>
      </c>
      <c r="G30" s="12"/>
      <c r="H30" s="16"/>
      <c r="I30" s="12">
        <v>-0.80149999999999999</v>
      </c>
      <c r="L30" s="12">
        <f t="shared" si="2"/>
        <v>-6.9422274558559725</v>
      </c>
      <c r="M30">
        <v>-6</v>
      </c>
      <c r="N30" t="s">
        <v>24</v>
      </c>
      <c r="O30" s="1"/>
    </row>
    <row r="31" spans="1:18" s="1" customFormat="1" ht="15.75" x14ac:dyDescent="0.25">
      <c r="A31" s="96" t="s">
        <v>37</v>
      </c>
      <c r="B31" s="14">
        <v>45386</v>
      </c>
      <c r="C31" s="17">
        <v>47.29</v>
      </c>
      <c r="D31" s="15"/>
      <c r="E31" s="15"/>
      <c r="F31" s="17">
        <f>C31/(1+ 11.74/$I$1)</f>
        <v>25.444379475879437</v>
      </c>
      <c r="G31" s="12"/>
      <c r="H31" s="16"/>
      <c r="I31" s="12">
        <v>-2.048</v>
      </c>
      <c r="J31" s="12"/>
      <c r="K31" s="12"/>
      <c r="L31" s="12">
        <f t="shared" si="2"/>
        <v>-7.5944081360065452</v>
      </c>
      <c r="M31">
        <v>-7</v>
      </c>
      <c r="N31" t="s">
        <v>24</v>
      </c>
      <c r="O31"/>
      <c r="P31"/>
      <c r="Q31"/>
      <c r="R31"/>
    </row>
    <row r="32" spans="1:18" s="1" customFormat="1" ht="15.75" x14ac:dyDescent="0.25">
      <c r="A32" s="96"/>
      <c r="B32" s="14">
        <v>45477</v>
      </c>
      <c r="C32" s="17">
        <v>73.98</v>
      </c>
      <c r="D32" s="15"/>
      <c r="E32" s="15"/>
      <c r="F32" s="17">
        <f>C32/(1+ 10.51/$I$1)</f>
        <v>41.829412834932192</v>
      </c>
      <c r="H32" s="16"/>
      <c r="I32" s="12">
        <v>-0.92200000000000004</v>
      </c>
      <c r="J32" s="12"/>
      <c r="K32" s="12"/>
      <c r="L32" s="12">
        <f t="shared" si="2"/>
        <v>-7.3785182316263658</v>
      </c>
      <c r="M32">
        <v>-6</v>
      </c>
      <c r="N32" s="1" t="s">
        <v>40</v>
      </c>
      <c r="O32" s="102"/>
      <c r="P32"/>
      <c r="Q32"/>
      <c r="R32"/>
    </row>
    <row r="33" spans="1:18" s="1" customFormat="1" ht="15.75" x14ac:dyDescent="0.25">
      <c r="A33" s="96"/>
      <c r="B33" s="14">
        <v>45533</v>
      </c>
      <c r="C33" s="17">
        <v>188.4</v>
      </c>
      <c r="D33" s="15"/>
      <c r="E33" s="15"/>
      <c r="F33" s="15">
        <f>C33/(1+ 10.77/$I$1)</f>
        <v>105.39116347569957</v>
      </c>
      <c r="G33" s="15"/>
      <c r="H33" s="16"/>
      <c r="I33" s="12">
        <v>-1.1559999999999999</v>
      </c>
      <c r="J33" s="12"/>
      <c r="K33" s="12"/>
      <c r="L33" s="12">
        <f t="shared" si="2"/>
        <v>-6.9771958010269115</v>
      </c>
      <c r="M33">
        <v>-6</v>
      </c>
      <c r="N33" s="1" t="s">
        <v>40</v>
      </c>
      <c r="O33"/>
      <c r="P33"/>
      <c r="Q33"/>
      <c r="R33"/>
    </row>
    <row r="34" spans="1:18" s="1" customFormat="1" x14ac:dyDescent="0.2">
      <c r="A34" s="95"/>
      <c r="B34" s="14"/>
      <c r="C34" s="12"/>
      <c r="D34" s="12"/>
      <c r="E34" s="12"/>
      <c r="F34" s="12"/>
      <c r="G34" s="12"/>
      <c r="H34" s="18"/>
      <c r="I34" s="12"/>
      <c r="J34" s="12"/>
      <c r="K34" s="12"/>
      <c r="L34" s="12"/>
      <c r="M34"/>
      <c r="N34"/>
      <c r="O34"/>
      <c r="P34"/>
      <c r="Q34"/>
      <c r="R34"/>
    </row>
    <row r="35" spans="1:18" s="1" customFormat="1" ht="15" x14ac:dyDescent="0.25">
      <c r="A35" s="128">
        <v>34488</v>
      </c>
      <c r="B35" s="10" t="s">
        <v>0</v>
      </c>
      <c r="C35" s="13" t="s">
        <v>8</v>
      </c>
      <c r="D35" s="10" t="s">
        <v>1</v>
      </c>
      <c r="E35" s="10" t="s">
        <v>2</v>
      </c>
      <c r="F35" s="10" t="s">
        <v>3</v>
      </c>
      <c r="G35" s="10" t="s">
        <v>1</v>
      </c>
      <c r="H35" s="10" t="s">
        <v>2</v>
      </c>
      <c r="I35" s="12" t="s">
        <v>4</v>
      </c>
      <c r="J35" s="12" t="s">
        <v>5</v>
      </c>
      <c r="K35" s="12" t="s">
        <v>2</v>
      </c>
      <c r="L35" s="12" t="s">
        <v>6</v>
      </c>
    </row>
    <row r="36" spans="1:18" s="1" customFormat="1" x14ac:dyDescent="0.2">
      <c r="A36" s="95"/>
      <c r="B36" s="14">
        <v>45338</v>
      </c>
      <c r="C36" s="12" t="s">
        <v>34</v>
      </c>
      <c r="D36" s="12">
        <f>AVERAGE(C36:C42)</f>
        <v>3.7747199999999999</v>
      </c>
      <c r="E36" s="12">
        <f>STDEV(C36:C42)/SQRT(COUNT(C36:C42))</f>
        <v>1.0742606598959121</v>
      </c>
      <c r="F36" s="12"/>
      <c r="G36" s="12">
        <f>AVERAGE(F36:F42)</f>
        <v>2.1422892285001511</v>
      </c>
      <c r="H36" s="12">
        <f>STDEV(F36:F42)/SQRT(COUNT(F36:F42))</f>
        <v>0.55393259553418683</v>
      </c>
      <c r="J36" s="12">
        <f>AVERAGE(I36:I42)</f>
        <v>-1.33162</v>
      </c>
      <c r="K36" s="12">
        <f>STDEV(I36:I42)/SQRT(COUNT(I36:I42))</f>
        <v>0.39562647333059003</v>
      </c>
      <c r="L36" s="12" t="e">
        <f t="shared" ref="L36:L41" si="3">LOG(F36*0.000000001)</f>
        <v>#NUM!</v>
      </c>
      <c r="M36">
        <v>-5</v>
      </c>
      <c r="N36" t="s">
        <v>24</v>
      </c>
      <c r="O36" s="156" t="s">
        <v>79</v>
      </c>
      <c r="P36" s="102"/>
    </row>
    <row r="37" spans="1:18" s="1" customFormat="1" x14ac:dyDescent="0.2">
      <c r="A37" s="95"/>
      <c r="B37" s="14">
        <v>45369</v>
      </c>
      <c r="C37" s="12">
        <v>1.8929</v>
      </c>
      <c r="D37" s="15"/>
      <c r="E37" s="15"/>
      <c r="F37" s="17">
        <f>C37/(1+ 11.17/$I$1)</f>
        <v>1.0418416760586056</v>
      </c>
      <c r="G37" s="12"/>
      <c r="H37" s="12"/>
      <c r="I37" s="12">
        <v>-0.45119999999999999</v>
      </c>
      <c r="J37" s="12"/>
      <c r="K37" s="12"/>
      <c r="L37" s="12">
        <f t="shared" si="3"/>
        <v>-8.9821982737796304</v>
      </c>
      <c r="M37" s="1">
        <v>-7</v>
      </c>
      <c r="N37" t="s">
        <v>24</v>
      </c>
    </row>
    <row r="38" spans="1:18" s="1" customFormat="1" ht="15.75" x14ac:dyDescent="0.25">
      <c r="A38" s="96"/>
      <c r="B38" s="14">
        <v>45386</v>
      </c>
      <c r="C38" s="13">
        <v>0.77769999999999995</v>
      </c>
      <c r="D38" s="15"/>
      <c r="E38" s="15"/>
      <c r="F38" s="17">
        <f>C38/(1+ 0.112/$I$1)</f>
        <v>0.77138182213840123</v>
      </c>
      <c r="G38" s="12"/>
      <c r="H38" s="98">
        <f>H36/G36</f>
        <v>0.25857040597734948</v>
      </c>
      <c r="I38" s="12">
        <v>-0.44590000000000002</v>
      </c>
      <c r="J38" s="12"/>
      <c r="K38" s="12"/>
      <c r="L38" s="12">
        <f t="shared" si="3"/>
        <v>-9.1127305996390238</v>
      </c>
      <c r="M38" s="1">
        <v>-7</v>
      </c>
      <c r="N38" t="s">
        <v>24</v>
      </c>
    </row>
    <row r="39" spans="1:18" ht="15.75" x14ac:dyDescent="0.25">
      <c r="A39" s="96"/>
      <c r="B39" s="14">
        <v>45386</v>
      </c>
      <c r="C39" s="13">
        <v>5.319</v>
      </c>
      <c r="D39" s="15"/>
      <c r="E39" s="15"/>
      <c r="F39" s="17">
        <f>C39/(1+ 11.74/$I$1)</f>
        <v>2.8618873849059572</v>
      </c>
      <c r="G39" s="12"/>
      <c r="H39" s="16"/>
      <c r="I39" s="12">
        <v>-1.982</v>
      </c>
      <c r="L39" s="12">
        <f t="shared" si="3"/>
        <v>-8.5433474597013905</v>
      </c>
      <c r="M39" s="1">
        <v>-8</v>
      </c>
      <c r="N39" t="s">
        <v>24</v>
      </c>
      <c r="O39" s="1"/>
      <c r="P39" s="1"/>
      <c r="Q39" s="1"/>
      <c r="R39" s="1"/>
    </row>
    <row r="40" spans="1:18" ht="15.75" x14ac:dyDescent="0.25">
      <c r="A40" s="96" t="s">
        <v>38</v>
      </c>
      <c r="B40" s="14">
        <v>45386</v>
      </c>
      <c r="C40" s="13">
        <v>4.2990000000000004</v>
      </c>
      <c r="D40" s="15"/>
      <c r="E40" s="15"/>
      <c r="F40" s="17">
        <f>C40/(1+ 11.74/$I$1)</f>
        <v>2.3130764932714252</v>
      </c>
      <c r="G40" s="12"/>
      <c r="H40" s="16"/>
      <c r="I40" s="12">
        <v>-2.4020000000000001</v>
      </c>
      <c r="L40" s="12">
        <f t="shared" si="3"/>
        <v>-8.6358100049049646</v>
      </c>
      <c r="M40" s="1">
        <v>-8</v>
      </c>
      <c r="N40" t="s">
        <v>24</v>
      </c>
      <c r="O40" s="1"/>
      <c r="P40" s="1"/>
      <c r="Q40" s="1"/>
      <c r="R40" s="1"/>
    </row>
    <row r="41" spans="1:18" ht="15.75" x14ac:dyDescent="0.25">
      <c r="A41" s="96"/>
      <c r="B41" s="14">
        <v>45477</v>
      </c>
      <c r="C41" s="13">
        <v>6.585</v>
      </c>
      <c r="D41" s="15"/>
      <c r="E41" s="15"/>
      <c r="F41" s="17">
        <f>C41/(1+ 10.51/$I$1)</f>
        <v>3.723258766126365</v>
      </c>
      <c r="G41" s="12"/>
      <c r="H41" s="16"/>
      <c r="I41" s="12">
        <v>-1.377</v>
      </c>
      <c r="L41" s="12">
        <f t="shared" si="3"/>
        <v>-8.4290767793079393</v>
      </c>
      <c r="M41" s="1">
        <v>-7</v>
      </c>
      <c r="N41" s="1" t="s">
        <v>40</v>
      </c>
      <c r="O41" s="1"/>
      <c r="P41" s="1"/>
      <c r="Q41" s="1"/>
      <c r="R41" s="1"/>
    </row>
    <row r="42" spans="1:18" x14ac:dyDescent="0.2">
      <c r="A42" s="95"/>
      <c r="B42" s="14"/>
      <c r="C42" s="12"/>
      <c r="D42" s="12"/>
      <c r="E42" s="12"/>
      <c r="F42" s="12"/>
      <c r="G42" s="12"/>
      <c r="H42" s="18"/>
    </row>
    <row r="43" spans="1:18" ht="15" x14ac:dyDescent="0.25">
      <c r="A43" s="128">
        <v>34489</v>
      </c>
      <c r="B43" s="10" t="s">
        <v>0</v>
      </c>
      <c r="C43" s="13" t="s">
        <v>8</v>
      </c>
      <c r="D43" s="10" t="s">
        <v>1</v>
      </c>
      <c r="E43" s="10" t="s">
        <v>2</v>
      </c>
      <c r="F43" s="10" t="s">
        <v>3</v>
      </c>
      <c r="G43" s="10" t="s">
        <v>1</v>
      </c>
      <c r="H43" s="10" t="s">
        <v>2</v>
      </c>
      <c r="I43" s="12" t="s">
        <v>4</v>
      </c>
      <c r="J43" s="12" t="s">
        <v>5</v>
      </c>
      <c r="K43" s="12" t="s">
        <v>2</v>
      </c>
      <c r="L43" s="12" t="s">
        <v>6</v>
      </c>
    </row>
    <row r="44" spans="1:18" x14ac:dyDescent="0.2">
      <c r="A44" s="95"/>
      <c r="B44" s="14">
        <v>45338</v>
      </c>
      <c r="C44" s="13">
        <v>8.0980000000000008</v>
      </c>
      <c r="D44" s="13">
        <f>AVERAGE(C44:C51)</f>
        <v>5.2346666666666666</v>
      </c>
      <c r="E44" s="13">
        <f>STDEV(C44:C51)/SQRT(COUNT(C44:C51))</f>
        <v>0.72868876148264572</v>
      </c>
      <c r="F44" s="12">
        <f>C44/(1+ 11.19/$I$1)</f>
        <v>4.4535091698841702</v>
      </c>
      <c r="G44" s="13">
        <f>AVERAGE(F44:F51)</f>
        <v>2.8761959553264806</v>
      </c>
      <c r="H44" s="13">
        <f>STDEV(F44:F51)/SQRT(COUNT(F44:F51))</f>
        <v>0.40363220704821823</v>
      </c>
      <c r="I44" s="12">
        <v>-0.3231</v>
      </c>
      <c r="J44" s="12">
        <f>AVERAGE(I44:I51)</f>
        <v>-0.56217000000000006</v>
      </c>
      <c r="K44" s="12">
        <f>STDEV(I44:I51)/SQRT(COUNT(I44:I51))</f>
        <v>9.0178332763474811E-2</v>
      </c>
      <c r="L44" s="12">
        <f t="shared" ref="L44:L50" si="4">LOG(F44*0.000000001)</f>
        <v>-8.3512976491244064</v>
      </c>
      <c r="M44">
        <v>-5</v>
      </c>
      <c r="N44" t="s">
        <v>24</v>
      </c>
    </row>
    <row r="45" spans="1:18" x14ac:dyDescent="0.2">
      <c r="A45" s="95" t="s">
        <v>31</v>
      </c>
      <c r="B45" s="14">
        <v>45369</v>
      </c>
      <c r="C45" s="13">
        <v>5.1189999999999998</v>
      </c>
      <c r="D45" s="15"/>
      <c r="E45" s="15"/>
      <c r="F45" s="17">
        <f>C45/(1+ 11.17/$I$1)</f>
        <v>2.8174692481081949</v>
      </c>
      <c r="G45" s="12"/>
      <c r="H45" s="12"/>
      <c r="I45" s="12">
        <v>-0.45129999999999998</v>
      </c>
      <c r="L45" s="12">
        <f t="shared" si="4"/>
        <v>-8.5501408154592493</v>
      </c>
      <c r="M45">
        <v>-5</v>
      </c>
      <c r="N45" t="s">
        <v>24</v>
      </c>
    </row>
    <row r="46" spans="1:18" ht="15.75" x14ac:dyDescent="0.25">
      <c r="A46" s="96"/>
      <c r="B46" s="14">
        <v>45369</v>
      </c>
      <c r="C46" s="13">
        <v>3.97</v>
      </c>
      <c r="D46" s="15"/>
      <c r="E46" s="15"/>
      <c r="F46" s="17">
        <f>C46/(1+ 11.17/$I$1)</f>
        <v>2.1850660119143455</v>
      </c>
      <c r="G46" s="12"/>
      <c r="H46" s="98">
        <f>H44/G44</f>
        <v>0.14033543378736912</v>
      </c>
      <c r="I46" s="12">
        <v>-0.49199999999999999</v>
      </c>
      <c r="L46" s="12">
        <f t="shared" si="4"/>
        <v>-8.6605354382463791</v>
      </c>
      <c r="M46">
        <v>-6</v>
      </c>
      <c r="N46" t="s">
        <v>24</v>
      </c>
    </row>
    <row r="47" spans="1:18" ht="15.75" x14ac:dyDescent="0.25">
      <c r="A47" s="96"/>
      <c r="B47" s="14">
        <v>45386</v>
      </c>
      <c r="C47" s="99" t="s">
        <v>77</v>
      </c>
      <c r="D47" s="105"/>
      <c r="E47" s="105"/>
      <c r="G47" s="17" t="e">
        <f>C47/(1+ 11.74/$I$1)</f>
        <v>#VALUE!</v>
      </c>
      <c r="H47" s="106"/>
      <c r="J47" s="12">
        <v>-0.3024</v>
      </c>
      <c r="K47" s="101"/>
      <c r="L47" s="101" t="e">
        <f>LOG(G47*0.000000001)</f>
        <v>#VALUE!</v>
      </c>
      <c r="M47" s="102">
        <v>-6</v>
      </c>
      <c r="N47" s="102" t="s">
        <v>24</v>
      </c>
      <c r="O47" s="103" t="s">
        <v>30</v>
      </c>
      <c r="Q47" s="101"/>
    </row>
    <row r="48" spans="1:18" ht="15.75" x14ac:dyDescent="0.25">
      <c r="A48" s="96"/>
      <c r="B48" s="14">
        <v>45386</v>
      </c>
      <c r="C48" s="13">
        <v>5.8949999999999996</v>
      </c>
      <c r="D48" s="15"/>
      <c r="E48" s="15"/>
      <c r="F48" s="17">
        <f>C48/(1+ 11.74/$I$1)</f>
        <v>3.1718041237113401</v>
      </c>
      <c r="G48" s="12"/>
      <c r="H48" s="16"/>
      <c r="I48" s="12">
        <v>-0.75129999999999997</v>
      </c>
      <c r="L48" s="12">
        <f t="shared" si="4"/>
        <v>-8.4986936405908633</v>
      </c>
      <c r="M48">
        <v>-7</v>
      </c>
      <c r="N48" t="s">
        <v>24</v>
      </c>
    </row>
    <row r="49" spans="1:15" ht="15.75" x14ac:dyDescent="0.25">
      <c r="A49" s="96" t="s">
        <v>37</v>
      </c>
      <c r="B49" s="14">
        <v>45386</v>
      </c>
      <c r="C49" s="13">
        <v>2.8620000000000001</v>
      </c>
      <c r="D49" s="15"/>
      <c r="E49" s="15"/>
      <c r="F49" s="17">
        <f>C49/(1+ 11.74/$I$1)</f>
        <v>1.5398987959392461</v>
      </c>
      <c r="G49" s="12"/>
      <c r="H49" s="16"/>
      <c r="I49" s="12">
        <v>-0.44619999999999999</v>
      </c>
      <c r="L49" s="12">
        <f t="shared" si="4"/>
        <v>-8.8125078205982135</v>
      </c>
      <c r="M49">
        <v>-7</v>
      </c>
      <c r="N49" t="s">
        <v>24</v>
      </c>
    </row>
    <row r="50" spans="1:15" ht="15.75" x14ac:dyDescent="0.25">
      <c r="A50" s="96"/>
      <c r="B50" s="14">
        <v>45477</v>
      </c>
      <c r="C50" s="13">
        <v>5.4640000000000004</v>
      </c>
      <c r="D50" s="15"/>
      <c r="E50" s="15"/>
      <c r="F50" s="17">
        <f>C50/(1+ 10.51/$I$1)</f>
        <v>3.0894283824015885</v>
      </c>
      <c r="G50" s="12"/>
      <c r="H50" s="16"/>
      <c r="I50" s="12">
        <v>-0.90912000000000004</v>
      </c>
      <c r="L50" s="12">
        <f t="shared" si="4"/>
        <v>-8.5101218679322645</v>
      </c>
      <c r="M50">
        <v>-7</v>
      </c>
      <c r="N50" s="1" t="s">
        <v>40</v>
      </c>
    </row>
    <row r="51" spans="1:15" ht="15.75" x14ac:dyDescent="0.25">
      <c r="A51" s="96"/>
      <c r="B51" s="14"/>
      <c r="C51" s="17"/>
      <c r="D51" s="15"/>
      <c r="E51" s="15"/>
      <c r="F51" s="17"/>
      <c r="G51" s="12"/>
      <c r="H51" s="16"/>
    </row>
    <row r="52" spans="1:15" ht="15" x14ac:dyDescent="0.25">
      <c r="A52" s="128">
        <v>34490</v>
      </c>
      <c r="B52" s="10" t="s">
        <v>0</v>
      </c>
      <c r="C52" s="13" t="s">
        <v>8</v>
      </c>
      <c r="D52" s="10" t="s">
        <v>1</v>
      </c>
      <c r="E52" s="10" t="s">
        <v>2</v>
      </c>
      <c r="F52" s="10" t="s">
        <v>3</v>
      </c>
      <c r="G52" s="10" t="s">
        <v>1</v>
      </c>
      <c r="H52" s="10" t="s">
        <v>2</v>
      </c>
      <c r="I52" s="12" t="s">
        <v>4</v>
      </c>
      <c r="J52" s="12" t="s">
        <v>5</v>
      </c>
      <c r="K52" s="12" t="s">
        <v>2</v>
      </c>
      <c r="L52" s="12" t="s">
        <v>6</v>
      </c>
    </row>
    <row r="53" spans="1:15" x14ac:dyDescent="0.2">
      <c r="A53" s="95"/>
      <c r="B53" s="14">
        <v>45338</v>
      </c>
      <c r="C53" s="101" t="s">
        <v>35</v>
      </c>
      <c r="D53" s="17">
        <f>AVERAGE(C53:C58)</f>
        <v>70.155000000000001</v>
      </c>
      <c r="E53" s="17">
        <f>STDEV(C53:C58)/SQRT(COUNT(C53:C58))</f>
        <v>19.646730644053726</v>
      </c>
      <c r="F53" s="12"/>
      <c r="G53" s="17">
        <f>AVERAGE(F53:F58)</f>
        <v>38.138521706336022</v>
      </c>
      <c r="H53" s="17">
        <f>STDEV(F53:F58)/SQRT(COUNT(F53:F58))</f>
        <v>10.948478715082956</v>
      </c>
      <c r="J53" s="12">
        <f>AVERAGE(I53:I58)</f>
        <v>-0.652725</v>
      </c>
      <c r="K53" s="12">
        <f>STDEV(I53:I58)/SQRT(COUNT(I53:I58))</f>
        <v>8.0379686229378522E-2</v>
      </c>
      <c r="L53" s="12" t="e">
        <f>LOG(F53*0.000000001)</f>
        <v>#NUM!</v>
      </c>
      <c r="M53">
        <v>-5</v>
      </c>
      <c r="N53" t="s">
        <v>24</v>
      </c>
      <c r="O53" s="156" t="s">
        <v>78</v>
      </c>
    </row>
    <row r="54" spans="1:15" x14ac:dyDescent="0.2">
      <c r="A54" s="95"/>
      <c r="B54" s="14">
        <v>45369</v>
      </c>
      <c r="C54" s="17">
        <v>126.9</v>
      </c>
      <c r="D54" s="15"/>
      <c r="E54" s="15"/>
      <c r="F54" s="17">
        <f>C54/(1+ 11.17/$I$1)</f>
        <v>69.845057156657546</v>
      </c>
      <c r="G54" s="12"/>
      <c r="H54" s="12"/>
      <c r="I54" s="12">
        <v>-0.67669999999999997</v>
      </c>
      <c r="L54" s="12">
        <f>LOG(F54*0.000000001)</f>
        <v>-7.1558643229147894</v>
      </c>
      <c r="M54">
        <v>-6</v>
      </c>
      <c r="N54" t="s">
        <v>24</v>
      </c>
    </row>
    <row r="55" spans="1:15" ht="15.75" x14ac:dyDescent="0.25">
      <c r="A55" s="96"/>
      <c r="B55" s="14">
        <v>45386</v>
      </c>
      <c r="C55" s="17">
        <v>56.88</v>
      </c>
      <c r="D55" s="15"/>
      <c r="E55" s="15"/>
      <c r="F55" s="17">
        <f>C55/(1+ 11.74/$I$1)</f>
        <v>30.60427795703156</v>
      </c>
      <c r="G55" s="12"/>
      <c r="H55" s="98">
        <f>H53/G53</f>
        <v>0.28707139724464115</v>
      </c>
      <c r="I55" s="12">
        <v>-0.65049999999999997</v>
      </c>
      <c r="L55" s="12">
        <f>LOG(F55*0.000000001)</f>
        <v>-7.5142178623002609</v>
      </c>
      <c r="M55">
        <v>-6</v>
      </c>
      <c r="N55" t="s">
        <v>24</v>
      </c>
    </row>
    <row r="56" spans="1:15" ht="15.75" x14ac:dyDescent="0.25">
      <c r="A56" s="96"/>
      <c r="B56" s="14">
        <v>45386</v>
      </c>
      <c r="C56" s="17">
        <v>36.36</v>
      </c>
      <c r="D56" s="15"/>
      <c r="E56" s="15"/>
      <c r="F56" s="17">
        <f>C56/(1+ 11.74/$I$1)</f>
        <v>19.563494137089794</v>
      </c>
      <c r="G56" s="12"/>
      <c r="H56" s="16"/>
      <c r="I56" s="12">
        <v>-0.8377</v>
      </c>
      <c r="L56" s="12">
        <f>LOG(F56*0.000000001)</f>
        <v>-7.7085535754720409</v>
      </c>
      <c r="M56">
        <v>-7</v>
      </c>
      <c r="N56" t="s">
        <v>24</v>
      </c>
    </row>
    <row r="57" spans="1:15" ht="15.75" x14ac:dyDescent="0.25">
      <c r="A57" s="96" t="s">
        <v>38</v>
      </c>
      <c r="B57" s="14">
        <v>45386</v>
      </c>
      <c r="C57" s="17">
        <v>60.48</v>
      </c>
      <c r="D57" s="15"/>
      <c r="E57" s="15"/>
      <c r="F57" s="17">
        <f>C57/(1+ 11.74/$I$1)</f>
        <v>32.541257574565201</v>
      </c>
      <c r="G57" s="12"/>
      <c r="H57" s="16"/>
      <c r="I57" s="12">
        <v>-0.44600000000000001</v>
      </c>
      <c r="L57" s="12">
        <f>LOG(F57*0.000000001)</f>
        <v>-7.4875656675288207</v>
      </c>
      <c r="M57">
        <v>-7</v>
      </c>
      <c r="N57" t="s">
        <v>24</v>
      </c>
    </row>
    <row r="58" spans="1:15" ht="15.75" x14ac:dyDescent="0.25">
      <c r="A58" s="96"/>
      <c r="B58" s="14"/>
      <c r="C58" s="17"/>
      <c r="D58" s="15"/>
      <c r="E58" s="15"/>
      <c r="F58" s="17"/>
      <c r="G58" s="12"/>
      <c r="H58" s="16"/>
    </row>
    <row r="59" spans="1:15" ht="15" x14ac:dyDescent="0.25">
      <c r="A59" s="128">
        <v>34491</v>
      </c>
      <c r="B59" s="10" t="s">
        <v>0</v>
      </c>
      <c r="C59" s="13" t="s">
        <v>8</v>
      </c>
      <c r="D59" s="10" t="s">
        <v>1</v>
      </c>
      <c r="E59" s="10" t="s">
        <v>2</v>
      </c>
      <c r="F59" s="10" t="s">
        <v>3</v>
      </c>
      <c r="G59" s="10" t="s">
        <v>1</v>
      </c>
      <c r="H59" s="10" t="s">
        <v>2</v>
      </c>
      <c r="I59" s="12" t="s">
        <v>4</v>
      </c>
      <c r="J59" s="12" t="s">
        <v>5</v>
      </c>
      <c r="K59" s="12" t="s">
        <v>2</v>
      </c>
      <c r="L59" s="12" t="s">
        <v>6</v>
      </c>
    </row>
    <row r="60" spans="1:15" x14ac:dyDescent="0.2">
      <c r="A60" s="95"/>
      <c r="B60" s="14">
        <v>45338</v>
      </c>
      <c r="C60" s="17">
        <v>78.239999999999995</v>
      </c>
      <c r="D60" s="17">
        <f>AVERAGE(C60:C65)</f>
        <v>83.158000000000001</v>
      </c>
      <c r="E60" s="17">
        <f>STDEV(C60:C65)/SQRT(COUNT(C60:C65))</f>
        <v>27.738549060828678</v>
      </c>
      <c r="F60" s="17">
        <f>C60/(1+ 11.19/$I$1)</f>
        <v>43.028223938223938</v>
      </c>
      <c r="G60" s="13">
        <f>AVERAGE(F60:F65)</f>
        <v>45.505464710694767</v>
      </c>
      <c r="H60" s="13">
        <f>STDEV(F60:F65)/SQRT(COUNT(F60:F65))</f>
        <v>15.297071349248657</v>
      </c>
      <c r="I60" s="12">
        <v>-0.39350000000000002</v>
      </c>
      <c r="J60" s="12">
        <f>AVERAGE(I60:I65)</f>
        <v>-0.47309999999999997</v>
      </c>
      <c r="K60" s="12">
        <f>STDEV(I60:I65)/SQRT(COUNT(I60:I65))</f>
        <v>6.6248192428171176E-2</v>
      </c>
      <c r="L60" s="12">
        <f>LOG(F60*0.000000001)</f>
        <v>-7.3662465797772558</v>
      </c>
      <c r="M60">
        <v>-5</v>
      </c>
      <c r="N60" t="s">
        <v>24</v>
      </c>
    </row>
    <row r="61" spans="1:15" x14ac:dyDescent="0.2">
      <c r="A61" s="95" t="s">
        <v>31</v>
      </c>
      <c r="B61" s="14">
        <v>45369</v>
      </c>
      <c r="C61" s="17">
        <v>48.73</v>
      </c>
      <c r="D61" s="15"/>
      <c r="E61" s="15"/>
      <c r="F61" s="17">
        <f>C61/(1+ 11.17/$I$1)</f>
        <v>26.820722105941069</v>
      </c>
      <c r="G61" s="12"/>
      <c r="H61" s="12"/>
      <c r="I61" s="12">
        <v>-0.40620000000000001</v>
      </c>
      <c r="L61" s="12">
        <f>LOG(F61*0.000000001)</f>
        <v>-7.5715295336281994</v>
      </c>
      <c r="M61">
        <v>-5</v>
      </c>
      <c r="N61" t="s">
        <v>24</v>
      </c>
    </row>
    <row r="62" spans="1:15" ht="15.75" x14ac:dyDescent="0.25">
      <c r="A62" s="96"/>
      <c r="B62" s="14">
        <v>45369</v>
      </c>
      <c r="C62" s="17">
        <v>184.6</v>
      </c>
      <c r="D62" s="15"/>
      <c r="E62" s="15"/>
      <c r="F62" s="17">
        <f>C62/(1+ 11.17/$I$1)</f>
        <v>101.60281758170986</v>
      </c>
      <c r="G62" s="12"/>
      <c r="H62" s="98">
        <f>H60/G60</f>
        <v>0.33615899643045544</v>
      </c>
      <c r="I62" s="12">
        <v>-0.73129999999999995</v>
      </c>
      <c r="L62" s="12">
        <f>LOG(F62*0.000000001)</f>
        <v>-6.9930942483196006</v>
      </c>
      <c r="M62">
        <v>-6</v>
      </c>
      <c r="N62" t="s">
        <v>24</v>
      </c>
    </row>
    <row r="63" spans="1:15" ht="15.75" x14ac:dyDescent="0.25">
      <c r="A63" s="96"/>
      <c r="B63" s="14">
        <v>45386</v>
      </c>
      <c r="C63" s="17">
        <v>20.8</v>
      </c>
      <c r="D63" s="15"/>
      <c r="E63" s="15"/>
      <c r="F63" s="17">
        <f>C63/(1+ 11.74/$I$1)</f>
        <v>11.191437790194382</v>
      </c>
      <c r="G63" s="12"/>
      <c r="H63" s="16"/>
      <c r="I63" s="12">
        <v>-0.37219999999999998</v>
      </c>
      <c r="L63" s="12">
        <f>LOG(F63*0.000000001)</f>
        <v>-7.9511141150592097</v>
      </c>
      <c r="M63">
        <v>-5</v>
      </c>
      <c r="N63" t="s">
        <v>24</v>
      </c>
    </row>
    <row r="64" spans="1:15" ht="15.75" x14ac:dyDescent="0.25">
      <c r="A64" s="96"/>
      <c r="B64" s="14">
        <v>45386</v>
      </c>
      <c r="C64" s="17">
        <v>83.42</v>
      </c>
      <c r="D64" s="15"/>
      <c r="E64" s="15"/>
      <c r="F64" s="17">
        <f>C64/(1+ 11.74/$I$1)</f>
        <v>44.884122137404582</v>
      </c>
      <c r="G64" s="12"/>
      <c r="H64" s="16"/>
      <c r="I64" s="12">
        <v>-0.46229999999999999</v>
      </c>
      <c r="L64" s="12">
        <f>LOG(F64*0.000000001)</f>
        <v>-7.3479072645121581</v>
      </c>
      <c r="M64">
        <v>-6</v>
      </c>
      <c r="N64" t="s">
        <v>24</v>
      </c>
    </row>
    <row r="65" spans="1:15" ht="15.75" x14ac:dyDescent="0.25">
      <c r="A65" s="96"/>
      <c r="B65" s="14"/>
      <c r="C65" s="17"/>
      <c r="D65" s="15"/>
      <c r="E65" s="15"/>
      <c r="F65" s="17"/>
      <c r="G65" s="12"/>
      <c r="H65" s="16"/>
    </row>
    <row r="66" spans="1:15" ht="15" x14ac:dyDescent="0.25">
      <c r="A66" s="128">
        <v>34492</v>
      </c>
      <c r="B66" s="10" t="s">
        <v>0</v>
      </c>
      <c r="C66" s="13" t="s">
        <v>8</v>
      </c>
      <c r="D66" s="10" t="s">
        <v>1</v>
      </c>
      <c r="E66" s="10" t="s">
        <v>2</v>
      </c>
      <c r="F66" s="10" t="s">
        <v>3</v>
      </c>
      <c r="G66" s="10" t="s">
        <v>1</v>
      </c>
      <c r="H66" s="10" t="s">
        <v>2</v>
      </c>
      <c r="I66" s="12" t="s">
        <v>4</v>
      </c>
      <c r="J66" s="12" t="s">
        <v>5</v>
      </c>
      <c r="K66" s="12" t="s">
        <v>2</v>
      </c>
      <c r="L66" s="12" t="s">
        <v>6</v>
      </c>
    </row>
    <row r="67" spans="1:15" x14ac:dyDescent="0.2">
      <c r="A67" s="95"/>
      <c r="B67" s="14">
        <v>45338</v>
      </c>
      <c r="C67" s="17">
        <v>78.11</v>
      </c>
      <c r="D67" s="17">
        <f>AVERAGE(C67:C74)</f>
        <v>111.89666666666665</v>
      </c>
      <c r="E67" s="17">
        <f>STDEV(C67:C74)/SQRT(COUNT(C67:C74))</f>
        <v>26.080290727759252</v>
      </c>
      <c r="F67" s="17">
        <f>C67/(1+ 11.19/$I$1)</f>
        <v>42.956730212355211</v>
      </c>
      <c r="G67" s="13">
        <f>AVERAGE(F67:F74)</f>
        <v>63.474831861764358</v>
      </c>
      <c r="H67" s="13">
        <f>STDEV(F67:F74)/SQRT(COUNT(F67:F74))</f>
        <v>15.307993139064585</v>
      </c>
      <c r="I67" s="12">
        <v>-0.37890000000000001</v>
      </c>
      <c r="J67" s="12">
        <f>AVERAGE(I67:I74)</f>
        <v>-0.73499999999999999</v>
      </c>
      <c r="K67" s="12">
        <f>STDEV(I67:I74)/SQRT(COUNT(I67:I74))</f>
        <v>0.16844344055696162</v>
      </c>
      <c r="L67" s="12">
        <f t="shared" ref="L67:L73" si="5">LOG(F67*0.000000001)</f>
        <v>-7.3669687837511351</v>
      </c>
      <c r="M67">
        <v>-5</v>
      </c>
      <c r="N67" t="s">
        <v>24</v>
      </c>
    </row>
    <row r="68" spans="1:15" x14ac:dyDescent="0.2">
      <c r="A68" s="95"/>
      <c r="B68" s="14">
        <v>45369</v>
      </c>
      <c r="C68" s="17">
        <v>20.170000000000002</v>
      </c>
      <c r="D68" s="15"/>
      <c r="E68" s="15"/>
      <c r="F68" s="17">
        <f>C68/(1+ 11.17/$I$1)</f>
        <v>11.101456287232329</v>
      </c>
      <c r="G68" s="12"/>
      <c r="H68" s="12"/>
      <c r="I68" s="12">
        <v>-0.41820000000000002</v>
      </c>
      <c r="L68" s="12">
        <f t="shared" si="5"/>
        <v>-7.9546200467967285</v>
      </c>
      <c r="M68">
        <v>-5</v>
      </c>
      <c r="N68" t="s">
        <v>24</v>
      </c>
    </row>
    <row r="69" spans="1:15" ht="15.75" x14ac:dyDescent="0.25">
      <c r="A69" s="96"/>
      <c r="B69" s="14">
        <v>45369</v>
      </c>
      <c r="C69" s="17">
        <v>100.7</v>
      </c>
      <c r="D69" s="15"/>
      <c r="E69" s="15"/>
      <c r="F69" s="17">
        <f>C69/(1+ 11.17/$I$1)</f>
        <v>55.424722266945736</v>
      </c>
      <c r="G69" s="12"/>
      <c r="H69" s="98">
        <f>H67/G67</f>
        <v>0.24116634404644616</v>
      </c>
      <c r="I69" s="12">
        <v>-0.56320000000000003</v>
      </c>
      <c r="L69" s="12">
        <f t="shared" si="5"/>
        <v>-7.2562964744558762</v>
      </c>
      <c r="M69">
        <v>-6</v>
      </c>
      <c r="N69" t="s">
        <v>24</v>
      </c>
    </row>
    <row r="70" spans="1:15" ht="15" x14ac:dyDescent="0.2">
      <c r="A70" s="130"/>
      <c r="B70" s="14">
        <v>45386</v>
      </c>
      <c r="C70" s="17">
        <v>191.4</v>
      </c>
      <c r="D70" s="15"/>
      <c r="E70" s="15"/>
      <c r="F70" s="17">
        <f>C70/(1+ 11.74/$I$1)</f>
        <v>102.98274966553868</v>
      </c>
      <c r="G70" s="12"/>
      <c r="H70" s="16"/>
      <c r="I70" s="12">
        <v>-0.54469999999999996</v>
      </c>
      <c r="L70" s="12">
        <f t="shared" si="5"/>
        <v>-6.9872355165811459</v>
      </c>
      <c r="M70">
        <v>-6</v>
      </c>
      <c r="N70" t="s">
        <v>24</v>
      </c>
    </row>
    <row r="71" spans="1:15" ht="15.75" x14ac:dyDescent="0.25">
      <c r="A71" s="96"/>
      <c r="B71" s="14">
        <v>45519</v>
      </c>
      <c r="C71" s="17" t="s">
        <v>73</v>
      </c>
      <c r="D71" s="15"/>
      <c r="E71" s="15"/>
      <c r="G71" s="15" t="e">
        <f>C71/(1+ 8.32/$I$1)</f>
        <v>#VALUE!</v>
      </c>
      <c r="H71" s="16"/>
      <c r="J71" s="26">
        <v>-1.3759999999999999</v>
      </c>
      <c r="L71" s="12" t="e">
        <f>LOG(G71*0.000000001)</f>
        <v>#VALUE!</v>
      </c>
      <c r="M71">
        <v>-6</v>
      </c>
      <c r="N71" s="1" t="s">
        <v>40</v>
      </c>
      <c r="O71" s="1"/>
    </row>
    <row r="72" spans="1:15" ht="17.100000000000001" customHeight="1" x14ac:dyDescent="0.25">
      <c r="A72" s="96"/>
      <c r="B72" s="14">
        <v>45519</v>
      </c>
      <c r="C72" s="17">
        <v>177.7</v>
      </c>
      <c r="D72" s="15"/>
      <c r="E72" s="15"/>
      <c r="F72" s="15">
        <f>C72/(1+ 8.32/$I$1)</f>
        <v>110.47875784304809</v>
      </c>
      <c r="G72" s="12"/>
      <c r="H72" s="16"/>
      <c r="I72" s="12">
        <v>-1.359</v>
      </c>
      <c r="L72" s="12">
        <f t="shared" si="5"/>
        <v>-6.9567212173488908</v>
      </c>
      <c r="M72">
        <v>-5</v>
      </c>
      <c r="N72" s="1" t="s">
        <v>40</v>
      </c>
      <c r="O72" s="1"/>
    </row>
    <row r="73" spans="1:15" ht="17.100000000000001" customHeight="1" x14ac:dyDescent="0.25">
      <c r="A73" s="96"/>
      <c r="B73" s="14">
        <v>45553</v>
      </c>
      <c r="C73" s="17">
        <v>103.3</v>
      </c>
      <c r="D73" s="15"/>
      <c r="E73" s="15"/>
      <c r="F73" s="15">
        <f>C73/(1+ 10.72/$I$1)</f>
        <v>57.904574895466091</v>
      </c>
      <c r="G73" s="12"/>
      <c r="H73" s="16"/>
      <c r="I73" s="12">
        <v>-1.1459999999999999</v>
      </c>
      <c r="L73" s="12">
        <f t="shared" si="5"/>
        <v>-7.2372871223975022</v>
      </c>
      <c r="M73">
        <v>-5</v>
      </c>
      <c r="N73" s="1" t="s">
        <v>40</v>
      </c>
      <c r="O73" s="151" t="s">
        <v>75</v>
      </c>
    </row>
    <row r="74" spans="1:15" ht="15" x14ac:dyDescent="0.25">
      <c r="A74" s="128">
        <v>34493</v>
      </c>
      <c r="B74" s="14"/>
      <c r="C74" s="17"/>
      <c r="D74" s="15"/>
      <c r="E74" s="15"/>
      <c r="F74" s="17"/>
      <c r="G74" s="12"/>
      <c r="H74" s="16"/>
    </row>
    <row r="75" spans="1:15" x14ac:dyDescent="0.2">
      <c r="A75" s="95"/>
      <c r="B75" s="10" t="s">
        <v>0</v>
      </c>
      <c r="C75" s="13" t="s">
        <v>8</v>
      </c>
      <c r="D75" s="10" t="s">
        <v>1</v>
      </c>
      <c r="E75" s="10" t="s">
        <v>2</v>
      </c>
      <c r="F75" s="10" t="s">
        <v>3</v>
      </c>
      <c r="G75" s="10" t="s">
        <v>1</v>
      </c>
      <c r="H75" s="10" t="s">
        <v>2</v>
      </c>
      <c r="I75" s="12" t="s">
        <v>4</v>
      </c>
      <c r="J75" s="12" t="s">
        <v>5</v>
      </c>
      <c r="K75" s="12" t="s">
        <v>2</v>
      </c>
      <c r="L75" s="12" t="s">
        <v>6</v>
      </c>
    </row>
    <row r="76" spans="1:15" x14ac:dyDescent="0.2">
      <c r="A76" s="95"/>
      <c r="B76" s="14">
        <v>45338</v>
      </c>
      <c r="C76" s="17">
        <v>150.19999999999999</v>
      </c>
      <c r="D76" s="17">
        <f>AVERAGE(C76:C83)</f>
        <v>117.37833333333333</v>
      </c>
      <c r="E76" s="17">
        <f>STDEV(C76:C83)/SQRT(COUNT(C76:C83))</f>
        <v>39.188716778911989</v>
      </c>
      <c r="F76" s="17">
        <f>C76/(1+ 11.19/$I$1)</f>
        <v>82.602750965250962</v>
      </c>
      <c r="G76" s="13">
        <f>AVERAGE(F76:F83)</f>
        <v>64.233043801693725</v>
      </c>
      <c r="H76" s="13">
        <f>STDEV(F76:F83)/SQRT(COUNT(F76:F83))</f>
        <v>21.131714073482673</v>
      </c>
      <c r="I76" s="12">
        <v>-0.55920000000000003</v>
      </c>
      <c r="J76" s="12">
        <f>AVERAGE(I76:I83)</f>
        <v>-1.0169166666666667</v>
      </c>
      <c r="K76" s="12">
        <f>STDEV(I76:I83)/SQRT(COUNT(I76:I83))</f>
        <v>0.29558265444899029</v>
      </c>
      <c r="L76" s="12">
        <f t="shared" ref="L76:L82" si="6">LOG(F76*0.000000001)</f>
        <v>-7.0830054888886513</v>
      </c>
      <c r="M76">
        <v>-5</v>
      </c>
      <c r="N76" t="s">
        <v>24</v>
      </c>
    </row>
    <row r="77" spans="1:15" ht="15.75" x14ac:dyDescent="0.25">
      <c r="A77" s="96"/>
      <c r="B77" s="14">
        <v>45369</v>
      </c>
      <c r="C77" s="17">
        <v>49.29</v>
      </c>
      <c r="D77" s="15"/>
      <c r="E77" s="15"/>
      <c r="F77" s="17">
        <f>C77/(1+ 11.17/$I$1)</f>
        <v>27.128943004347125</v>
      </c>
      <c r="G77" s="12"/>
      <c r="H77" s="12"/>
      <c r="I77" s="12">
        <v>-0.42280000000000001</v>
      </c>
      <c r="L77" s="12">
        <f t="shared" si="6"/>
        <v>-7.5665671268547694</v>
      </c>
      <c r="M77">
        <v>-5</v>
      </c>
      <c r="N77" t="s">
        <v>24</v>
      </c>
    </row>
    <row r="78" spans="1:15" ht="15.75" x14ac:dyDescent="0.25">
      <c r="A78" s="96"/>
      <c r="B78" s="14">
        <v>45386</v>
      </c>
      <c r="C78" s="17">
        <v>40</v>
      </c>
      <c r="D78" s="15"/>
      <c r="E78" s="15"/>
      <c r="F78" s="17">
        <f>C78/(1+ 11.74/$I$1)</f>
        <v>21.521995750373808</v>
      </c>
      <c r="G78" s="12"/>
      <c r="H78" s="98">
        <f>H76/G76</f>
        <v>0.3289850958756132</v>
      </c>
      <c r="I78" s="12">
        <v>-0.4698</v>
      </c>
      <c r="L78" s="12">
        <f t="shared" si="6"/>
        <v>-7.6671174586940083</v>
      </c>
      <c r="M78">
        <v>-5</v>
      </c>
      <c r="N78" t="s">
        <v>24</v>
      </c>
    </row>
    <row r="79" spans="1:15" ht="15.75" x14ac:dyDescent="0.25">
      <c r="A79" s="96"/>
      <c r="B79" s="14">
        <v>45386</v>
      </c>
      <c r="C79" s="17">
        <v>282</v>
      </c>
      <c r="D79" s="15"/>
      <c r="E79" s="15"/>
      <c r="F79" s="17">
        <f>C79/(1+ 11.74/$I$1)</f>
        <v>151.73007004013536</v>
      </c>
      <c r="G79" s="12"/>
      <c r="H79" s="16"/>
      <c r="I79" s="12">
        <v>-1.8180000000000001</v>
      </c>
      <c r="L79" s="12">
        <f t="shared" si="6"/>
        <v>-6.8189283417026099</v>
      </c>
      <c r="M79">
        <v>-6</v>
      </c>
      <c r="N79" t="s">
        <v>24</v>
      </c>
    </row>
    <row r="80" spans="1:15" ht="15.75" x14ac:dyDescent="0.25">
      <c r="A80" s="96"/>
      <c r="B80" s="14">
        <v>45519</v>
      </c>
      <c r="C80" s="17" t="s">
        <v>41</v>
      </c>
      <c r="D80" s="15"/>
      <c r="E80" s="15"/>
      <c r="F80" s="15"/>
      <c r="G80" s="12"/>
      <c r="H80" s="16"/>
      <c r="L80" s="12" t="e">
        <f t="shared" si="6"/>
        <v>#NUM!</v>
      </c>
      <c r="M80">
        <v>-5</v>
      </c>
      <c r="N80" s="1" t="s">
        <v>40</v>
      </c>
      <c r="O80" s="154" t="s">
        <v>74</v>
      </c>
    </row>
    <row r="81" spans="1:16" ht="15.75" x14ac:dyDescent="0.25">
      <c r="A81" s="96"/>
      <c r="B81" s="14">
        <v>45533</v>
      </c>
      <c r="C81" s="17">
        <v>36.979999999999997</v>
      </c>
      <c r="D81" s="15"/>
      <c r="E81" s="15"/>
      <c r="F81" s="15">
        <f>C81/(1+ 10.77/$I$1)</f>
        <v>20.686651939126165</v>
      </c>
      <c r="G81" s="12"/>
      <c r="H81" s="16"/>
      <c r="I81" s="12">
        <v>-0.78369999999999995</v>
      </c>
      <c r="L81" s="12">
        <f t="shared" si="6"/>
        <v>-7.6843097926606152</v>
      </c>
      <c r="M81">
        <v>-6</v>
      </c>
      <c r="N81" s="1" t="s">
        <v>40</v>
      </c>
      <c r="O81" s="1" t="s">
        <v>44</v>
      </c>
    </row>
    <row r="82" spans="1:16" ht="15.75" x14ac:dyDescent="0.25">
      <c r="A82" s="96"/>
      <c r="B82" s="14">
        <v>45553</v>
      </c>
      <c r="C82" s="17">
        <v>145.80000000000001</v>
      </c>
      <c r="D82" s="15"/>
      <c r="E82" s="15"/>
      <c r="F82" s="15">
        <f>C82/(1+ 10.72/$I$1)</f>
        <v>81.727851110928924</v>
      </c>
      <c r="G82" s="12"/>
      <c r="H82" s="16"/>
      <c r="I82" s="12">
        <v>-2.048</v>
      </c>
      <c r="L82" s="12">
        <f t="shared" si="6"/>
        <v>-7.0876299199351669</v>
      </c>
      <c r="M82">
        <v>-6</v>
      </c>
      <c r="N82" s="1" t="s">
        <v>40</v>
      </c>
      <c r="O82" s="1" t="s">
        <v>44</v>
      </c>
    </row>
    <row r="83" spans="1:16" ht="15" x14ac:dyDescent="0.25">
      <c r="A83" s="128">
        <v>34494</v>
      </c>
      <c r="B83" s="14"/>
      <c r="C83" s="17"/>
      <c r="D83" s="15"/>
      <c r="E83" s="15"/>
      <c r="F83" s="17"/>
      <c r="G83" s="12"/>
      <c r="H83" s="16"/>
    </row>
    <row r="84" spans="1:16" x14ac:dyDescent="0.2">
      <c r="A84" s="95"/>
      <c r="B84" s="10" t="s">
        <v>0</v>
      </c>
      <c r="C84" s="13" t="s">
        <v>8</v>
      </c>
      <c r="D84" s="10" t="s">
        <v>1</v>
      </c>
      <c r="E84" s="10" t="s">
        <v>2</v>
      </c>
      <c r="F84" s="10" t="s">
        <v>3</v>
      </c>
      <c r="G84" s="10" t="s">
        <v>1</v>
      </c>
      <c r="H84" s="10" t="s">
        <v>2</v>
      </c>
      <c r="I84" s="12" t="s">
        <v>4</v>
      </c>
      <c r="J84" s="12" t="s">
        <v>5</v>
      </c>
      <c r="K84" s="12" t="s">
        <v>2</v>
      </c>
      <c r="L84" s="12" t="s">
        <v>6</v>
      </c>
    </row>
    <row r="85" spans="1:16" x14ac:dyDescent="0.2">
      <c r="A85" s="129" t="s">
        <v>39</v>
      </c>
      <c r="B85" s="14">
        <v>45338</v>
      </c>
      <c r="C85" s="17">
        <v>204</v>
      </c>
      <c r="D85" s="17">
        <f>AVERAGE(C85:C87)</f>
        <v>229.33333333333334</v>
      </c>
      <c r="E85" s="17">
        <f>STDEV(C85:C87)/SQRT(COUNT(C85:C87))</f>
        <v>57.023455213135271</v>
      </c>
      <c r="F85" s="17">
        <f>C85/(1+ 11.19/$I$1)</f>
        <v>112.19015444015444</v>
      </c>
      <c r="G85" s="13">
        <f>AVERAGE(F85:F87)</f>
        <v>124.80163551021963</v>
      </c>
      <c r="H85" s="13">
        <f>STDEV(F85:F87)/SQRT(COUNT(F85:F87))</f>
        <v>30.064455424765075</v>
      </c>
      <c r="I85" s="12">
        <v>-0.98429999999999995</v>
      </c>
      <c r="J85" s="12">
        <f>AVERAGE(I85:I87)</f>
        <v>-0.7833</v>
      </c>
      <c r="K85" s="12">
        <f>STDEV(I85:I87)/SQRT(COUNT(I85:I87))</f>
        <v>0.10056168919291945</v>
      </c>
      <c r="L85" s="12">
        <f>LOG(F85*0.000000001)</f>
        <v>-6.9500452541309024</v>
      </c>
      <c r="M85">
        <v>-5</v>
      </c>
      <c r="N85" t="s">
        <v>24</v>
      </c>
    </row>
    <row r="86" spans="1:16" ht="15.75" x14ac:dyDescent="0.25">
      <c r="A86" s="96"/>
      <c r="B86" s="14">
        <v>45369</v>
      </c>
      <c r="C86" s="17">
        <v>145.69999999999999</v>
      </c>
      <c r="D86" s="15"/>
      <c r="E86" s="15"/>
      <c r="F86" s="17">
        <f>C86/(1+ 11.17/$I$1)</f>
        <v>80.19247303171791</v>
      </c>
      <c r="G86" s="12"/>
      <c r="H86" s="12"/>
      <c r="I86" s="12">
        <v>-0.68889999999999996</v>
      </c>
      <c r="L86" s="12">
        <f>LOG(F86*0.000000001)</f>
        <v>-7.0958663932395041</v>
      </c>
      <c r="M86">
        <v>-5</v>
      </c>
      <c r="N86" t="s">
        <v>24</v>
      </c>
    </row>
    <row r="87" spans="1:16" ht="15.75" x14ac:dyDescent="0.25">
      <c r="A87" s="35"/>
      <c r="B87" s="14">
        <v>45386</v>
      </c>
      <c r="C87" s="17">
        <v>338.3</v>
      </c>
      <c r="D87" s="15"/>
      <c r="E87" s="15"/>
      <c r="F87" s="17">
        <f>C87/(1+ 11.74/$I$1)</f>
        <v>182.02227905878649</v>
      </c>
      <c r="G87" s="12"/>
      <c r="H87" s="98">
        <f>H85/G85</f>
        <v>0.24089792815498151</v>
      </c>
      <c r="I87" s="12">
        <v>-0.67669999999999997</v>
      </c>
      <c r="L87" s="12">
        <f>LOG(F87*0.000000001)</f>
        <v>-6.7398754522339903</v>
      </c>
      <c r="M87">
        <v>-5</v>
      </c>
      <c r="N87" t="s">
        <v>24</v>
      </c>
    </row>
    <row r="88" spans="1:16" ht="15.75" x14ac:dyDescent="0.25">
      <c r="A88" s="35"/>
      <c r="B88" s="14"/>
      <c r="C88" s="17"/>
      <c r="D88" s="15"/>
      <c r="E88" s="15"/>
      <c r="F88" s="17"/>
      <c r="G88" s="12"/>
      <c r="H88" s="16"/>
    </row>
    <row r="89" spans="1:16" x14ac:dyDescent="0.2">
      <c r="B89" s="14"/>
      <c r="C89" s="17"/>
      <c r="D89" s="15"/>
      <c r="E89" s="15"/>
      <c r="F89" s="17"/>
      <c r="G89" s="12"/>
      <c r="H89" s="16"/>
    </row>
    <row r="90" spans="1:16" ht="15" x14ac:dyDescent="0.25">
      <c r="A90" s="36" t="s">
        <v>9</v>
      </c>
      <c r="B90" s="14"/>
      <c r="C90" s="15"/>
      <c r="D90" s="15"/>
      <c r="E90" s="15"/>
      <c r="F90" s="15"/>
      <c r="G90" s="12"/>
      <c r="H90" s="16"/>
    </row>
    <row r="91" spans="1:16" x14ac:dyDescent="0.2">
      <c r="A91" s="7" t="s">
        <v>14</v>
      </c>
      <c r="B91" s="27"/>
      <c r="C91" s="28"/>
      <c r="D91" s="28"/>
      <c r="E91" s="28"/>
      <c r="F91" s="28"/>
      <c r="G91" s="28"/>
      <c r="H91" s="30"/>
      <c r="I91" s="28"/>
      <c r="J91" s="28"/>
      <c r="K91" s="28"/>
      <c r="L91" s="28"/>
    </row>
    <row r="92" spans="1:16" x14ac:dyDescent="0.2">
      <c r="A92" s="91">
        <v>-6</v>
      </c>
      <c r="B92" s="10" t="s">
        <v>0</v>
      </c>
      <c r="C92" s="13" t="s">
        <v>8</v>
      </c>
      <c r="D92" s="10" t="s">
        <v>1</v>
      </c>
      <c r="E92" s="10" t="s">
        <v>2</v>
      </c>
      <c r="F92" s="10" t="s">
        <v>3</v>
      </c>
      <c r="G92" s="10" t="s">
        <v>1</v>
      </c>
      <c r="H92" s="10" t="s">
        <v>2</v>
      </c>
      <c r="I92" s="12" t="s">
        <v>4</v>
      </c>
      <c r="J92" s="12" t="s">
        <v>5</v>
      </c>
      <c r="K92" s="12" t="s">
        <v>2</v>
      </c>
      <c r="L92" s="12" t="s">
        <v>6</v>
      </c>
      <c r="N92" s="157" t="s">
        <v>82</v>
      </c>
      <c r="O92" s="1"/>
      <c r="P92" s="1"/>
    </row>
    <row r="93" spans="1:16" x14ac:dyDescent="0.2">
      <c r="A93" s="91"/>
      <c r="B93" s="14">
        <v>45338</v>
      </c>
      <c r="C93" s="17">
        <v>96.58</v>
      </c>
      <c r="D93" s="17">
        <f>AVERAGE(C93:C102)</f>
        <v>59.011111111111113</v>
      </c>
      <c r="E93" s="17">
        <f>STDEV(C93:C102)/SQRT(COUNT(C93:C102))</f>
        <v>8.5942777222929685</v>
      </c>
      <c r="F93" s="17">
        <f>C93/(1+ 11.19/$I$1)</f>
        <v>53.114338803088806</v>
      </c>
      <c r="G93" s="13">
        <f>AVERAGE(F93:F102)</f>
        <v>32.718188561716929</v>
      </c>
      <c r="H93" s="13">
        <f>STDEV(F93:F102)/SQRT(COUNT(F93:F102))</f>
        <v>4.5760548833669068</v>
      </c>
      <c r="I93" s="12">
        <v>-1.363</v>
      </c>
      <c r="J93" s="12">
        <f>AVERAGE(I93:I102)</f>
        <v>-1.0427111111111111</v>
      </c>
      <c r="K93" s="12">
        <f>STDEV(I93:I102)/SQRT(COUNT(I93:I102))</f>
        <v>9.1349614492351558E-2</v>
      </c>
      <c r="L93" s="12">
        <f t="shared" ref="L93:L101" si="7">LOG(F93*0.000000001)</f>
        <v>-7.2747882204924732</v>
      </c>
      <c r="M93" t="s">
        <v>24</v>
      </c>
      <c r="O93" s="1"/>
      <c r="P93" s="1"/>
    </row>
    <row r="94" spans="1:16" ht="15.75" x14ac:dyDescent="0.25">
      <c r="A94" s="93"/>
      <c r="B94" s="14">
        <v>45369</v>
      </c>
      <c r="C94" s="17">
        <v>37.99</v>
      </c>
      <c r="D94" s="15"/>
      <c r="E94" s="15"/>
      <c r="F94" s="17">
        <f>C94/(1+ 11.17/$I$1)</f>
        <v>20.909485590082113</v>
      </c>
      <c r="H94" s="16"/>
      <c r="I94" s="12">
        <v>-1.006</v>
      </c>
      <c r="L94" s="12">
        <f t="shared" si="7"/>
        <v>-7.6796566514547733</v>
      </c>
      <c r="M94" t="s">
        <v>24</v>
      </c>
      <c r="O94" s="1"/>
      <c r="P94" s="1"/>
    </row>
    <row r="95" spans="1:16" ht="15.75" x14ac:dyDescent="0.25">
      <c r="A95" s="93"/>
      <c r="B95" s="14">
        <v>45369</v>
      </c>
      <c r="C95" s="17">
        <v>44.65</v>
      </c>
      <c r="D95" s="15"/>
      <c r="E95" s="15"/>
      <c r="F95" s="17">
        <f>C95/(1+ 11.17/$I$1)</f>
        <v>24.575112703268392</v>
      </c>
      <c r="H95" s="98">
        <f>H93/G93</f>
        <v>0.13986272115080606</v>
      </c>
      <c r="I95" s="12">
        <v>-1.095</v>
      </c>
      <c r="L95" s="12">
        <f t="shared" si="7"/>
        <v>-7.6095044817849287</v>
      </c>
      <c r="M95" t="s">
        <v>24</v>
      </c>
    </row>
    <row r="96" spans="1:16" ht="15.75" x14ac:dyDescent="0.25">
      <c r="A96" s="93"/>
      <c r="B96" s="14">
        <v>45386</v>
      </c>
      <c r="C96" s="17">
        <v>96.25</v>
      </c>
      <c r="D96" s="15"/>
      <c r="E96" s="15"/>
      <c r="F96" s="17">
        <f>C96/(1+ 11.74/$I$1)</f>
        <v>51.78730227433698</v>
      </c>
      <c r="H96" s="16"/>
      <c r="I96" s="12">
        <v>-1.337</v>
      </c>
      <c r="L96" s="12">
        <f t="shared" si="7"/>
        <v>-7.2857767118414332</v>
      </c>
      <c r="M96" t="s">
        <v>24</v>
      </c>
    </row>
    <row r="97" spans="1:18" s="1" customFormat="1" ht="15.75" x14ac:dyDescent="0.25">
      <c r="A97" s="93"/>
      <c r="B97" s="14">
        <v>45386</v>
      </c>
      <c r="C97" s="17">
        <v>53.61</v>
      </c>
      <c r="D97" s="15"/>
      <c r="E97" s="15"/>
      <c r="F97" s="17">
        <f>C97/(1+ 11.74/$I$1)</f>
        <v>28.844854804438498</v>
      </c>
      <c r="G97" s="10"/>
      <c r="H97" s="16"/>
      <c r="I97" s="12">
        <v>-1.2270000000000001</v>
      </c>
      <c r="J97" s="12"/>
      <c r="K97" s="12"/>
      <c r="L97" s="12">
        <f t="shared" si="7"/>
        <v>-7.5399316427966641</v>
      </c>
      <c r="M97" t="s">
        <v>24</v>
      </c>
      <c r="N97"/>
      <c r="O97"/>
      <c r="P97"/>
      <c r="Q97"/>
      <c r="R97"/>
    </row>
    <row r="98" spans="1:18" s="1" customFormat="1" ht="15.75" x14ac:dyDescent="0.25">
      <c r="A98" s="93"/>
      <c r="B98" s="14">
        <v>45477</v>
      </c>
      <c r="C98" s="17">
        <v>58.33</v>
      </c>
      <c r="D98" s="15"/>
      <c r="E98" s="15"/>
      <c r="F98" s="17">
        <f>C98/(1+ 10.51/$I$1)</f>
        <v>32.980665729407875</v>
      </c>
      <c r="H98" s="16"/>
      <c r="I98" s="12">
        <v>-1.181</v>
      </c>
      <c r="J98" s="12"/>
      <c r="K98" s="12"/>
      <c r="L98" s="12">
        <f>LOG(F98*0.000000001)</f>
        <v>-7.4817405821757257</v>
      </c>
      <c r="M98" s="1" t="s">
        <v>40</v>
      </c>
      <c r="N98"/>
      <c r="O98"/>
      <c r="P98"/>
      <c r="Q98"/>
      <c r="R98"/>
    </row>
    <row r="99" spans="1:18" s="1" customFormat="1" x14ac:dyDescent="0.2">
      <c r="A99" s="91"/>
      <c r="B99" s="14">
        <v>45477</v>
      </c>
      <c r="C99" s="17">
        <v>41.4</v>
      </c>
      <c r="D99" s="15"/>
      <c r="E99" s="15"/>
      <c r="F99" s="17">
        <f>C99/(1+ 10.51/$I$1)</f>
        <v>23.408187231227259</v>
      </c>
      <c r="H99" s="16"/>
      <c r="I99" s="12">
        <v>-0.8881</v>
      </c>
      <c r="J99" s="12"/>
      <c r="K99" s="12"/>
      <c r="L99" s="12">
        <f>LOG(F99*0.000000001)</f>
        <v>-7.6306322174848429</v>
      </c>
      <c r="M99" s="1" t="s">
        <v>40</v>
      </c>
      <c r="N99"/>
      <c r="O99"/>
      <c r="P99"/>
      <c r="Q99"/>
      <c r="R99"/>
    </row>
    <row r="100" spans="1:18" s="1" customFormat="1" x14ac:dyDescent="0.2">
      <c r="A100" s="92"/>
      <c r="B100" s="14">
        <v>45519</v>
      </c>
      <c r="C100" s="17">
        <v>24.61</v>
      </c>
      <c r="D100" s="15"/>
      <c r="E100" s="15"/>
      <c r="F100" s="17">
        <f>C100/(1+ 8.32/$I$1)</f>
        <v>15.300406474493043</v>
      </c>
      <c r="G100" s="10"/>
      <c r="H100" s="16"/>
      <c r="I100" s="12">
        <v>-0.56599999999999995</v>
      </c>
      <c r="J100" s="12"/>
      <c r="K100" s="12"/>
      <c r="L100" s="12">
        <f t="shared" si="7"/>
        <v>-7.8152970314513901</v>
      </c>
      <c r="M100" s="1" t="s">
        <v>40</v>
      </c>
      <c r="O100"/>
      <c r="P100"/>
      <c r="Q100"/>
      <c r="R100"/>
    </row>
    <row r="101" spans="1:18" s="1" customFormat="1" x14ac:dyDescent="0.2">
      <c r="A101" s="92"/>
      <c r="B101" s="14">
        <v>45553</v>
      </c>
      <c r="C101" s="17">
        <v>77.680000000000007</v>
      </c>
      <c r="D101" s="15"/>
      <c r="E101" s="15"/>
      <c r="F101" s="17">
        <f>C101/(1+ 10.72/$I$1)</f>
        <v>43.543343445109457</v>
      </c>
      <c r="G101" s="10"/>
      <c r="H101" s="16"/>
      <c r="I101" s="12">
        <v>-0.72130000000000005</v>
      </c>
      <c r="J101" s="12"/>
      <c r="K101" s="12"/>
      <c r="L101" s="12">
        <f t="shared" si="7"/>
        <v>-7.3610782270171748</v>
      </c>
      <c r="M101" s="1" t="s">
        <v>40</v>
      </c>
      <c r="N101" s="154" t="s">
        <v>75</v>
      </c>
      <c r="O101"/>
      <c r="P101"/>
      <c r="Q101"/>
      <c r="R101"/>
    </row>
    <row r="102" spans="1:18" s="1" customFormat="1" ht="28.5" x14ac:dyDescent="0.2">
      <c r="A102" s="155" t="s">
        <v>69</v>
      </c>
      <c r="B102" s="14"/>
      <c r="C102" s="12"/>
      <c r="D102" s="15"/>
      <c r="E102" s="15"/>
      <c r="F102" s="17"/>
      <c r="G102" s="10"/>
      <c r="H102" s="16"/>
      <c r="I102" s="12"/>
      <c r="J102" s="12"/>
      <c r="K102" s="12"/>
      <c r="L102" s="12"/>
      <c r="M102" s="2"/>
      <c r="N102"/>
      <c r="O102"/>
      <c r="P102"/>
      <c r="Q102"/>
      <c r="R102"/>
    </row>
    <row r="103" spans="1:18" x14ac:dyDescent="0.2">
      <c r="A103" s="91"/>
      <c r="B103" s="10" t="s">
        <v>0</v>
      </c>
      <c r="C103" s="13" t="s">
        <v>8</v>
      </c>
      <c r="D103" s="10" t="s">
        <v>1</v>
      </c>
      <c r="E103" s="10" t="s">
        <v>2</v>
      </c>
      <c r="F103" s="10" t="s">
        <v>3</v>
      </c>
      <c r="G103" s="10" t="s">
        <v>1</v>
      </c>
      <c r="H103" s="10" t="s">
        <v>2</v>
      </c>
      <c r="I103" s="12" t="s">
        <v>4</v>
      </c>
      <c r="J103" s="12" t="s">
        <v>5</v>
      </c>
      <c r="K103" s="12" t="s">
        <v>2</v>
      </c>
      <c r="L103" s="12" t="s">
        <v>6</v>
      </c>
      <c r="M103" s="1"/>
      <c r="N103" s="157" t="s">
        <v>81</v>
      </c>
      <c r="O103" s="1"/>
      <c r="P103" s="1"/>
      <c r="Q103" s="1"/>
      <c r="R103" s="1"/>
    </row>
    <row r="104" spans="1:18" ht="15.75" x14ac:dyDescent="0.25">
      <c r="A104" s="93"/>
      <c r="B104" s="14">
        <v>45338</v>
      </c>
      <c r="C104" s="17">
        <v>1.7769999999999999</v>
      </c>
      <c r="D104" s="12">
        <f>AVERAGE(C104:C110)</f>
        <v>3.5973333333333333</v>
      </c>
      <c r="E104" s="12">
        <f>STDEV(C104:C110)/SQRT(COUNT(C104:C110))</f>
        <v>1.0417739251445639</v>
      </c>
      <c r="F104" s="12">
        <f>C104/(1+ 11.19/$I$1)</f>
        <v>0.97726423745173741</v>
      </c>
      <c r="G104" s="12">
        <f>AVERAGE(F104:F110)</f>
        <v>2.0748534010173088</v>
      </c>
      <c r="H104" s="12">
        <f>STDEV(F104:F110)/SQRT(COUNT(F104:F110))</f>
        <v>0.6415642102089566</v>
      </c>
      <c r="I104" s="12">
        <v>-0.3155</v>
      </c>
      <c r="J104" s="12">
        <f>AVERAGE(I104:I110)</f>
        <v>-0.34071666666666661</v>
      </c>
      <c r="K104" s="12">
        <f>STDEV(I104:I110)/SQRT(COUNT(I104:I110))</f>
        <v>0.20384313154427788</v>
      </c>
      <c r="L104" s="12">
        <f t="shared" ref="L104:L110" si="8">LOG(F104*0.000000001)</f>
        <v>-9.0099879937514995</v>
      </c>
      <c r="M104" t="s">
        <v>24</v>
      </c>
      <c r="N104" s="1"/>
      <c r="O104" s="1"/>
      <c r="P104" s="1"/>
      <c r="Q104" s="1"/>
      <c r="R104" s="1"/>
    </row>
    <row r="105" spans="1:18" x14ac:dyDescent="0.2">
      <c r="A105" s="91"/>
      <c r="B105" s="14">
        <v>45369</v>
      </c>
      <c r="C105" s="17">
        <v>2.3889999999999998</v>
      </c>
      <c r="D105" s="15"/>
      <c r="E105" s="15"/>
      <c r="F105" s="17">
        <f>C105/(1+ 11.17/$I$1)</f>
        <v>1.3148923683786828</v>
      </c>
      <c r="G105" s="17"/>
      <c r="I105" s="12">
        <v>-0.35680000000000001</v>
      </c>
      <c r="L105" s="12">
        <f t="shared" si="8"/>
        <v>-8.8811097952596167</v>
      </c>
      <c r="M105" t="s">
        <v>24</v>
      </c>
      <c r="N105" s="1"/>
      <c r="O105" s="1"/>
      <c r="P105" s="1"/>
      <c r="Q105" s="1"/>
      <c r="R105" s="1"/>
    </row>
    <row r="106" spans="1:18" x14ac:dyDescent="0.2">
      <c r="A106" s="92"/>
      <c r="B106" s="14">
        <v>45369</v>
      </c>
      <c r="C106" s="17">
        <v>1.196</v>
      </c>
      <c r="D106" s="15"/>
      <c r="E106" s="15"/>
      <c r="F106" s="17">
        <f>C106/(1+ 11.17/$I$1)</f>
        <v>0.65827177588150043</v>
      </c>
      <c r="G106" s="17"/>
      <c r="H106" s="98">
        <f>H104/G104</f>
        <v>0.30920941686501568</v>
      </c>
      <c r="I106" s="12">
        <v>-0.36980000000000002</v>
      </c>
      <c r="L106" s="12">
        <f t="shared" si="8"/>
        <v>-9.1815947653571026</v>
      </c>
      <c r="M106" t="s">
        <v>24</v>
      </c>
      <c r="N106" s="1"/>
      <c r="O106" s="1"/>
      <c r="P106" s="1"/>
      <c r="Q106" s="1"/>
      <c r="R106" s="1"/>
    </row>
    <row r="107" spans="1:18" x14ac:dyDescent="0.2">
      <c r="A107" s="91"/>
      <c r="B107" s="14">
        <v>45386</v>
      </c>
      <c r="C107" s="17">
        <v>2.5680000000000001</v>
      </c>
      <c r="D107" s="17"/>
      <c r="E107" s="17"/>
      <c r="F107" s="17">
        <f>C107/(1+ 11.74/$I$1)</f>
        <v>1.3817121271739985</v>
      </c>
      <c r="G107" s="17"/>
      <c r="H107" s="17"/>
      <c r="I107" s="12">
        <f>--0.5765</f>
        <v>0.57650000000000001</v>
      </c>
      <c r="L107" s="12">
        <f t="shared" si="8"/>
        <v>-8.8595824306251547</v>
      </c>
      <c r="M107" t="s">
        <v>24</v>
      </c>
      <c r="N107" s="1"/>
      <c r="O107" s="1"/>
      <c r="P107" s="1"/>
      <c r="Q107" s="1"/>
      <c r="R107" s="1"/>
    </row>
    <row r="108" spans="1:18" s="1" customFormat="1" x14ac:dyDescent="0.2">
      <c r="A108" s="91"/>
      <c r="B108" s="14">
        <v>45386</v>
      </c>
      <c r="C108" s="99" t="s">
        <v>76</v>
      </c>
      <c r="D108" s="100"/>
      <c r="E108" s="100"/>
      <c r="F108" s="104"/>
      <c r="G108" s="100"/>
      <c r="H108" s="100"/>
      <c r="I108" s="101"/>
      <c r="J108" s="101">
        <v>-0.40629999999999999</v>
      </c>
      <c r="K108" s="101"/>
      <c r="L108" s="101" t="e">
        <f t="shared" si="8"/>
        <v>#NUM!</v>
      </c>
      <c r="M108" s="102" t="s">
        <v>24</v>
      </c>
      <c r="N108" s="103" t="s">
        <v>30</v>
      </c>
      <c r="O108"/>
      <c r="P108"/>
      <c r="Q108"/>
      <c r="R108"/>
    </row>
    <row r="109" spans="1:18" s="1" customFormat="1" ht="15.75" x14ac:dyDescent="0.25">
      <c r="A109" s="93"/>
      <c r="B109" s="14">
        <v>45477</v>
      </c>
      <c r="C109" s="17">
        <v>6.6059999999999999</v>
      </c>
      <c r="D109" s="17"/>
      <c r="E109" s="17"/>
      <c r="F109" s="17">
        <f>C109/(1+ 10.51/$I$1)</f>
        <v>3.7351324842871323</v>
      </c>
      <c r="H109" s="13"/>
      <c r="I109" s="12">
        <v>-0.7671</v>
      </c>
      <c r="J109" s="12"/>
      <c r="K109" s="12"/>
      <c r="L109" s="12">
        <f>LOG(F109*0.000000001)</f>
        <v>-8.4276939892503453</v>
      </c>
      <c r="M109" s="1" t="s">
        <v>40</v>
      </c>
      <c r="N109"/>
      <c r="O109"/>
      <c r="P109"/>
      <c r="Q109"/>
      <c r="R109"/>
    </row>
    <row r="110" spans="1:18" s="1" customFormat="1" x14ac:dyDescent="0.2">
      <c r="A110" s="91"/>
      <c r="B110" s="14">
        <v>45519</v>
      </c>
      <c r="C110" s="12">
        <v>7.048</v>
      </c>
      <c r="D110" s="17"/>
      <c r="E110" s="17"/>
      <c r="F110" s="17">
        <f>C110/(1+ 8.32/$I$1)</f>
        <v>4.3818474129307994</v>
      </c>
      <c r="G110" s="17"/>
      <c r="H110" s="10"/>
      <c r="I110" s="12">
        <v>-0.81159999999999999</v>
      </c>
      <c r="J110" s="12"/>
      <c r="K110" s="12"/>
      <c r="L110" s="12">
        <f t="shared" si="8"/>
        <v>-8.3583427497502001</v>
      </c>
      <c r="M110" s="2" t="s">
        <v>40</v>
      </c>
      <c r="N110" s="1" t="s">
        <v>44</v>
      </c>
      <c r="O110"/>
      <c r="P110"/>
      <c r="Q110"/>
      <c r="R110"/>
    </row>
    <row r="111" spans="1:18" s="1" customFormat="1" x14ac:dyDescent="0.2">
      <c r="A111" s="92"/>
      <c r="B111" s="14"/>
      <c r="C111" s="17"/>
      <c r="D111" s="15"/>
      <c r="E111" s="15"/>
      <c r="F111" s="15"/>
      <c r="G111" s="17"/>
      <c r="H111" s="16"/>
      <c r="I111" s="12"/>
      <c r="J111" s="12"/>
      <c r="K111" s="12"/>
      <c r="L111" s="12"/>
      <c r="M111" s="2"/>
      <c r="N111"/>
      <c r="O111"/>
      <c r="P111"/>
      <c r="Q111"/>
      <c r="R111"/>
    </row>
    <row r="112" spans="1:18" s="1" customFormat="1" x14ac:dyDescent="0.2">
      <c r="A112" s="91"/>
      <c r="B112" s="14"/>
      <c r="C112" s="17"/>
      <c r="D112" s="15"/>
      <c r="E112" s="15"/>
      <c r="F112" s="17"/>
      <c r="G112" s="17"/>
      <c r="H112" s="17"/>
      <c r="I112" s="12"/>
      <c r="J112" s="12"/>
      <c r="K112" s="12"/>
      <c r="L112" s="12"/>
      <c r="M112" s="2"/>
      <c r="N112"/>
      <c r="O112"/>
      <c r="P112"/>
      <c r="Q112"/>
      <c r="R112"/>
    </row>
    <row r="113" spans="1:18" s="48" customFormat="1" x14ac:dyDescent="0.2">
      <c r="A113" s="91"/>
      <c r="B113" s="10"/>
      <c r="C113" s="13"/>
      <c r="D113" s="10"/>
      <c r="E113" s="10"/>
      <c r="F113" s="10"/>
      <c r="G113" s="10"/>
      <c r="H113" s="10"/>
      <c r="I113" s="12"/>
      <c r="J113" s="12"/>
      <c r="K113" s="12"/>
      <c r="L113" s="12"/>
      <c r="M113" s="1"/>
      <c r="N113" s="1"/>
      <c r="O113" s="1"/>
      <c r="P113" s="1"/>
      <c r="Q113" s="1"/>
      <c r="R113" s="1"/>
    </row>
    <row r="114" spans="1:18" s="48" customFormat="1" ht="15.75" x14ac:dyDescent="0.25">
      <c r="A114" s="93"/>
      <c r="B114" s="14"/>
      <c r="C114" s="13"/>
      <c r="D114" s="12"/>
      <c r="E114" s="12"/>
      <c r="F114" s="13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</row>
    <row r="115" spans="1:18" s="48" customFormat="1" x14ac:dyDescent="0.2">
      <c r="A115" s="4"/>
      <c r="B115" s="14"/>
      <c r="C115" s="13"/>
      <c r="D115" s="15"/>
      <c r="E115" s="15"/>
      <c r="F115" s="13"/>
      <c r="G115" s="17"/>
      <c r="H115" s="17"/>
      <c r="I115" s="12"/>
      <c r="J115" s="12"/>
      <c r="K115" s="12"/>
      <c r="L115" s="12"/>
      <c r="M115" s="1"/>
      <c r="N115" s="1"/>
      <c r="O115" s="1"/>
      <c r="P115" s="1"/>
      <c r="Q115" s="1"/>
      <c r="R115" s="1"/>
    </row>
    <row r="116" spans="1:18" s="48" customFormat="1" x14ac:dyDescent="0.2">
      <c r="A116" s="45"/>
      <c r="B116" s="14"/>
      <c r="C116" s="13"/>
      <c r="D116" s="15"/>
      <c r="E116" s="15"/>
      <c r="F116" s="13"/>
      <c r="G116" s="10"/>
      <c r="H116" s="16"/>
      <c r="I116" s="19"/>
      <c r="J116" s="12"/>
      <c r="K116" s="12"/>
      <c r="L116" s="12"/>
      <c r="M116" s="1"/>
      <c r="N116" s="1"/>
      <c r="O116" s="1"/>
      <c r="P116" s="1"/>
      <c r="Q116" s="1"/>
      <c r="R116" s="1"/>
    </row>
    <row r="117" spans="1:18" s="48" customFormat="1" x14ac:dyDescent="0.2">
      <c r="A117" s="45"/>
      <c r="B117" s="14"/>
      <c r="C117" s="12"/>
      <c r="D117" s="15"/>
      <c r="E117" s="15"/>
      <c r="F117" s="13"/>
      <c r="G117" s="10"/>
      <c r="H117" s="16"/>
      <c r="I117" s="19"/>
      <c r="J117" s="12"/>
      <c r="K117" s="12"/>
      <c r="L117" s="12"/>
      <c r="M117" s="1"/>
      <c r="N117" s="1"/>
      <c r="O117" s="1"/>
      <c r="P117" s="1"/>
      <c r="Q117" s="1"/>
      <c r="R117" s="1"/>
    </row>
    <row r="118" spans="1:18" s="48" customFormat="1" ht="15" x14ac:dyDescent="0.25">
      <c r="A118" s="50"/>
      <c r="B118" s="14"/>
      <c r="C118" s="12"/>
      <c r="D118" s="12"/>
      <c r="E118" s="12"/>
      <c r="F118" s="12"/>
      <c r="G118" s="10"/>
      <c r="H118" s="16"/>
      <c r="I118" s="12"/>
      <c r="J118" s="12"/>
      <c r="K118" s="12"/>
      <c r="L118" s="12"/>
      <c r="M118" s="2"/>
      <c r="N118"/>
      <c r="O118"/>
      <c r="P118"/>
      <c r="Q118"/>
      <c r="R118"/>
    </row>
    <row r="119" spans="1:18" s="48" customFormat="1" ht="15" x14ac:dyDescent="0.25">
      <c r="A119" s="51"/>
      <c r="B119" s="10"/>
      <c r="C119" s="11"/>
      <c r="D119" s="10"/>
      <c r="E119" s="10"/>
      <c r="F119" s="10"/>
      <c r="G119" s="10"/>
      <c r="H119" s="10"/>
      <c r="I119" s="12"/>
      <c r="J119" s="12"/>
      <c r="K119" s="12"/>
      <c r="L119" s="12"/>
      <c r="M119" s="2"/>
      <c r="N119"/>
      <c r="O119"/>
      <c r="P119"/>
      <c r="Q119"/>
      <c r="R119"/>
    </row>
    <row r="120" spans="1:18" s="48" customFormat="1" ht="15" x14ac:dyDescent="0.25">
      <c r="A120" s="52"/>
      <c r="B120" s="10"/>
      <c r="C120" s="11"/>
      <c r="D120" s="10"/>
      <c r="E120" s="10"/>
      <c r="F120" s="10"/>
      <c r="G120" s="10"/>
      <c r="H120" s="10"/>
      <c r="I120" s="12"/>
      <c r="J120" s="12"/>
      <c r="K120" s="12"/>
      <c r="L120" s="12"/>
      <c r="M120"/>
      <c r="N120"/>
      <c r="O120"/>
      <c r="P120"/>
      <c r="Q120"/>
      <c r="R120"/>
    </row>
    <row r="121" spans="1:18" s="48" customFormat="1" x14ac:dyDescent="0.2">
      <c r="A121" s="53"/>
      <c r="B121" s="14"/>
      <c r="C121" s="13"/>
      <c r="D121" s="10"/>
      <c r="E121" s="13"/>
      <c r="F121" s="20"/>
      <c r="G121" s="10"/>
      <c r="H121" s="16"/>
      <c r="I121" s="12"/>
      <c r="J121" s="12"/>
      <c r="K121" s="12"/>
      <c r="L121" s="12"/>
      <c r="M121"/>
      <c r="N121"/>
      <c r="O121"/>
      <c r="P121"/>
      <c r="Q121"/>
      <c r="R121"/>
    </row>
    <row r="122" spans="1:18" s="48" customFormat="1" ht="15" x14ac:dyDescent="0.25">
      <c r="A122" s="51"/>
      <c r="B122" s="10"/>
      <c r="C122" s="13"/>
      <c r="D122" s="10"/>
      <c r="E122" s="10"/>
      <c r="F122" s="10"/>
      <c r="G122" s="10"/>
      <c r="H122" s="10"/>
      <c r="I122" s="12"/>
      <c r="J122" s="12"/>
      <c r="K122" s="12"/>
      <c r="L122" s="12"/>
      <c r="M122"/>
      <c r="N122"/>
      <c r="O122"/>
      <c r="P122"/>
      <c r="Q122"/>
      <c r="R122"/>
    </row>
    <row r="123" spans="1:18" s="48" customFormat="1" x14ac:dyDescent="0.2">
      <c r="A123" s="45"/>
      <c r="B123" s="14"/>
      <c r="C123" s="15"/>
      <c r="D123" s="15"/>
      <c r="E123" s="15"/>
      <c r="F123" s="17"/>
      <c r="G123" s="17"/>
      <c r="H123" s="17"/>
      <c r="I123" s="12"/>
      <c r="J123" s="12"/>
      <c r="K123" s="12"/>
      <c r="L123" s="12"/>
      <c r="M123"/>
      <c r="N123"/>
      <c r="O123"/>
      <c r="P123"/>
      <c r="Q123"/>
      <c r="R123"/>
    </row>
    <row r="124" spans="1:18" s="48" customFormat="1" x14ac:dyDescent="0.2">
      <c r="A124" s="45"/>
      <c r="B124" s="14"/>
      <c r="C124" s="15"/>
      <c r="D124" s="17"/>
      <c r="E124" s="17"/>
      <c r="F124" s="17"/>
      <c r="G124" s="17"/>
      <c r="H124" s="17"/>
      <c r="I124" s="12"/>
      <c r="J124" s="12"/>
      <c r="K124" s="12"/>
      <c r="L124" s="12"/>
      <c r="M124"/>
      <c r="N124"/>
      <c r="O124"/>
      <c r="P124"/>
      <c r="Q124"/>
      <c r="R124"/>
    </row>
    <row r="125" spans="1:18" s="48" customFormat="1" x14ac:dyDescent="0.2">
      <c r="A125" s="52"/>
      <c r="B125" s="14"/>
      <c r="C125" s="15"/>
      <c r="D125" s="17"/>
      <c r="E125" s="17"/>
      <c r="F125" s="17"/>
      <c r="G125" s="17"/>
      <c r="H125" s="16"/>
      <c r="I125" s="12"/>
      <c r="J125" s="12"/>
      <c r="K125" s="12"/>
      <c r="L125" s="12"/>
      <c r="M125"/>
      <c r="N125"/>
      <c r="O125"/>
      <c r="P125"/>
      <c r="Q125"/>
      <c r="R125"/>
    </row>
    <row r="126" spans="1:18" s="48" customFormat="1" x14ac:dyDescent="0.2">
      <c r="A126" s="45"/>
      <c r="B126" s="112"/>
      <c r="C126" s="113"/>
      <c r="D126" s="17"/>
      <c r="E126" s="17"/>
      <c r="F126" s="17"/>
      <c r="G126" s="17"/>
      <c r="H126" s="16"/>
      <c r="I126" s="12"/>
      <c r="J126" s="12"/>
      <c r="K126" s="12"/>
      <c r="L126" s="12"/>
      <c r="M126"/>
      <c r="N126"/>
      <c r="O126"/>
      <c r="P126"/>
      <c r="Q126"/>
      <c r="R126"/>
    </row>
    <row r="127" spans="1:18" s="56" customFormat="1" ht="15" x14ac:dyDescent="0.25">
      <c r="A127" s="51"/>
      <c r="B127" s="10"/>
      <c r="C127" s="13"/>
      <c r="D127" s="10"/>
      <c r="E127" s="10"/>
      <c r="F127" s="10"/>
      <c r="G127" s="10"/>
      <c r="H127" s="10"/>
      <c r="I127" s="12"/>
      <c r="J127" s="12"/>
      <c r="K127" s="12"/>
      <c r="L127" s="12"/>
      <c r="M127"/>
      <c r="N127"/>
      <c r="O127"/>
      <c r="P127"/>
      <c r="Q127"/>
      <c r="R127"/>
    </row>
    <row r="128" spans="1:18" s="56" customFormat="1" x14ac:dyDescent="0.2">
      <c r="A128" s="45"/>
      <c r="B128" s="14"/>
      <c r="C128" s="17"/>
      <c r="D128" s="17"/>
      <c r="E128" s="17"/>
      <c r="F128" s="17"/>
      <c r="G128" s="17"/>
      <c r="H128" s="17"/>
      <c r="I128" s="12"/>
      <c r="J128" s="12"/>
      <c r="K128" s="12"/>
      <c r="L128" s="12"/>
      <c r="M128"/>
      <c r="N128"/>
      <c r="O128"/>
      <c r="P128"/>
      <c r="Q128"/>
      <c r="R128"/>
    </row>
    <row r="129" spans="1:18" s="56" customFormat="1" x14ac:dyDescent="0.2">
      <c r="A129" s="45"/>
      <c r="B129" s="14"/>
      <c r="C129" s="17"/>
      <c r="D129" s="17"/>
      <c r="E129" s="17"/>
      <c r="F129" s="17"/>
      <c r="G129" s="17"/>
      <c r="H129" s="17"/>
      <c r="I129" s="12"/>
      <c r="J129" s="12"/>
      <c r="K129" s="12"/>
      <c r="L129" s="12"/>
      <c r="M129"/>
      <c r="N129"/>
      <c r="O129"/>
      <c r="P129"/>
      <c r="Q129"/>
      <c r="R129"/>
    </row>
    <row r="130" spans="1:18" s="56" customFormat="1" x14ac:dyDescent="0.2">
      <c r="A130" s="55"/>
      <c r="B130" s="14"/>
      <c r="C130" s="17"/>
      <c r="D130" s="17"/>
      <c r="E130" s="17"/>
      <c r="F130" s="17"/>
      <c r="G130" s="17"/>
      <c r="H130" s="16"/>
      <c r="I130" s="12"/>
      <c r="J130" s="12"/>
      <c r="K130" s="12"/>
      <c r="L130" s="12"/>
      <c r="M130"/>
      <c r="N130"/>
      <c r="O130"/>
      <c r="P130"/>
      <c r="Q130"/>
      <c r="R130"/>
    </row>
    <row r="131" spans="1:18" s="48" customFormat="1" x14ac:dyDescent="0.2">
      <c r="A131" s="45"/>
      <c r="B131" s="14"/>
      <c r="C131" s="15"/>
      <c r="D131" s="17"/>
      <c r="E131" s="17"/>
      <c r="F131" s="17"/>
      <c r="G131" s="17"/>
      <c r="H131" s="16"/>
      <c r="I131" s="12"/>
      <c r="J131" s="12"/>
      <c r="K131" s="12"/>
      <c r="L131" s="12"/>
      <c r="M131"/>
      <c r="N131"/>
      <c r="O131"/>
      <c r="P131"/>
      <c r="Q131"/>
      <c r="R131"/>
    </row>
    <row r="132" spans="1:18" s="56" customFormat="1" ht="15" x14ac:dyDescent="0.25">
      <c r="A132" s="51"/>
      <c r="B132" s="10"/>
      <c r="C132" s="13"/>
      <c r="D132" s="10"/>
      <c r="E132" s="10"/>
      <c r="F132" s="13"/>
      <c r="G132" s="10"/>
      <c r="H132" s="10"/>
      <c r="I132" s="12"/>
      <c r="J132" s="12"/>
      <c r="K132" s="12"/>
      <c r="L132" s="12"/>
      <c r="M132" s="1"/>
      <c r="N132" s="1"/>
      <c r="O132" s="1"/>
      <c r="P132" s="1"/>
      <c r="Q132" s="1"/>
      <c r="R132" s="1"/>
    </row>
    <row r="133" spans="1:18" s="56" customFormat="1" x14ac:dyDescent="0.2">
      <c r="A133" s="45"/>
      <c r="B133" s="14"/>
      <c r="C133" s="17"/>
      <c r="D133" s="13"/>
      <c r="E133" s="13"/>
      <c r="F133" s="17"/>
      <c r="G133" s="13"/>
      <c r="H133" s="13"/>
      <c r="I133" s="12"/>
      <c r="J133" s="12"/>
      <c r="K133" s="12"/>
      <c r="L133" s="12"/>
      <c r="M133" s="1"/>
      <c r="N133" s="1"/>
      <c r="O133" s="1"/>
      <c r="P133" s="1"/>
      <c r="Q133" s="1"/>
      <c r="R133" s="1"/>
    </row>
    <row r="134" spans="1:18" s="56" customFormat="1" ht="15" x14ac:dyDescent="0.2">
      <c r="A134" s="57"/>
      <c r="B134" s="14"/>
      <c r="C134" s="17"/>
      <c r="D134" s="17"/>
      <c r="E134" s="17"/>
      <c r="F134" s="17"/>
      <c r="G134" s="13"/>
      <c r="H134" s="13"/>
      <c r="I134" s="12"/>
      <c r="J134" s="12"/>
      <c r="K134" s="12"/>
      <c r="L134" s="12"/>
      <c r="M134" s="1"/>
      <c r="N134" s="1"/>
      <c r="O134" s="1"/>
      <c r="P134" s="1"/>
      <c r="Q134" s="1"/>
      <c r="R134" s="1"/>
    </row>
    <row r="135" spans="1:18" s="56" customFormat="1" x14ac:dyDescent="0.2">
      <c r="A135" s="58"/>
      <c r="B135" s="14"/>
      <c r="C135" s="17"/>
      <c r="D135" s="17"/>
      <c r="E135" s="17"/>
      <c r="F135" s="17"/>
      <c r="G135" s="13"/>
      <c r="H135" s="16"/>
      <c r="I135" s="12"/>
      <c r="J135" s="12"/>
      <c r="K135" s="12"/>
      <c r="L135" s="12"/>
      <c r="M135" s="1"/>
      <c r="N135" s="1"/>
      <c r="O135" s="1"/>
      <c r="P135" s="1"/>
      <c r="Q135" s="1"/>
      <c r="R135" s="1"/>
    </row>
    <row r="136" spans="1:18" s="48" customFormat="1" x14ac:dyDescent="0.2">
      <c r="A136" s="45"/>
      <c r="B136" s="14"/>
      <c r="C136" s="13"/>
      <c r="D136" s="17"/>
      <c r="E136" s="17"/>
      <c r="F136" s="12"/>
      <c r="G136" s="13"/>
      <c r="H136" s="16"/>
      <c r="I136" s="12"/>
      <c r="J136" s="12"/>
      <c r="K136" s="12"/>
      <c r="L136" s="12"/>
      <c r="M136" s="2"/>
      <c r="N136"/>
      <c r="O136"/>
      <c r="P136"/>
      <c r="Q136"/>
      <c r="R136"/>
    </row>
    <row r="137" spans="1:18" s="48" customFormat="1" x14ac:dyDescent="0.2">
      <c r="A137" s="59"/>
      <c r="B137" s="10"/>
      <c r="C137" s="13"/>
      <c r="D137" s="10"/>
      <c r="E137" s="10"/>
      <c r="F137" s="13"/>
      <c r="G137" s="10"/>
      <c r="H137" s="10"/>
      <c r="I137" s="12"/>
      <c r="J137" s="12"/>
      <c r="K137" s="12"/>
      <c r="L137" s="12"/>
      <c r="M137" s="1"/>
      <c r="N137" s="1"/>
      <c r="O137" s="1"/>
      <c r="P137" s="1"/>
      <c r="Q137" s="1"/>
      <c r="R137" s="1"/>
    </row>
    <row r="138" spans="1:18" s="48" customFormat="1" x14ac:dyDescent="0.2">
      <c r="A138" s="45"/>
      <c r="B138" s="14"/>
      <c r="C138" s="17"/>
      <c r="D138" s="13"/>
      <c r="E138" s="13"/>
      <c r="F138" s="17"/>
      <c r="G138" s="13"/>
      <c r="H138" s="13"/>
      <c r="I138" s="12"/>
      <c r="J138" s="12"/>
      <c r="K138" s="12"/>
      <c r="L138" s="12"/>
      <c r="M138" s="1"/>
      <c r="N138" s="1"/>
      <c r="O138" s="1"/>
      <c r="P138" s="1"/>
      <c r="Q138" s="1"/>
      <c r="R138" s="1"/>
    </row>
    <row r="139" spans="1:18" s="48" customFormat="1" ht="15" x14ac:dyDescent="0.25">
      <c r="A139" s="51"/>
      <c r="B139" s="14"/>
      <c r="C139" s="17"/>
      <c r="D139" s="17"/>
      <c r="E139" s="17"/>
      <c r="F139" s="17"/>
      <c r="G139" s="13"/>
      <c r="H139" s="13"/>
      <c r="I139" s="12"/>
      <c r="J139" s="12"/>
      <c r="K139" s="12"/>
      <c r="L139" s="12"/>
      <c r="M139" s="1"/>
      <c r="N139" s="1"/>
      <c r="O139" s="1"/>
      <c r="P139" s="1"/>
      <c r="Q139" s="1"/>
      <c r="R139" s="1"/>
    </row>
    <row r="140" spans="1:18" s="48" customFormat="1" ht="15" x14ac:dyDescent="0.25">
      <c r="A140" s="51"/>
      <c r="B140" s="14"/>
      <c r="C140" s="17"/>
      <c r="D140" s="17"/>
      <c r="E140" s="17"/>
      <c r="F140" s="17"/>
      <c r="G140" s="13"/>
      <c r="H140" s="16"/>
      <c r="I140" s="12"/>
      <c r="J140" s="12"/>
      <c r="K140" s="12"/>
      <c r="L140" s="12"/>
      <c r="M140" s="1"/>
      <c r="N140" s="1"/>
      <c r="O140" s="1"/>
      <c r="P140" s="1"/>
      <c r="Q140" s="1"/>
      <c r="R140" s="1"/>
    </row>
    <row r="141" spans="1:18" s="48" customFormat="1" x14ac:dyDescent="0.2">
      <c r="A141" s="58"/>
      <c r="B141" s="14"/>
      <c r="C141" s="17"/>
      <c r="D141" s="17"/>
      <c r="E141" s="17"/>
      <c r="F141" s="17"/>
      <c r="G141" s="13"/>
      <c r="H141" s="16"/>
      <c r="I141" s="12"/>
      <c r="J141" s="12"/>
      <c r="K141" s="12"/>
      <c r="L141" s="12"/>
      <c r="M141" s="2"/>
      <c r="N141"/>
      <c r="O141"/>
      <c r="P141"/>
      <c r="Q141"/>
      <c r="R141"/>
    </row>
    <row r="142" spans="1:18" s="48" customFormat="1" x14ac:dyDescent="0.2">
      <c r="A142" s="45"/>
      <c r="B142" s="14"/>
      <c r="C142" s="17"/>
      <c r="D142" s="17"/>
      <c r="E142" s="17"/>
      <c r="F142" s="17"/>
      <c r="G142" s="13"/>
      <c r="H142" s="16"/>
      <c r="I142" s="12"/>
      <c r="J142" s="12"/>
      <c r="K142" s="12"/>
      <c r="L142" s="12"/>
      <c r="M142" s="2"/>
      <c r="N142"/>
      <c r="O142"/>
      <c r="P142"/>
      <c r="Q142"/>
      <c r="R142"/>
    </row>
    <row r="143" spans="1:18" s="48" customFormat="1" x14ac:dyDescent="0.2">
      <c r="A143" s="59"/>
      <c r="B143" s="10"/>
      <c r="C143" s="13"/>
      <c r="D143" s="10"/>
      <c r="E143" s="10"/>
      <c r="F143" s="13"/>
      <c r="G143" s="10"/>
      <c r="H143" s="10"/>
      <c r="I143" s="12"/>
      <c r="J143" s="12"/>
      <c r="K143" s="12"/>
      <c r="L143" s="12"/>
      <c r="M143" s="2"/>
      <c r="N143"/>
      <c r="O143"/>
      <c r="P143"/>
      <c r="Q143"/>
      <c r="R143"/>
    </row>
    <row r="144" spans="1:18" s="48" customFormat="1" ht="15" x14ac:dyDescent="0.25">
      <c r="A144" s="51"/>
      <c r="B144" s="14"/>
      <c r="C144" s="13"/>
      <c r="D144" s="13"/>
      <c r="E144" s="13"/>
      <c r="F144" s="13"/>
      <c r="G144" s="13"/>
      <c r="H144" s="13"/>
      <c r="I144" s="12"/>
      <c r="J144" s="12"/>
      <c r="K144" s="12"/>
      <c r="L144" s="12"/>
      <c r="M144" s="2"/>
      <c r="N144"/>
      <c r="O144"/>
      <c r="P144"/>
      <c r="Q144"/>
      <c r="R144"/>
    </row>
    <row r="145" spans="1:18" s="48" customFormat="1" ht="15" x14ac:dyDescent="0.2">
      <c r="A145" s="57"/>
      <c r="B145" s="14"/>
      <c r="C145" s="13"/>
      <c r="D145" s="17"/>
      <c r="E145" s="17"/>
      <c r="F145" s="13"/>
      <c r="G145" s="13"/>
      <c r="H145" s="13"/>
      <c r="I145" s="12"/>
      <c r="J145" s="12"/>
      <c r="K145" s="12"/>
      <c r="L145" s="12"/>
      <c r="M145" s="2"/>
      <c r="N145"/>
      <c r="O145"/>
      <c r="P145"/>
      <c r="Q145"/>
      <c r="R145"/>
    </row>
    <row r="146" spans="1:18" s="48" customFormat="1" x14ac:dyDescent="0.2">
      <c r="A146" s="58"/>
      <c r="B146" s="14"/>
      <c r="C146" s="13"/>
      <c r="D146" s="17"/>
      <c r="E146" s="17"/>
      <c r="F146" s="13"/>
      <c r="G146" s="13"/>
      <c r="H146" s="16"/>
      <c r="I146" s="12"/>
      <c r="J146" s="12"/>
      <c r="K146" s="12"/>
      <c r="L146" s="12"/>
      <c r="M146" s="2"/>
      <c r="N146"/>
      <c r="O146"/>
      <c r="P146"/>
      <c r="Q146"/>
      <c r="R146"/>
    </row>
    <row r="147" spans="1:18" s="48" customFormat="1" x14ac:dyDescent="0.2">
      <c r="A147" s="45"/>
      <c r="B147" s="14"/>
      <c r="C147" s="13"/>
      <c r="D147" s="17"/>
      <c r="E147" s="17"/>
      <c r="F147" s="12"/>
      <c r="G147" s="13"/>
      <c r="H147" s="16"/>
      <c r="I147" s="12"/>
      <c r="J147" s="12"/>
      <c r="K147" s="12"/>
      <c r="L147" s="12"/>
      <c r="M147" s="2"/>
      <c r="N147"/>
      <c r="O147"/>
      <c r="P147"/>
      <c r="Q147"/>
      <c r="R147"/>
    </row>
    <row r="148" spans="1:18" s="48" customFormat="1" x14ac:dyDescent="0.2">
      <c r="A148" s="45"/>
      <c r="B148" s="10"/>
      <c r="C148" s="13"/>
      <c r="D148" s="10"/>
      <c r="E148" s="10"/>
      <c r="F148" s="13"/>
      <c r="G148" s="10"/>
      <c r="H148" s="10"/>
      <c r="I148" s="12"/>
      <c r="J148" s="12"/>
      <c r="K148" s="12"/>
      <c r="L148" s="12"/>
      <c r="M148" s="2"/>
      <c r="N148"/>
      <c r="O148"/>
      <c r="P148"/>
      <c r="Q148"/>
      <c r="R148"/>
    </row>
    <row r="149" spans="1:18" s="48" customFormat="1" x14ac:dyDescent="0.2">
      <c r="A149" s="45"/>
      <c r="B149" s="14"/>
      <c r="C149" s="15"/>
      <c r="D149" s="15"/>
      <c r="E149" s="15"/>
      <c r="F149" s="15"/>
      <c r="G149" s="15"/>
      <c r="H149" s="15"/>
      <c r="I149" s="12"/>
      <c r="J149" s="12"/>
      <c r="K149" s="12"/>
      <c r="L149" s="12"/>
      <c r="M149" s="2"/>
      <c r="N149"/>
      <c r="O149"/>
      <c r="P149"/>
      <c r="Q149"/>
      <c r="R149"/>
    </row>
    <row r="150" spans="1:18" s="48" customFormat="1" x14ac:dyDescent="0.2">
      <c r="A150" s="45"/>
      <c r="B150" s="14"/>
      <c r="C150" s="15"/>
      <c r="D150" s="17"/>
      <c r="E150" s="17"/>
      <c r="F150" s="15"/>
      <c r="G150" s="13"/>
      <c r="H150" s="13"/>
      <c r="I150" s="12"/>
      <c r="J150" s="12"/>
      <c r="K150" s="12"/>
      <c r="L150" s="12"/>
      <c r="M150" s="2"/>
      <c r="N150"/>
      <c r="O150"/>
      <c r="P150"/>
      <c r="Q150"/>
      <c r="R150"/>
    </row>
    <row r="151" spans="1:18" s="48" customFormat="1" ht="15" x14ac:dyDescent="0.25">
      <c r="A151" s="51"/>
      <c r="B151" s="14"/>
      <c r="C151" s="15"/>
      <c r="D151" s="17"/>
      <c r="E151" s="17"/>
      <c r="F151" s="15"/>
      <c r="G151" s="13"/>
      <c r="H151" s="16"/>
      <c r="I151" s="12"/>
      <c r="J151" s="12"/>
      <c r="K151" s="12"/>
      <c r="L151" s="12"/>
      <c r="M151" s="2"/>
      <c r="N151"/>
      <c r="O151"/>
      <c r="P151"/>
      <c r="Q151"/>
      <c r="R151"/>
    </row>
    <row r="152" spans="1:18" s="48" customFormat="1" x14ac:dyDescent="0.2">
      <c r="A152" s="45"/>
      <c r="B152" s="14"/>
      <c r="C152" s="15"/>
      <c r="D152" s="17"/>
      <c r="E152" s="17"/>
      <c r="F152" s="15"/>
      <c r="G152" s="13"/>
      <c r="H152" s="16"/>
      <c r="I152" s="12"/>
      <c r="J152" s="12"/>
      <c r="K152" s="12"/>
      <c r="L152" s="12"/>
      <c r="M152" s="2"/>
      <c r="N152"/>
      <c r="O152"/>
      <c r="P152"/>
      <c r="Q152"/>
      <c r="R152"/>
    </row>
    <row r="153" spans="1:18" s="48" customFormat="1" x14ac:dyDescent="0.2">
      <c r="A153" s="45"/>
      <c r="B153" s="14"/>
      <c r="C153" s="15"/>
      <c r="D153" s="17"/>
      <c r="E153" s="17"/>
      <c r="F153" s="15"/>
      <c r="G153" s="13"/>
      <c r="H153" s="16"/>
      <c r="I153" s="12"/>
      <c r="J153" s="12"/>
      <c r="K153" s="12"/>
      <c r="L153" s="12"/>
      <c r="M153" s="2"/>
      <c r="N153"/>
      <c r="O153"/>
      <c r="P153"/>
      <c r="Q153"/>
      <c r="R153"/>
    </row>
    <row r="154" spans="1:18" s="48" customFormat="1" x14ac:dyDescent="0.2">
      <c r="A154" s="45"/>
      <c r="B154" s="14"/>
      <c r="C154" s="15"/>
      <c r="D154" s="17"/>
      <c r="E154" s="17"/>
      <c r="F154" s="15"/>
      <c r="G154" s="13"/>
      <c r="H154" s="16"/>
      <c r="I154" s="12"/>
      <c r="J154" s="12"/>
      <c r="K154" s="12"/>
      <c r="L154" s="12"/>
      <c r="M154" s="2"/>
      <c r="N154"/>
      <c r="O154"/>
      <c r="P154"/>
      <c r="Q154"/>
      <c r="R154"/>
    </row>
    <row r="155" spans="1:18" s="48" customFormat="1" x14ac:dyDescent="0.2">
      <c r="A155" s="58"/>
      <c r="B155" s="14"/>
      <c r="C155" s="15"/>
      <c r="D155" s="17"/>
      <c r="E155" s="17"/>
      <c r="F155" s="15"/>
      <c r="G155" s="13"/>
      <c r="H155" s="16"/>
      <c r="I155" s="12"/>
      <c r="J155" s="12"/>
      <c r="K155" s="12"/>
      <c r="L155" s="12"/>
      <c r="M155" s="2"/>
      <c r="N155"/>
      <c r="O155"/>
      <c r="P155"/>
      <c r="Q155"/>
      <c r="R155"/>
    </row>
    <row r="156" spans="1:18" s="48" customFormat="1" x14ac:dyDescent="0.2">
      <c r="A156" s="45"/>
      <c r="B156" s="14"/>
      <c r="C156" s="17"/>
      <c r="D156" s="17"/>
      <c r="E156" s="17"/>
      <c r="F156" s="17"/>
      <c r="G156" s="13"/>
      <c r="H156" s="16"/>
      <c r="I156" s="12"/>
      <c r="J156" s="12"/>
      <c r="K156" s="12"/>
      <c r="L156" s="12"/>
      <c r="M156" s="2"/>
      <c r="N156"/>
      <c r="O156"/>
      <c r="P156"/>
      <c r="Q156"/>
      <c r="R156"/>
    </row>
    <row r="157" spans="1:18" s="48" customFormat="1" ht="15" x14ac:dyDescent="0.25">
      <c r="A157" s="51"/>
      <c r="B157" s="10"/>
      <c r="C157" s="13"/>
      <c r="D157" s="10"/>
      <c r="E157" s="10"/>
      <c r="F157" s="13"/>
      <c r="G157" s="10"/>
      <c r="H157" s="10"/>
      <c r="I157" s="12"/>
      <c r="J157" s="12"/>
      <c r="K157" s="12"/>
      <c r="L157" s="12"/>
      <c r="M157" s="2"/>
      <c r="N157"/>
      <c r="O157"/>
      <c r="P157"/>
      <c r="Q157"/>
      <c r="R157"/>
    </row>
    <row r="158" spans="1:18" s="48" customFormat="1" x14ac:dyDescent="0.2">
      <c r="A158" s="45"/>
      <c r="B158" s="14"/>
      <c r="C158" s="17"/>
      <c r="D158" s="17"/>
      <c r="E158" s="17"/>
      <c r="F158" s="17"/>
      <c r="G158" s="17"/>
      <c r="H158" s="17"/>
      <c r="I158" s="12"/>
      <c r="J158" s="12"/>
      <c r="K158" s="12"/>
      <c r="L158" s="12"/>
      <c r="M158" s="2"/>
      <c r="N158"/>
      <c r="O158"/>
      <c r="P158"/>
      <c r="Q158"/>
      <c r="R158"/>
    </row>
    <row r="159" spans="1:18" s="48" customFormat="1" x14ac:dyDescent="0.2">
      <c r="A159" s="45"/>
      <c r="B159" s="14"/>
      <c r="C159" s="17"/>
      <c r="D159" s="17"/>
      <c r="E159" s="17"/>
      <c r="F159" s="17"/>
      <c r="G159" s="13"/>
      <c r="H159" s="13"/>
      <c r="I159" s="12"/>
      <c r="J159" s="12"/>
      <c r="K159" s="12"/>
      <c r="L159" s="12"/>
      <c r="M159" s="2"/>
      <c r="N159"/>
      <c r="O159"/>
      <c r="P159"/>
      <c r="Q159"/>
      <c r="R159"/>
    </row>
    <row r="160" spans="1:18" s="48" customFormat="1" ht="15" x14ac:dyDescent="0.25">
      <c r="A160" s="60"/>
      <c r="B160" s="14"/>
      <c r="C160" s="17"/>
      <c r="D160" s="17"/>
      <c r="E160" s="17"/>
      <c r="F160" s="17"/>
      <c r="G160" s="13"/>
      <c r="H160" s="16"/>
      <c r="I160" s="12"/>
      <c r="J160" s="12"/>
      <c r="K160" s="12"/>
      <c r="L160" s="12"/>
      <c r="M160" s="2"/>
      <c r="N160"/>
      <c r="O160"/>
      <c r="P160"/>
      <c r="Q160"/>
      <c r="R160"/>
    </row>
    <row r="161" spans="1:18" s="48" customFormat="1" x14ac:dyDescent="0.2">
      <c r="A161" s="45"/>
      <c r="B161" s="14"/>
      <c r="C161" s="17"/>
      <c r="D161" s="17"/>
      <c r="E161" s="17"/>
      <c r="F161" s="17"/>
      <c r="G161" s="13"/>
      <c r="H161" s="16"/>
      <c r="I161" s="12"/>
      <c r="J161" s="12"/>
      <c r="K161" s="12"/>
      <c r="L161" s="12"/>
      <c r="M161" s="2"/>
      <c r="N161"/>
      <c r="O161"/>
      <c r="P161"/>
      <c r="Q161"/>
      <c r="R161"/>
    </row>
    <row r="162" spans="1:18" s="48" customFormat="1" x14ac:dyDescent="0.2">
      <c r="A162" s="45"/>
      <c r="B162" s="10"/>
      <c r="C162" s="13"/>
      <c r="D162" s="10"/>
      <c r="E162" s="10"/>
      <c r="F162" s="13"/>
      <c r="G162" s="10"/>
      <c r="H162" s="10"/>
      <c r="I162" s="12"/>
      <c r="J162" s="12"/>
      <c r="K162" s="12"/>
      <c r="L162" s="12"/>
      <c r="M162"/>
      <c r="N162"/>
      <c r="O162"/>
      <c r="P162"/>
      <c r="Q162"/>
      <c r="R162"/>
    </row>
    <row r="163" spans="1:18" s="48" customFormat="1" x14ac:dyDescent="0.2">
      <c r="A163" s="45"/>
      <c r="B163" s="1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/>
      <c r="N163"/>
      <c r="O163"/>
      <c r="P163"/>
      <c r="Q163"/>
      <c r="R163"/>
    </row>
    <row r="164" spans="1:18" s="48" customFormat="1" ht="15" x14ac:dyDescent="0.25">
      <c r="A164" s="51"/>
      <c r="B164" s="14"/>
      <c r="C164" s="12"/>
      <c r="D164" s="17"/>
      <c r="E164" s="17"/>
      <c r="F164" s="12"/>
      <c r="G164" s="12"/>
      <c r="H164" s="12"/>
      <c r="I164" s="12"/>
      <c r="J164" s="12"/>
      <c r="K164" s="12"/>
      <c r="L164" s="12"/>
      <c r="M164"/>
      <c r="N164"/>
      <c r="O164"/>
      <c r="P164"/>
      <c r="Q164"/>
      <c r="R164"/>
    </row>
    <row r="165" spans="1:18" s="48" customFormat="1" x14ac:dyDescent="0.2">
      <c r="A165" s="45"/>
      <c r="B165" s="14"/>
      <c r="C165" s="12"/>
      <c r="D165" s="17"/>
      <c r="E165" s="17"/>
      <c r="F165" s="12"/>
      <c r="G165" s="10"/>
      <c r="H165" s="16"/>
      <c r="I165" s="12"/>
      <c r="J165" s="12"/>
      <c r="K165" s="12"/>
      <c r="L165" s="12"/>
      <c r="M165"/>
      <c r="N165"/>
      <c r="O165"/>
      <c r="P165"/>
      <c r="Q165"/>
      <c r="R165"/>
    </row>
    <row r="166" spans="1:18" s="48" customFormat="1" ht="15" x14ac:dyDescent="0.25">
      <c r="A166" s="51"/>
      <c r="B166" s="14"/>
      <c r="C166" s="12"/>
      <c r="D166" s="17"/>
      <c r="E166" s="17"/>
      <c r="F166" s="12"/>
      <c r="G166" s="10"/>
      <c r="H166" s="16"/>
      <c r="I166" s="12"/>
      <c r="J166" s="12"/>
      <c r="K166" s="12"/>
      <c r="L166" s="12"/>
      <c r="M166"/>
      <c r="N166"/>
      <c r="O166"/>
      <c r="P166"/>
      <c r="Q166"/>
      <c r="R166"/>
    </row>
    <row r="167" spans="1:18" s="48" customFormat="1" x14ac:dyDescent="0.2">
      <c r="A167" s="45"/>
      <c r="B167" s="14"/>
      <c r="C167" s="12"/>
      <c r="D167" s="17"/>
      <c r="E167" s="17"/>
      <c r="F167" s="12"/>
      <c r="G167" s="10"/>
      <c r="H167" s="16"/>
      <c r="I167" s="12"/>
      <c r="J167" s="12"/>
      <c r="K167" s="12"/>
      <c r="L167" s="12"/>
      <c r="M167"/>
      <c r="N167"/>
      <c r="O167"/>
      <c r="P167"/>
      <c r="Q167"/>
      <c r="R167"/>
    </row>
    <row r="168" spans="1:18" s="48" customFormat="1" ht="15" x14ac:dyDescent="0.25">
      <c r="A168" s="64"/>
      <c r="B168" s="114"/>
      <c r="C168" s="115"/>
      <c r="D168" s="116"/>
      <c r="E168" s="116"/>
      <c r="F168" s="115"/>
      <c r="G168" s="117"/>
      <c r="H168" s="118"/>
      <c r="I168" s="115"/>
      <c r="J168" s="115"/>
      <c r="K168" s="115"/>
      <c r="L168" s="115"/>
      <c r="M168"/>
      <c r="N168"/>
      <c r="O168"/>
      <c r="P168"/>
      <c r="Q168"/>
      <c r="R168"/>
    </row>
    <row r="169" spans="1:18" s="48" customFormat="1" ht="15" x14ac:dyDescent="0.25">
      <c r="A169" s="65"/>
      <c r="B169" s="61"/>
      <c r="C169" s="62"/>
      <c r="D169" s="62"/>
      <c r="E169" s="62"/>
      <c r="F169" s="40"/>
      <c r="G169" s="38"/>
      <c r="H169" s="63"/>
      <c r="I169" s="37"/>
      <c r="J169" s="37"/>
      <c r="K169" s="37"/>
      <c r="L169" s="37"/>
    </row>
    <row r="170" spans="1:18" s="48" customFormat="1" ht="15" x14ac:dyDescent="0.25">
      <c r="A170" s="51"/>
      <c r="B170" s="38"/>
      <c r="C170" s="41"/>
      <c r="D170" s="38"/>
      <c r="E170" s="38"/>
      <c r="F170" s="38"/>
      <c r="G170" s="38"/>
      <c r="H170" s="38"/>
      <c r="I170" s="37"/>
      <c r="J170" s="37"/>
      <c r="K170" s="37"/>
      <c r="L170" s="37"/>
    </row>
    <row r="171" spans="1:18" s="48" customFormat="1" x14ac:dyDescent="0.2">
      <c r="A171" s="45"/>
      <c r="B171" s="46"/>
      <c r="C171" s="40"/>
      <c r="D171" s="41"/>
      <c r="E171" s="41"/>
      <c r="F171" s="40"/>
      <c r="G171" s="41"/>
      <c r="H171" s="41"/>
      <c r="I171" s="37"/>
      <c r="J171" s="37"/>
      <c r="K171" s="37"/>
      <c r="L171" s="37"/>
    </row>
    <row r="172" spans="1:18" s="48" customFormat="1" x14ac:dyDescent="0.2">
      <c r="A172" s="45"/>
      <c r="B172" s="46"/>
      <c r="C172" s="40"/>
      <c r="D172" s="41"/>
      <c r="E172" s="41"/>
      <c r="F172" s="40"/>
      <c r="G172" s="41"/>
      <c r="H172" s="41"/>
      <c r="I172" s="37"/>
      <c r="J172" s="37"/>
      <c r="K172" s="37"/>
      <c r="L172" s="37"/>
    </row>
    <row r="173" spans="1:18" s="48" customFormat="1" x14ac:dyDescent="0.2">
      <c r="A173" s="45"/>
      <c r="B173" s="46"/>
      <c r="C173" s="40"/>
      <c r="D173" s="40"/>
      <c r="E173" s="40"/>
      <c r="F173" s="40"/>
      <c r="G173" s="41"/>
      <c r="H173" s="47"/>
      <c r="I173" s="37"/>
      <c r="J173" s="37"/>
      <c r="K173" s="37"/>
      <c r="L173" s="37"/>
    </row>
    <row r="174" spans="1:18" s="48" customFormat="1" x14ac:dyDescent="0.2">
      <c r="A174" s="45"/>
      <c r="B174" s="46"/>
      <c r="C174" s="40"/>
      <c r="D174" s="40"/>
      <c r="E174" s="40"/>
      <c r="F174" s="40"/>
      <c r="G174" s="41"/>
      <c r="H174" s="47"/>
      <c r="I174" s="37"/>
      <c r="J174" s="37"/>
      <c r="K174" s="37"/>
      <c r="L174" s="37"/>
    </row>
    <row r="175" spans="1:18" s="48" customFormat="1" ht="15" x14ac:dyDescent="0.25">
      <c r="A175" s="51"/>
      <c r="B175" s="46"/>
      <c r="C175" s="40"/>
      <c r="D175" s="40"/>
      <c r="E175" s="40"/>
      <c r="F175" s="40"/>
      <c r="G175" s="41"/>
      <c r="H175" s="47"/>
      <c r="I175" s="37"/>
      <c r="J175" s="37"/>
      <c r="K175" s="37"/>
      <c r="L175" s="37"/>
    </row>
    <row r="176" spans="1:18" s="56" customFormat="1" x14ac:dyDescent="0.2">
      <c r="A176" s="45"/>
      <c r="B176" s="38"/>
      <c r="C176" s="41"/>
      <c r="D176" s="38"/>
      <c r="E176" s="38"/>
      <c r="F176" s="38"/>
      <c r="G176" s="38"/>
      <c r="H176" s="38"/>
      <c r="I176" s="37"/>
      <c r="J176" s="37"/>
      <c r="K176" s="37"/>
      <c r="L176" s="37"/>
    </row>
    <row r="177" spans="1:23" s="56" customFormat="1" x14ac:dyDescent="0.2">
      <c r="A177" s="45"/>
      <c r="B177" s="46"/>
      <c r="C177" s="37"/>
      <c r="D177" s="37"/>
      <c r="E177" s="37"/>
      <c r="F177" s="37"/>
      <c r="G177" s="37"/>
      <c r="H177" s="37"/>
      <c r="I177" s="37"/>
      <c r="J177" s="66"/>
      <c r="K177" s="66"/>
      <c r="L177" s="37"/>
      <c r="P177" s="67"/>
      <c r="Q177" s="68"/>
      <c r="R177" s="69"/>
      <c r="S177" s="69"/>
      <c r="T177" s="68"/>
      <c r="U177" s="69"/>
      <c r="V177" s="69"/>
      <c r="W177" s="70"/>
    </row>
    <row r="178" spans="1:23" s="56" customFormat="1" x14ac:dyDescent="0.2">
      <c r="A178" s="45"/>
      <c r="B178" s="46"/>
      <c r="C178" s="37"/>
      <c r="D178" s="40"/>
      <c r="E178" s="40"/>
      <c r="F178" s="37"/>
      <c r="G178" s="37"/>
      <c r="H178" s="37"/>
      <c r="I178" s="37"/>
      <c r="J178" s="66"/>
      <c r="K178" s="66"/>
      <c r="L178" s="37"/>
      <c r="P178" s="67"/>
      <c r="Q178" s="68"/>
      <c r="R178" s="69"/>
      <c r="S178" s="69"/>
      <c r="T178" s="68"/>
      <c r="U178" s="69"/>
      <c r="V178" s="72"/>
      <c r="W178" s="70"/>
    </row>
    <row r="179" spans="1:23" s="56" customFormat="1" x14ac:dyDescent="0.2">
      <c r="A179" s="65"/>
      <c r="B179" s="46"/>
      <c r="C179" s="37"/>
      <c r="D179" s="40"/>
      <c r="E179" s="40"/>
      <c r="F179" s="37"/>
      <c r="G179" s="37"/>
      <c r="H179" s="47"/>
      <c r="I179" s="37"/>
      <c r="J179" s="66"/>
      <c r="K179" s="66"/>
      <c r="L179" s="37"/>
    </row>
    <row r="180" spans="1:23" s="56" customFormat="1" x14ac:dyDescent="0.2">
      <c r="A180" s="65"/>
      <c r="B180" s="46"/>
      <c r="C180" s="37"/>
      <c r="D180" s="40"/>
      <c r="E180" s="40"/>
      <c r="F180" s="37"/>
      <c r="G180" s="37"/>
      <c r="H180" s="47"/>
      <c r="I180" s="37"/>
      <c r="J180" s="66"/>
      <c r="K180" s="66"/>
      <c r="L180" s="37"/>
    </row>
    <row r="181" spans="1:23" s="48" customFormat="1" x14ac:dyDescent="0.2">
      <c r="A181" s="71"/>
      <c r="B181" s="46"/>
      <c r="C181" s="37"/>
      <c r="D181" s="40"/>
      <c r="E181" s="40"/>
      <c r="F181" s="37"/>
      <c r="G181" s="37"/>
      <c r="H181" s="47"/>
      <c r="I181" s="37"/>
      <c r="J181" s="66"/>
      <c r="K181" s="66"/>
      <c r="L181" s="37"/>
    </row>
    <row r="182" spans="1:23" s="56" customFormat="1" x14ac:dyDescent="0.2">
      <c r="A182" s="65"/>
      <c r="B182" s="46"/>
      <c r="C182" s="37"/>
      <c r="D182" s="40"/>
      <c r="E182" s="40"/>
      <c r="F182" s="37"/>
      <c r="G182" s="37"/>
      <c r="H182" s="47"/>
      <c r="I182" s="37"/>
      <c r="J182" s="66"/>
      <c r="K182" s="66"/>
      <c r="L182" s="37"/>
    </row>
    <row r="183" spans="1:23" s="48" customFormat="1" ht="15" x14ac:dyDescent="0.25">
      <c r="A183" s="51"/>
      <c r="B183" s="38"/>
      <c r="C183" s="49"/>
      <c r="D183" s="38"/>
      <c r="E183" s="38"/>
      <c r="F183" s="38"/>
      <c r="G183" s="38"/>
      <c r="H183" s="38"/>
      <c r="I183" s="37"/>
      <c r="J183" s="37"/>
      <c r="K183" s="37"/>
      <c r="L183" s="37"/>
    </row>
    <row r="184" spans="1:23" s="48" customFormat="1" ht="15" x14ac:dyDescent="0.25">
      <c r="A184" s="65"/>
      <c r="B184" s="38"/>
      <c r="C184" s="49"/>
      <c r="D184" s="38"/>
      <c r="E184" s="38"/>
      <c r="F184" s="38"/>
      <c r="G184" s="38"/>
      <c r="H184" s="38"/>
      <c r="I184" s="37"/>
      <c r="J184" s="37"/>
      <c r="K184" s="37"/>
      <c r="L184" s="37"/>
    </row>
    <row r="185" spans="1:23" s="48" customFormat="1" ht="15" x14ac:dyDescent="0.25">
      <c r="A185" s="65"/>
      <c r="B185" s="38"/>
      <c r="C185" s="49"/>
      <c r="D185" s="38"/>
      <c r="E185" s="38"/>
      <c r="F185" s="38"/>
      <c r="G185" s="38"/>
      <c r="H185" s="38"/>
      <c r="I185" s="37"/>
      <c r="J185" s="37"/>
      <c r="K185" s="37"/>
      <c r="L185" s="37"/>
    </row>
    <row r="186" spans="1:23" s="56" customFormat="1" x14ac:dyDescent="0.2">
      <c r="A186" s="45"/>
      <c r="B186" s="38"/>
      <c r="C186" s="41"/>
      <c r="D186" s="38"/>
      <c r="E186" s="38"/>
      <c r="F186" s="38"/>
      <c r="G186" s="38"/>
      <c r="H186" s="38"/>
      <c r="I186" s="37"/>
      <c r="J186" s="37"/>
      <c r="K186" s="37"/>
      <c r="L186" s="37"/>
    </row>
    <row r="187" spans="1:23" s="56" customFormat="1" ht="15" x14ac:dyDescent="0.25">
      <c r="A187" s="50"/>
      <c r="B187" s="46"/>
      <c r="C187" s="74"/>
      <c r="D187" s="40"/>
      <c r="E187" s="40"/>
      <c r="F187" s="41"/>
      <c r="G187" s="37"/>
      <c r="H187" s="37"/>
      <c r="I187" s="75"/>
      <c r="J187" s="37"/>
      <c r="K187" s="37"/>
      <c r="L187" s="37"/>
    </row>
    <row r="188" spans="1:23" s="56" customFormat="1" ht="15" x14ac:dyDescent="0.25">
      <c r="A188" s="50"/>
      <c r="B188" s="46"/>
      <c r="C188" s="40"/>
      <c r="D188" s="76"/>
      <c r="E188" s="76"/>
      <c r="F188" s="41"/>
      <c r="G188" s="77"/>
      <c r="H188" s="77"/>
      <c r="I188" s="37"/>
      <c r="J188" s="37"/>
      <c r="K188" s="37"/>
      <c r="L188" s="37"/>
    </row>
    <row r="189" spans="1:23" s="56" customFormat="1" x14ac:dyDescent="0.2">
      <c r="A189" s="52"/>
      <c r="B189" s="46"/>
      <c r="C189" s="40"/>
      <c r="D189" s="76"/>
      <c r="E189" s="76"/>
      <c r="F189" s="41"/>
      <c r="G189" s="77"/>
      <c r="H189" s="47"/>
      <c r="I189" s="37"/>
      <c r="J189" s="37"/>
      <c r="K189" s="37"/>
      <c r="L189" s="37"/>
    </row>
    <row r="190" spans="1:23" s="80" customFormat="1" x14ac:dyDescent="0.2">
      <c r="A190" s="73"/>
      <c r="B190" s="46"/>
      <c r="C190" s="40"/>
      <c r="D190" s="76"/>
      <c r="E190" s="76"/>
      <c r="F190" s="40"/>
      <c r="G190" s="77"/>
      <c r="H190" s="47"/>
      <c r="I190" s="37"/>
      <c r="J190" s="78"/>
      <c r="K190" s="78"/>
      <c r="L190" s="78"/>
      <c r="M190" s="56"/>
      <c r="N190" s="56"/>
    </row>
    <row r="191" spans="1:23" s="48" customFormat="1" ht="15" x14ac:dyDescent="0.25">
      <c r="A191" s="51"/>
      <c r="B191" s="38"/>
      <c r="C191" s="41"/>
      <c r="D191" s="38"/>
      <c r="E191" s="38"/>
      <c r="F191" s="38"/>
      <c r="G191" s="38"/>
      <c r="H191" s="38"/>
      <c r="I191" s="37"/>
      <c r="J191" s="37"/>
      <c r="K191" s="37"/>
      <c r="L191" s="37"/>
      <c r="M191" s="80"/>
      <c r="N191" s="80"/>
    </row>
    <row r="192" spans="1:23" s="48" customFormat="1" x14ac:dyDescent="0.2">
      <c r="A192" s="53"/>
      <c r="B192" s="46"/>
      <c r="C192" s="37"/>
      <c r="D192" s="37"/>
      <c r="E192" s="37"/>
      <c r="F192" s="37"/>
      <c r="G192" s="37"/>
      <c r="H192" s="37"/>
      <c r="I192" s="37"/>
      <c r="J192" s="37"/>
      <c r="K192" s="37"/>
      <c r="L192" s="37"/>
    </row>
    <row r="193" spans="1:12" s="48" customFormat="1" x14ac:dyDescent="0.2">
      <c r="A193" s="45"/>
      <c r="B193" s="46"/>
      <c r="C193" s="37"/>
      <c r="D193" s="37"/>
      <c r="E193" s="37"/>
      <c r="F193" s="37"/>
      <c r="G193" s="37"/>
      <c r="H193" s="37"/>
      <c r="I193" s="37"/>
      <c r="J193" s="37"/>
      <c r="K193" s="37"/>
      <c r="L193" s="37"/>
    </row>
    <row r="194" spans="1:12" s="48" customFormat="1" x14ac:dyDescent="0.2">
      <c r="A194" s="52"/>
      <c r="B194" s="46"/>
      <c r="C194" s="37"/>
      <c r="D194" s="37"/>
      <c r="E194" s="37"/>
      <c r="F194" s="37"/>
      <c r="G194" s="37"/>
      <c r="H194" s="47"/>
      <c r="I194" s="37"/>
      <c r="J194" s="37"/>
      <c r="K194" s="37"/>
      <c r="L194" s="37"/>
    </row>
    <row r="195" spans="1:12" s="48" customFormat="1" x14ac:dyDescent="0.2">
      <c r="A195" s="81"/>
      <c r="B195" s="46"/>
      <c r="C195" s="37"/>
      <c r="D195" s="76"/>
      <c r="E195" s="76"/>
      <c r="F195" s="37"/>
      <c r="G195" s="47"/>
      <c r="H195" s="38"/>
      <c r="I195" s="37"/>
      <c r="J195" s="37"/>
      <c r="K195" s="37"/>
      <c r="L195" s="37"/>
    </row>
    <row r="196" spans="1:12" s="48" customFormat="1" x14ac:dyDescent="0.2">
      <c r="A196" s="59"/>
      <c r="B196" s="46"/>
      <c r="C196" s="37"/>
      <c r="D196" s="76"/>
      <c r="E196" s="76"/>
      <c r="F196" s="37"/>
      <c r="G196" s="47"/>
      <c r="H196" s="38"/>
      <c r="I196" s="37"/>
      <c r="J196" s="37"/>
      <c r="K196" s="37"/>
      <c r="L196" s="37"/>
    </row>
    <row r="197" spans="1:12" s="56" customFormat="1" x14ac:dyDescent="0.2">
      <c r="A197" s="45"/>
      <c r="B197" s="38"/>
      <c r="C197" s="41"/>
      <c r="D197" s="38"/>
      <c r="E197" s="38"/>
      <c r="F197" s="38"/>
      <c r="G197" s="38"/>
      <c r="H197" s="38"/>
      <c r="I197" s="37"/>
      <c r="J197" s="37"/>
      <c r="K197" s="37"/>
      <c r="L197" s="37"/>
    </row>
    <row r="198" spans="1:12" s="56" customFormat="1" ht="15" x14ac:dyDescent="0.25">
      <c r="A198" s="51"/>
      <c r="B198" s="46"/>
      <c r="C198" s="37"/>
      <c r="D198" s="37"/>
      <c r="E198" s="37"/>
      <c r="F198" s="37"/>
      <c r="G198" s="37"/>
      <c r="H198" s="37"/>
      <c r="I198" s="37"/>
      <c r="J198" s="37"/>
      <c r="K198" s="37"/>
      <c r="L198" s="37"/>
    </row>
    <row r="199" spans="1:12" s="56" customFormat="1" x14ac:dyDescent="0.2">
      <c r="A199" s="45"/>
      <c r="B199" s="46"/>
      <c r="C199" s="37"/>
      <c r="D199" s="37"/>
      <c r="E199" s="37"/>
      <c r="F199" s="37"/>
      <c r="G199" s="39"/>
      <c r="H199" s="39"/>
      <c r="I199" s="37"/>
      <c r="J199" s="37"/>
      <c r="K199" s="37"/>
      <c r="L199" s="37"/>
    </row>
    <row r="200" spans="1:12" s="56" customFormat="1" x14ac:dyDescent="0.2">
      <c r="A200" s="55"/>
      <c r="B200" s="46"/>
      <c r="C200" s="37"/>
      <c r="D200" s="76"/>
      <c r="E200" s="76"/>
      <c r="F200" s="37"/>
      <c r="G200" s="39"/>
      <c r="H200" s="47"/>
      <c r="I200" s="37"/>
      <c r="J200" s="37"/>
      <c r="K200" s="37"/>
      <c r="L200" s="37"/>
    </row>
    <row r="201" spans="1:12" s="56" customFormat="1" x14ac:dyDescent="0.2">
      <c r="A201" s="81"/>
      <c r="B201" s="46"/>
      <c r="C201" s="37"/>
      <c r="D201" s="76"/>
      <c r="E201" s="76"/>
      <c r="F201" s="37"/>
      <c r="G201" s="39"/>
      <c r="H201" s="47"/>
      <c r="I201" s="37"/>
      <c r="J201" s="37"/>
      <c r="K201" s="37"/>
      <c r="L201" s="37"/>
    </row>
    <row r="202" spans="1:12" s="56" customFormat="1" x14ac:dyDescent="0.2">
      <c r="A202" s="71"/>
      <c r="B202" s="46"/>
      <c r="C202" s="37"/>
      <c r="D202" s="76"/>
      <c r="E202" s="76"/>
      <c r="F202" s="37"/>
      <c r="G202" s="39"/>
      <c r="H202" s="47"/>
      <c r="J202" s="37"/>
      <c r="K202" s="37"/>
      <c r="L202" s="78"/>
    </row>
    <row r="203" spans="1:12" s="56" customFormat="1" x14ac:dyDescent="0.2">
      <c r="A203" s="45"/>
      <c r="B203" s="46"/>
      <c r="C203" s="37"/>
      <c r="D203" s="76"/>
      <c r="E203" s="76"/>
      <c r="F203" s="37"/>
      <c r="G203" s="39"/>
      <c r="H203" s="47"/>
      <c r="I203" s="37"/>
      <c r="J203" s="37"/>
      <c r="K203" s="37"/>
      <c r="L203" s="37"/>
    </row>
    <row r="204" spans="1:12" s="56" customFormat="1" x14ac:dyDescent="0.2">
      <c r="A204" s="45"/>
      <c r="B204" s="46"/>
      <c r="C204" s="37"/>
      <c r="D204" s="76"/>
      <c r="E204" s="76"/>
      <c r="F204" s="37"/>
      <c r="G204" s="39"/>
      <c r="H204" s="47"/>
      <c r="I204" s="37"/>
      <c r="J204" s="37"/>
      <c r="K204" s="37"/>
      <c r="L204" s="37"/>
    </row>
    <row r="205" spans="1:12" s="56" customFormat="1" ht="15" x14ac:dyDescent="0.25">
      <c r="A205" s="51"/>
      <c r="B205" s="46"/>
      <c r="C205" s="37"/>
      <c r="D205" s="76"/>
      <c r="E205" s="76"/>
      <c r="F205" s="37"/>
      <c r="G205" s="39"/>
      <c r="H205" s="47"/>
      <c r="I205" s="37"/>
      <c r="J205" s="37"/>
      <c r="K205" s="37"/>
      <c r="L205" s="37"/>
    </row>
    <row r="206" spans="1:12" s="56" customFormat="1" x14ac:dyDescent="0.2">
      <c r="A206" s="45"/>
      <c r="B206" s="46"/>
      <c r="C206" s="40"/>
      <c r="D206" s="76"/>
      <c r="E206" s="76"/>
      <c r="F206" s="37"/>
      <c r="G206" s="39"/>
      <c r="H206" s="47"/>
      <c r="I206" s="37"/>
      <c r="J206" s="37"/>
      <c r="K206" s="37"/>
      <c r="L206" s="37"/>
    </row>
    <row r="207" spans="1:12" s="56" customFormat="1" ht="15" x14ac:dyDescent="0.25">
      <c r="A207" s="45"/>
      <c r="B207" s="44"/>
      <c r="C207" s="49"/>
      <c r="D207" s="44"/>
      <c r="E207" s="44"/>
      <c r="F207" s="44"/>
      <c r="G207" s="44"/>
      <c r="H207" s="44"/>
      <c r="I207" s="43"/>
      <c r="J207" s="43"/>
      <c r="K207" s="43"/>
      <c r="L207" s="43"/>
    </row>
    <row r="208" spans="1:12" s="56" customFormat="1" ht="15" x14ac:dyDescent="0.25">
      <c r="A208" s="45"/>
      <c r="B208" s="61"/>
      <c r="C208" s="43"/>
      <c r="D208" s="84"/>
      <c r="E208" s="84"/>
      <c r="F208" s="43"/>
      <c r="G208" s="43"/>
      <c r="H208" s="43"/>
      <c r="I208" s="43"/>
      <c r="J208" s="43"/>
      <c r="K208" s="43"/>
      <c r="L208" s="43"/>
    </row>
    <row r="209" spans="1:12" s="56" customFormat="1" ht="15" x14ac:dyDescent="0.25">
      <c r="B209" s="61"/>
      <c r="C209" s="43"/>
      <c r="D209" s="43"/>
      <c r="E209" s="43"/>
      <c r="F209" s="43"/>
      <c r="G209" s="84"/>
      <c r="H209" s="84"/>
      <c r="I209" s="43"/>
      <c r="J209" s="43"/>
      <c r="K209" s="43"/>
      <c r="L209" s="43"/>
    </row>
    <row r="210" spans="1:12" s="56" customFormat="1" ht="15" x14ac:dyDescent="0.25">
      <c r="A210" s="82"/>
      <c r="B210" s="61"/>
      <c r="C210" s="43"/>
      <c r="D210" s="86"/>
      <c r="E210" s="86"/>
      <c r="F210" s="43"/>
      <c r="G210" s="87"/>
      <c r="H210" s="63"/>
      <c r="I210" s="43"/>
      <c r="J210" s="43"/>
      <c r="K210" s="43"/>
      <c r="L210" s="43"/>
    </row>
    <row r="211" spans="1:12" s="56" customFormat="1" ht="15" x14ac:dyDescent="0.25">
      <c r="A211" s="83"/>
      <c r="B211" s="61"/>
      <c r="C211" s="43"/>
      <c r="D211" s="86"/>
      <c r="E211" s="86"/>
      <c r="F211" s="43"/>
      <c r="G211" s="87"/>
      <c r="H211" s="63"/>
      <c r="J211" s="43"/>
      <c r="K211" s="43"/>
      <c r="L211" s="78"/>
    </row>
    <row r="212" spans="1:12" s="56" customFormat="1" ht="15" x14ac:dyDescent="0.25">
      <c r="A212" s="85"/>
      <c r="B212" s="61"/>
      <c r="C212" s="43"/>
      <c r="D212" s="86"/>
      <c r="E212" s="86"/>
      <c r="F212" s="43"/>
      <c r="G212" s="87"/>
      <c r="H212" s="63"/>
      <c r="I212" s="43"/>
      <c r="J212" s="43"/>
      <c r="K212" s="43"/>
      <c r="L212" s="43"/>
    </row>
    <row r="213" spans="1:12" s="56" customFormat="1" ht="15" x14ac:dyDescent="0.25">
      <c r="A213" s="51"/>
      <c r="B213" s="61"/>
      <c r="C213" s="43"/>
      <c r="D213" s="86"/>
      <c r="E213" s="86"/>
      <c r="F213" s="43"/>
      <c r="G213" s="87"/>
      <c r="H213" s="63"/>
      <c r="I213" s="43"/>
      <c r="J213" s="43"/>
      <c r="K213" s="43"/>
      <c r="L213" s="43"/>
    </row>
    <row r="214" spans="1:12" s="56" customFormat="1" ht="15" x14ac:dyDescent="0.25">
      <c r="A214" s="51"/>
      <c r="B214" s="61"/>
      <c r="C214" s="43"/>
      <c r="D214" s="86"/>
      <c r="E214" s="86"/>
      <c r="F214" s="43"/>
      <c r="G214" s="87"/>
      <c r="H214" s="63"/>
      <c r="I214" s="43"/>
      <c r="J214" s="43"/>
      <c r="K214" s="43"/>
      <c r="L214" s="43"/>
    </row>
    <row r="215" spans="1:12" s="56" customFormat="1" ht="15" x14ac:dyDescent="0.25">
      <c r="A215" s="51"/>
      <c r="B215" s="61"/>
      <c r="C215" s="43"/>
      <c r="D215" s="76"/>
      <c r="E215" s="76"/>
      <c r="F215" s="43"/>
      <c r="G215" s="87"/>
      <c r="H215" s="63"/>
      <c r="I215" s="43"/>
      <c r="J215" s="37"/>
      <c r="K215" s="37"/>
      <c r="L215" s="37"/>
    </row>
    <row r="216" spans="1:12" s="48" customFormat="1" ht="15" x14ac:dyDescent="0.25">
      <c r="A216" s="51"/>
      <c r="B216" s="61"/>
      <c r="C216" s="43"/>
      <c r="D216" s="76"/>
      <c r="E216" s="76"/>
      <c r="F216" s="43"/>
      <c r="G216" s="42"/>
      <c r="H216" s="47"/>
      <c r="I216" s="43"/>
      <c r="J216" s="37"/>
      <c r="K216" s="37"/>
      <c r="L216" s="37"/>
    </row>
    <row r="217" spans="1:12" s="48" customFormat="1" ht="15" x14ac:dyDescent="0.25">
      <c r="A217" s="51"/>
      <c r="B217" s="38"/>
      <c r="C217" s="41"/>
      <c r="D217" s="38"/>
      <c r="E217" s="38"/>
      <c r="F217" s="38"/>
      <c r="G217" s="38"/>
      <c r="H217" s="38"/>
      <c r="I217" s="37"/>
      <c r="J217" s="37"/>
      <c r="K217" s="37"/>
      <c r="L217" s="37"/>
    </row>
    <row r="218" spans="1:12" s="48" customFormat="1" ht="15" x14ac:dyDescent="0.25">
      <c r="A218" s="51"/>
      <c r="B218" s="46"/>
      <c r="C218" s="37"/>
      <c r="D218" s="39"/>
      <c r="E218" s="39"/>
      <c r="F218" s="37"/>
      <c r="G218" s="37"/>
      <c r="H218" s="37"/>
      <c r="I218" s="37"/>
      <c r="J218" s="37"/>
      <c r="K218" s="37"/>
      <c r="L218" s="37"/>
    </row>
    <row r="219" spans="1:12" s="48" customFormat="1" x14ac:dyDescent="0.2">
      <c r="A219" s="45"/>
      <c r="B219" s="46"/>
      <c r="C219" s="37"/>
      <c r="D219" s="37"/>
      <c r="E219" s="37"/>
      <c r="F219" s="37"/>
      <c r="G219" s="39"/>
      <c r="H219" s="39"/>
      <c r="I219" s="37"/>
      <c r="J219" s="37"/>
      <c r="K219" s="37"/>
      <c r="L219" s="37"/>
    </row>
    <row r="220" spans="1:12" s="48" customFormat="1" x14ac:dyDescent="0.2">
      <c r="A220" s="58"/>
      <c r="B220" s="46"/>
      <c r="C220" s="37"/>
      <c r="D220" s="76"/>
      <c r="E220" s="76"/>
      <c r="F220" s="37"/>
      <c r="G220" s="39"/>
      <c r="H220" s="47"/>
      <c r="I220" s="37"/>
      <c r="J220" s="37"/>
      <c r="K220" s="37"/>
      <c r="L220" s="37"/>
    </row>
    <row r="221" spans="1:12" s="48" customFormat="1" x14ac:dyDescent="0.2">
      <c r="A221" s="88"/>
      <c r="B221" s="46"/>
      <c r="C221" s="37"/>
      <c r="D221" s="76"/>
      <c r="E221" s="76"/>
      <c r="F221" s="37"/>
      <c r="G221" s="39"/>
      <c r="H221" s="47"/>
      <c r="I221" s="37"/>
      <c r="J221" s="37"/>
      <c r="K221" s="37"/>
      <c r="L221" s="37"/>
    </row>
    <row r="222" spans="1:12" s="48" customFormat="1" x14ac:dyDescent="0.2">
      <c r="A222" s="71"/>
      <c r="B222" s="46"/>
      <c r="C222" s="37"/>
      <c r="D222" s="76"/>
      <c r="E222" s="76"/>
      <c r="F222" s="37"/>
      <c r="G222" s="39"/>
      <c r="H222" s="47"/>
      <c r="I222" s="37"/>
      <c r="J222" s="37"/>
      <c r="K222" s="37"/>
      <c r="L222" s="37"/>
    </row>
    <row r="223" spans="1:12" s="48" customFormat="1" x14ac:dyDescent="0.2">
      <c r="A223" s="45"/>
      <c r="B223" s="46"/>
      <c r="C223" s="37"/>
      <c r="D223" s="76"/>
      <c r="E223" s="76"/>
      <c r="F223" s="37"/>
      <c r="G223" s="39"/>
      <c r="H223" s="47"/>
      <c r="I223" s="37"/>
      <c r="J223" s="37"/>
      <c r="K223" s="37"/>
      <c r="L223" s="37"/>
    </row>
    <row r="224" spans="1:12" s="48" customFormat="1" x14ac:dyDescent="0.2">
      <c r="A224" s="45"/>
      <c r="B224" s="46"/>
      <c r="C224" s="37"/>
      <c r="D224" s="76"/>
      <c r="E224" s="76"/>
      <c r="F224" s="37"/>
      <c r="G224" s="39"/>
      <c r="H224" s="47"/>
      <c r="I224" s="37"/>
      <c r="J224" s="37"/>
      <c r="K224" s="37"/>
      <c r="L224" s="37"/>
    </row>
    <row r="225" spans="1:12" s="48" customFormat="1" ht="15" x14ac:dyDescent="0.25">
      <c r="A225" s="51"/>
      <c r="B225" s="46"/>
      <c r="C225" s="37"/>
      <c r="D225" s="76"/>
      <c r="E225" s="76"/>
      <c r="F225" s="37"/>
      <c r="G225" s="42"/>
      <c r="H225" s="47"/>
      <c r="I225" s="37"/>
      <c r="J225" s="37"/>
      <c r="K225" s="37"/>
      <c r="L225" s="37"/>
    </row>
    <row r="226" spans="1:12" s="48" customFormat="1" x14ac:dyDescent="0.2">
      <c r="A226" s="45"/>
      <c r="B226" s="38"/>
      <c r="C226" s="41"/>
      <c r="D226" s="38"/>
      <c r="E226" s="38"/>
      <c r="F226" s="38"/>
      <c r="G226" s="38"/>
      <c r="H226" s="38"/>
      <c r="I226" s="37"/>
      <c r="J226" s="37"/>
      <c r="K226" s="37"/>
      <c r="L226" s="37"/>
    </row>
    <row r="227" spans="1:12" s="48" customFormat="1" x14ac:dyDescent="0.2">
      <c r="A227" s="45"/>
      <c r="B227" s="46"/>
      <c r="C227" s="41"/>
      <c r="D227" s="41"/>
      <c r="E227" s="41"/>
      <c r="F227" s="41"/>
      <c r="G227" s="41"/>
      <c r="H227" s="41"/>
      <c r="I227" s="37"/>
      <c r="J227" s="37"/>
      <c r="K227" s="37"/>
      <c r="L227" s="37"/>
    </row>
    <row r="228" spans="1:12" s="48" customFormat="1" x14ac:dyDescent="0.2">
      <c r="A228" s="45"/>
      <c r="B228" s="46"/>
      <c r="C228" s="41"/>
      <c r="D228" s="37"/>
      <c r="E228" s="37"/>
      <c r="F228" s="41"/>
      <c r="G228" s="39"/>
      <c r="H228" s="39"/>
      <c r="I228" s="37"/>
      <c r="J228" s="37"/>
      <c r="K228" s="37"/>
      <c r="L228" s="37"/>
    </row>
    <row r="229" spans="1:12" s="48" customFormat="1" x14ac:dyDescent="0.2">
      <c r="A229" s="58"/>
      <c r="B229" s="46"/>
      <c r="C229" s="41"/>
      <c r="D229" s="76"/>
      <c r="E229" s="76"/>
      <c r="F229" s="41"/>
      <c r="G229" s="39"/>
      <c r="H229" s="47"/>
      <c r="I229" s="37"/>
      <c r="J229" s="37"/>
      <c r="K229" s="37"/>
      <c r="L229" s="37"/>
    </row>
    <row r="230" spans="1:12" s="48" customFormat="1" x14ac:dyDescent="0.2">
      <c r="A230" s="88"/>
      <c r="B230" s="46"/>
      <c r="C230" s="37"/>
      <c r="D230" s="76"/>
      <c r="E230" s="76"/>
      <c r="F230" s="37"/>
      <c r="G230" s="39"/>
      <c r="H230" s="47"/>
      <c r="I230" s="37"/>
      <c r="J230" s="37"/>
      <c r="K230" s="37"/>
      <c r="L230" s="37"/>
    </row>
    <row r="231" spans="1:12" s="48" customFormat="1" x14ac:dyDescent="0.2">
      <c r="A231" s="45"/>
      <c r="B231" s="46"/>
      <c r="C231" s="37"/>
      <c r="D231" s="76"/>
      <c r="E231" s="76"/>
      <c r="F231" s="37"/>
      <c r="G231" s="39"/>
      <c r="H231" s="47"/>
      <c r="I231" s="37"/>
      <c r="J231" s="37"/>
      <c r="K231" s="37"/>
      <c r="L231" s="37"/>
    </row>
    <row r="232" spans="1:12" s="48" customFormat="1" x14ac:dyDescent="0.2">
      <c r="A232" s="45"/>
      <c r="B232" s="46"/>
      <c r="C232" s="39"/>
      <c r="D232" s="76"/>
      <c r="E232" s="76"/>
      <c r="F232" s="41"/>
      <c r="G232" s="42"/>
      <c r="H232" s="47"/>
      <c r="I232" s="37"/>
      <c r="J232" s="37"/>
      <c r="K232" s="37"/>
      <c r="L232" s="37"/>
    </row>
    <row r="233" spans="1:12" s="48" customFormat="1" ht="15" x14ac:dyDescent="0.25">
      <c r="A233" s="51"/>
      <c r="B233" s="38"/>
      <c r="C233" s="41"/>
      <c r="D233" s="38"/>
      <c r="E233" s="38"/>
      <c r="F233" s="38"/>
      <c r="G233" s="38"/>
      <c r="H233" s="38"/>
      <c r="I233" s="37"/>
      <c r="J233" s="37"/>
      <c r="K233" s="37"/>
      <c r="L233" s="37"/>
    </row>
    <row r="234" spans="1:12" s="48" customFormat="1" x14ac:dyDescent="0.2">
      <c r="A234" s="45"/>
      <c r="B234" s="46"/>
      <c r="C234" s="37"/>
      <c r="D234" s="37"/>
      <c r="E234" s="37"/>
      <c r="F234" s="37"/>
      <c r="G234" s="37"/>
      <c r="H234" s="37"/>
      <c r="I234" s="37"/>
      <c r="J234" s="37"/>
      <c r="K234" s="37"/>
      <c r="L234" s="37"/>
    </row>
    <row r="235" spans="1:12" s="48" customFormat="1" x14ac:dyDescent="0.2">
      <c r="A235" s="45"/>
      <c r="B235" s="46"/>
      <c r="C235" s="37"/>
      <c r="D235" s="37"/>
      <c r="E235" s="37"/>
      <c r="F235" s="37"/>
      <c r="G235" s="39"/>
      <c r="H235" s="39"/>
      <c r="I235" s="37"/>
      <c r="J235" s="37"/>
      <c r="K235" s="37"/>
      <c r="L235" s="37"/>
    </row>
    <row r="236" spans="1:12" s="48" customFormat="1" x14ac:dyDescent="0.2">
      <c r="A236" s="58"/>
      <c r="B236" s="46"/>
      <c r="C236" s="37"/>
      <c r="D236" s="76"/>
      <c r="E236" s="76"/>
      <c r="F236" s="37"/>
      <c r="G236" s="39"/>
      <c r="H236" s="47"/>
      <c r="I236" s="37"/>
      <c r="J236" s="37"/>
      <c r="K236" s="37"/>
      <c r="L236" s="37"/>
    </row>
    <row r="237" spans="1:12" s="48" customFormat="1" x14ac:dyDescent="0.2">
      <c r="A237" s="88"/>
      <c r="B237" s="46"/>
      <c r="C237" s="39"/>
      <c r="D237" s="76"/>
      <c r="E237" s="76"/>
      <c r="F237" s="37"/>
      <c r="G237" s="42"/>
      <c r="H237" s="47"/>
      <c r="I237" s="37"/>
      <c r="J237" s="37"/>
      <c r="K237" s="37"/>
      <c r="L237" s="37"/>
    </row>
    <row r="238" spans="1:12" x14ac:dyDescent="0.2">
      <c r="A238" s="45"/>
    </row>
    <row r="239" spans="1:12" ht="15" x14ac:dyDescent="0.25">
      <c r="A239" s="51"/>
      <c r="B239" s="14"/>
      <c r="C239" s="12"/>
      <c r="D239" s="12"/>
      <c r="E239" s="12"/>
      <c r="F239" s="26"/>
      <c r="G239" s="12"/>
      <c r="H239" s="12"/>
    </row>
    <row r="240" spans="1:12" x14ac:dyDescent="0.2">
      <c r="A240" s="45"/>
      <c r="B240" s="14"/>
      <c r="C240" s="12"/>
      <c r="D240" s="12"/>
      <c r="E240" s="12"/>
      <c r="F240" s="26"/>
      <c r="G240" s="12"/>
      <c r="H240" s="12"/>
    </row>
    <row r="241" spans="1:12" x14ac:dyDescent="0.2">
      <c r="B241" s="14"/>
      <c r="C241" s="12"/>
      <c r="D241" s="21"/>
      <c r="E241" s="21"/>
      <c r="F241" s="26"/>
      <c r="H241" s="16"/>
    </row>
    <row r="242" spans="1:12" x14ac:dyDescent="0.2">
      <c r="B242" s="14"/>
      <c r="C242" s="12"/>
      <c r="D242" s="21"/>
      <c r="E242" s="21"/>
      <c r="F242" s="26"/>
      <c r="H242" s="16"/>
    </row>
    <row r="243" spans="1:12" x14ac:dyDescent="0.2">
      <c r="B243" s="14"/>
      <c r="C243" s="12"/>
      <c r="D243" s="21"/>
      <c r="E243" s="21"/>
      <c r="F243" s="26"/>
      <c r="H243" s="16"/>
    </row>
    <row r="244" spans="1:12" x14ac:dyDescent="0.2">
      <c r="A244" s="6"/>
      <c r="B244" s="14"/>
      <c r="C244" s="20"/>
      <c r="D244" s="21"/>
      <c r="E244" s="21"/>
      <c r="F244" s="26"/>
      <c r="H244" s="16"/>
    </row>
    <row r="245" spans="1:12" s="1" customFormat="1" x14ac:dyDescent="0.2">
      <c r="A245" s="4"/>
      <c r="B245" s="10"/>
      <c r="C245" s="13"/>
      <c r="D245" s="10"/>
      <c r="E245" s="10"/>
      <c r="F245" s="22"/>
      <c r="G245" s="10"/>
      <c r="H245" s="10"/>
      <c r="I245" s="12"/>
      <c r="J245" s="12"/>
      <c r="K245" s="12"/>
      <c r="L245" s="12"/>
    </row>
    <row r="246" spans="1:12" s="1" customFormat="1" x14ac:dyDescent="0.2">
      <c r="A246" s="4"/>
      <c r="B246" s="14"/>
      <c r="C246" s="12"/>
      <c r="D246" s="12"/>
      <c r="E246" s="12"/>
      <c r="F246" s="26"/>
      <c r="G246" s="12"/>
      <c r="H246" s="12"/>
      <c r="I246" s="12"/>
      <c r="J246" s="12"/>
      <c r="K246" s="12"/>
      <c r="L246" s="12"/>
    </row>
    <row r="247" spans="1:12" s="1" customFormat="1" x14ac:dyDescent="0.2">
      <c r="A247" s="4"/>
      <c r="B247" s="14"/>
      <c r="C247" s="12"/>
      <c r="D247" s="12"/>
      <c r="E247" s="12"/>
      <c r="F247" s="26"/>
      <c r="G247" s="12"/>
      <c r="H247" s="12"/>
      <c r="I247" s="12"/>
      <c r="J247" s="12"/>
      <c r="K247" s="12"/>
      <c r="L247" s="12"/>
    </row>
    <row r="248" spans="1:12" s="1" customFormat="1" x14ac:dyDescent="0.2">
      <c r="A248" s="8"/>
      <c r="B248" s="14"/>
      <c r="C248" s="12"/>
      <c r="D248" s="21"/>
      <c r="E248" s="21"/>
      <c r="F248" s="26"/>
      <c r="G248" s="10"/>
      <c r="H248" s="16"/>
      <c r="I248" s="12"/>
      <c r="J248" s="12"/>
      <c r="K248" s="12"/>
      <c r="L248" s="12"/>
    </row>
    <row r="249" spans="1:12" x14ac:dyDescent="0.2">
      <c r="B249" s="14"/>
      <c r="C249" s="12"/>
      <c r="D249" s="12"/>
      <c r="E249" s="12"/>
      <c r="F249" s="26"/>
      <c r="H249" s="16"/>
    </row>
    <row r="250" spans="1:12" ht="15" x14ac:dyDescent="0.25">
      <c r="A250" s="5"/>
    </row>
    <row r="251" spans="1:12" x14ac:dyDescent="0.2">
      <c r="B251" s="14"/>
      <c r="C251" s="12"/>
      <c r="D251" s="12"/>
      <c r="E251" s="12"/>
      <c r="F251" s="24"/>
      <c r="G251" s="12"/>
      <c r="H251" s="12"/>
    </row>
    <row r="252" spans="1:12" x14ac:dyDescent="0.2">
      <c r="B252" s="14"/>
      <c r="C252" s="12"/>
      <c r="D252" s="12"/>
      <c r="E252" s="12"/>
      <c r="F252" s="24"/>
      <c r="G252" s="12"/>
      <c r="H252" s="12"/>
    </row>
    <row r="253" spans="1:12" x14ac:dyDescent="0.2">
      <c r="B253" s="14"/>
      <c r="C253" s="12"/>
      <c r="D253" s="12"/>
      <c r="E253" s="12"/>
      <c r="F253" s="24"/>
      <c r="G253" s="12"/>
      <c r="H253" s="16"/>
    </row>
    <row r="254" spans="1:12" x14ac:dyDescent="0.2">
      <c r="B254" s="14"/>
      <c r="C254" s="12"/>
      <c r="D254" s="12"/>
      <c r="E254" s="12"/>
      <c r="F254" s="26"/>
      <c r="G254" s="12"/>
      <c r="H254" s="16"/>
    </row>
    <row r="255" spans="1:12" s="1" customFormat="1" ht="15" x14ac:dyDescent="0.25">
      <c r="A255" s="5"/>
      <c r="B255" s="10"/>
      <c r="C255" s="13"/>
      <c r="D255" s="10"/>
      <c r="E255" s="10"/>
      <c r="F255" s="22"/>
      <c r="G255" s="10"/>
      <c r="H255" s="10"/>
      <c r="I255" s="12"/>
      <c r="J255" s="12"/>
      <c r="K255" s="12"/>
      <c r="L255" s="12"/>
    </row>
    <row r="256" spans="1:12" s="1" customFormat="1" x14ac:dyDescent="0.2">
      <c r="A256" s="8"/>
      <c r="B256" s="14"/>
      <c r="C256" s="12"/>
      <c r="D256" s="12"/>
      <c r="E256" s="12"/>
      <c r="F256" s="26"/>
      <c r="G256" s="12"/>
      <c r="H256" s="12"/>
      <c r="I256" s="12"/>
      <c r="J256" s="12"/>
      <c r="K256" s="12"/>
      <c r="L256" s="12"/>
    </row>
    <row r="257" spans="1:12" s="1" customFormat="1" x14ac:dyDescent="0.2">
      <c r="A257" s="8"/>
      <c r="B257" s="14"/>
      <c r="C257" s="12"/>
      <c r="D257" s="12"/>
      <c r="E257" s="12"/>
      <c r="F257" s="26"/>
      <c r="G257" s="12"/>
      <c r="H257" s="12"/>
      <c r="I257" s="12"/>
      <c r="J257" s="12"/>
      <c r="K257" s="12"/>
      <c r="L257" s="12"/>
    </row>
    <row r="258" spans="1:12" s="1" customFormat="1" x14ac:dyDescent="0.2">
      <c r="A258" s="4"/>
      <c r="B258" s="14"/>
      <c r="C258" s="12"/>
      <c r="D258" s="21"/>
      <c r="E258" s="21"/>
      <c r="F258" s="26"/>
      <c r="G258" s="10"/>
      <c r="H258" s="16"/>
      <c r="I258" s="12"/>
      <c r="J258" s="12"/>
      <c r="K258" s="12"/>
      <c r="L258" s="12"/>
    </row>
    <row r="259" spans="1:12" x14ac:dyDescent="0.2">
      <c r="B259" s="14"/>
      <c r="C259" s="12"/>
      <c r="D259" s="12"/>
      <c r="E259" s="12"/>
      <c r="F259" s="26"/>
    </row>
    <row r="260" spans="1:12" ht="15" x14ac:dyDescent="0.25">
      <c r="A260" s="5"/>
      <c r="F260" s="26"/>
    </row>
  </sheetData>
  <pageMargins left="0.25" right="0.25" top="0.5" bottom="0.5" header="0.3" footer="0.3"/>
  <pageSetup scale="9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5393-1B9C-42C8-B121-EFB4507ECEA4}">
  <dimension ref="A1:W262"/>
  <sheetViews>
    <sheetView tabSelected="1" topLeftCell="A46" zoomScale="120" zoomScaleNormal="120" workbookViewId="0">
      <pane xSplit="1" topLeftCell="B1" activePane="topRight" state="frozen"/>
      <selection pane="topRight" activeCell="H59" sqref="H59"/>
    </sheetView>
  </sheetViews>
  <sheetFormatPr defaultColWidth="8.85546875" defaultRowHeight="14.25" x14ac:dyDescent="0.2"/>
  <cols>
    <col min="1" max="1" width="24.85546875" style="4" customWidth="1"/>
    <col min="2" max="2" width="13" style="10" customWidth="1"/>
    <col min="3" max="3" width="9.42578125" style="13" customWidth="1"/>
    <col min="4" max="4" width="8.85546875" style="10" customWidth="1"/>
    <col min="5" max="5" width="7.85546875" style="10" customWidth="1"/>
    <col min="6" max="6" width="9.7109375" style="10" customWidth="1"/>
    <col min="7" max="7" width="11.42578125" style="10" customWidth="1"/>
    <col min="8" max="8" width="10.42578125" style="10" customWidth="1"/>
    <col min="9" max="9" width="9" style="12" customWidth="1"/>
    <col min="10" max="10" width="9.140625" style="12" customWidth="1"/>
    <col min="11" max="11" width="7.85546875" style="12" customWidth="1"/>
    <col min="12" max="12" width="11.85546875" style="10" customWidth="1"/>
  </cols>
  <sheetData>
    <row r="1" spans="1:16" ht="15" x14ac:dyDescent="0.25">
      <c r="A1" s="9" t="s">
        <v>23</v>
      </c>
      <c r="C1" s="11" t="s">
        <v>15</v>
      </c>
      <c r="F1" s="10" t="s">
        <v>12</v>
      </c>
      <c r="G1" s="32" t="s">
        <v>25</v>
      </c>
      <c r="H1" s="33" t="s">
        <v>10</v>
      </c>
      <c r="I1" s="34">
        <v>3.56</v>
      </c>
      <c r="J1" s="12" t="s">
        <v>11</v>
      </c>
      <c r="L1" s="108" t="s">
        <v>36</v>
      </c>
      <c r="M1" s="109"/>
      <c r="N1" s="109"/>
      <c r="P1" s="170" t="s">
        <v>85</v>
      </c>
    </row>
    <row r="2" spans="1:16" ht="15" x14ac:dyDescent="0.25">
      <c r="A2" s="3" t="s">
        <v>22</v>
      </c>
      <c r="C2" s="11" t="s">
        <v>13</v>
      </c>
    </row>
    <row r="3" spans="1:16" ht="15" x14ac:dyDescent="0.25">
      <c r="A3" s="3"/>
      <c r="C3" s="11"/>
      <c r="N3" s="2" t="s">
        <v>47</v>
      </c>
    </row>
    <row r="4" spans="1:16" ht="15" x14ac:dyDescent="0.25">
      <c r="A4" s="168">
        <v>34485</v>
      </c>
      <c r="B4" s="10" t="s">
        <v>0</v>
      </c>
      <c r="C4" s="13" t="s">
        <v>8</v>
      </c>
      <c r="D4" s="10" t="s">
        <v>1</v>
      </c>
      <c r="E4" s="10" t="s">
        <v>2</v>
      </c>
      <c r="F4" s="10" t="s">
        <v>3</v>
      </c>
      <c r="G4" s="10" t="s">
        <v>1</v>
      </c>
      <c r="H4" s="10" t="s">
        <v>2</v>
      </c>
      <c r="I4" s="12" t="s">
        <v>4</v>
      </c>
      <c r="J4" s="12" t="s">
        <v>5</v>
      </c>
      <c r="K4" s="12" t="s">
        <v>2</v>
      </c>
      <c r="L4" s="10" t="s">
        <v>6</v>
      </c>
      <c r="M4" s="12"/>
    </row>
    <row r="5" spans="1:16" x14ac:dyDescent="0.2">
      <c r="B5" s="14">
        <v>45342</v>
      </c>
      <c r="C5" s="15"/>
      <c r="D5" s="13">
        <f>AVERAGE(C5:C16)</f>
        <v>2.669685714285714</v>
      </c>
      <c r="E5" s="13">
        <f>STDEV(C5:C16)/SQRT(COUNT(C5:C16))</f>
        <v>0.8957531219271172</v>
      </c>
      <c r="F5" s="12"/>
      <c r="G5" s="12">
        <f>AVERAGE(F5:F16)</f>
        <v>1.3749965079396809</v>
      </c>
      <c r="H5" s="12">
        <f>STDEV(F5:F16)/SQRT(COUNT(F5:F16))</f>
        <v>0.44050860180371926</v>
      </c>
      <c r="J5" s="12">
        <f>AVERAGE(I5:I16)</f>
        <v>-1.3815571428571432</v>
      </c>
      <c r="K5" s="12">
        <f>STDEV(I5:I16)/SQRT(COUNT(I5:I16))</f>
        <v>0.19006253589547931</v>
      </c>
      <c r="L5" s="10" t="e">
        <f t="shared" ref="L5:L12" si="0">LOG(F5*0.000000001)</f>
        <v>#NUM!</v>
      </c>
      <c r="M5">
        <v>-5</v>
      </c>
      <c r="N5" t="s">
        <v>24</v>
      </c>
      <c r="O5" s="154" t="s">
        <v>65</v>
      </c>
    </row>
    <row r="6" spans="1:16" x14ac:dyDescent="0.2">
      <c r="B6" s="14">
        <v>45369</v>
      </c>
      <c r="D6" s="13" t="s">
        <v>107</v>
      </c>
      <c r="E6" s="15"/>
      <c r="G6" s="12" t="e">
        <f>D6/(1+ 3.73/$I$1)</f>
        <v>#VALUE!</v>
      </c>
      <c r="J6" s="101">
        <v>-6.7060000000000004</v>
      </c>
      <c r="L6" s="10" t="e">
        <f>LOG(G6*0.000000001)</f>
        <v>#VALUE!</v>
      </c>
      <c r="M6">
        <v>-8</v>
      </c>
      <c r="N6" t="s">
        <v>24</v>
      </c>
      <c r="O6" s="191" t="s">
        <v>109</v>
      </c>
    </row>
    <row r="7" spans="1:16" ht="15.75" x14ac:dyDescent="0.25">
      <c r="A7" s="35"/>
      <c r="B7" s="14">
        <v>45369</v>
      </c>
      <c r="C7" s="107" t="s">
        <v>32</v>
      </c>
      <c r="D7" s="15"/>
      <c r="E7" s="15"/>
      <c r="F7" s="12"/>
      <c r="G7" s="15"/>
      <c r="H7" s="98">
        <f>H5/G5</f>
        <v>0.32037070586003535</v>
      </c>
      <c r="L7" s="10" t="e">
        <f t="shared" si="0"/>
        <v>#NUM!</v>
      </c>
      <c r="M7">
        <v>-9</v>
      </c>
      <c r="N7" t="s">
        <v>24</v>
      </c>
      <c r="O7" s="191" t="s">
        <v>110</v>
      </c>
    </row>
    <row r="8" spans="1:16" ht="15.75" x14ac:dyDescent="0.25">
      <c r="A8" s="35"/>
      <c r="B8" s="14">
        <v>45386</v>
      </c>
      <c r="C8" s="131">
        <v>0.65590000000000004</v>
      </c>
      <c r="D8" s="15"/>
      <c r="E8" s="15"/>
      <c r="F8" s="12">
        <f>C8/(1+ 3.93/$I$1)</f>
        <v>0.31174953271028033</v>
      </c>
      <c r="G8" s="15"/>
      <c r="H8" s="16"/>
      <c r="I8" s="12">
        <v>-1.7150000000000001</v>
      </c>
      <c r="L8" s="10">
        <f t="shared" si="0"/>
        <v>-9.5061941888245567</v>
      </c>
      <c r="M8">
        <v>-8</v>
      </c>
      <c r="N8" t="s">
        <v>24</v>
      </c>
    </row>
    <row r="9" spans="1:16" ht="15.75" x14ac:dyDescent="0.25">
      <c r="A9" s="35"/>
      <c r="B9" s="14">
        <v>45386</v>
      </c>
      <c r="C9" s="131">
        <v>0.72289999999999999</v>
      </c>
      <c r="D9" s="15"/>
      <c r="E9" s="15"/>
      <c r="F9" s="12">
        <f>C9/(1+ 3.93/$I$1)</f>
        <v>0.34359465954606133</v>
      </c>
      <c r="G9" s="15"/>
      <c r="H9" s="16"/>
      <c r="I9" s="12">
        <v>-1.387</v>
      </c>
      <c r="L9" s="10">
        <f t="shared" si="0"/>
        <v>-9.4639535949796212</v>
      </c>
      <c r="M9">
        <v>-8</v>
      </c>
      <c r="N9" t="s">
        <v>24</v>
      </c>
    </row>
    <row r="10" spans="1:16" ht="15.75" x14ac:dyDescent="0.25">
      <c r="A10" s="35"/>
      <c r="B10" s="14">
        <v>45488</v>
      </c>
      <c r="C10" s="12">
        <v>7.3810000000000002</v>
      </c>
      <c r="D10" s="15"/>
      <c r="E10" s="15"/>
      <c r="F10" s="13">
        <f>C10/(1+ 3.65/$I$1)</f>
        <v>3.6444327323162278</v>
      </c>
      <c r="G10" s="15"/>
      <c r="H10" s="16"/>
      <c r="I10" s="12">
        <v>-1.08</v>
      </c>
      <c r="L10" s="10">
        <f t="shared" si="0"/>
        <v>-8.4383700614193362</v>
      </c>
      <c r="M10">
        <v>-8</v>
      </c>
      <c r="N10" s="1" t="s">
        <v>40</v>
      </c>
    </row>
    <row r="11" spans="1:16" ht="15.75" x14ac:dyDescent="0.25">
      <c r="A11" s="35"/>
      <c r="B11" s="14">
        <v>45517</v>
      </c>
      <c r="C11" s="12">
        <v>1.44</v>
      </c>
      <c r="D11" s="15"/>
      <c r="E11" s="15"/>
      <c r="F11" s="13">
        <f>C11/(1+ 2.65/$I$1)</f>
        <v>0.82550724637681161</v>
      </c>
      <c r="G11" s="15"/>
      <c r="H11" s="16"/>
      <c r="I11" s="12">
        <v>-0.69889999999999997</v>
      </c>
      <c r="L11" s="10">
        <f t="shared" si="0"/>
        <v>-9.0832791101084549</v>
      </c>
      <c r="M11">
        <v>-7</v>
      </c>
      <c r="N11" s="1" t="s">
        <v>40</v>
      </c>
    </row>
    <row r="12" spans="1:16" x14ac:dyDescent="0.2">
      <c r="B12" s="14">
        <v>45517</v>
      </c>
      <c r="C12" s="12">
        <v>1.746</v>
      </c>
      <c r="D12" s="15"/>
      <c r="E12" s="15"/>
      <c r="F12" s="13">
        <f>C12/(1+ 2.65/$I$1)</f>
        <v>1.0009275362318841</v>
      </c>
      <c r="G12" s="15"/>
      <c r="H12" s="16"/>
      <c r="I12" s="12">
        <v>-1.044</v>
      </c>
      <c r="L12" s="10">
        <f t="shared" si="0"/>
        <v>-8.9995973628341535</v>
      </c>
      <c r="M12">
        <v>-8</v>
      </c>
      <c r="N12" s="1" t="s">
        <v>40</v>
      </c>
    </row>
    <row r="13" spans="1:16" x14ac:dyDescent="0.2">
      <c r="B13" s="14">
        <v>45575</v>
      </c>
      <c r="C13" s="12">
        <v>3.7639999999999998</v>
      </c>
      <c r="D13" s="15"/>
      <c r="E13" s="15"/>
      <c r="F13" s="13">
        <f>C13/(1+ 3.3/$I$1)</f>
        <v>1.9533294460641399</v>
      </c>
      <c r="G13" s="15"/>
      <c r="H13" s="16"/>
      <c r="I13" s="12">
        <v>-1.518</v>
      </c>
      <c r="L13" s="10">
        <f>LOG(F13*0.000000001)</f>
        <v>-8.7092245029786568</v>
      </c>
      <c r="M13">
        <v>-8</v>
      </c>
      <c r="N13" s="1" t="s">
        <v>40</v>
      </c>
    </row>
    <row r="14" spans="1:16" x14ac:dyDescent="0.2">
      <c r="B14" s="14">
        <v>45575</v>
      </c>
      <c r="C14" s="12">
        <v>2.9780000000000002</v>
      </c>
      <c r="D14" s="15"/>
      <c r="E14" s="15"/>
      <c r="F14" s="13">
        <f>C14/(1+ 3.3/$I$1)</f>
        <v>1.5454344023323616</v>
      </c>
      <c r="G14" s="15"/>
      <c r="H14" s="16"/>
      <c r="I14" s="12">
        <v>-2.2280000000000002</v>
      </c>
      <c r="L14" s="10">
        <f>LOG(F14*0.000000001)</f>
        <v>-8.8109494243177195</v>
      </c>
      <c r="M14">
        <v>-8</v>
      </c>
      <c r="N14" s="1" t="s">
        <v>40</v>
      </c>
    </row>
    <row r="15" spans="1:16" x14ac:dyDescent="0.2">
      <c r="B15" s="14"/>
      <c r="C15" s="12"/>
      <c r="D15" s="15"/>
      <c r="E15" s="15"/>
      <c r="F15" s="13"/>
      <c r="G15" s="15"/>
      <c r="H15" s="16"/>
      <c r="N15" s="1"/>
    </row>
    <row r="16" spans="1:16" x14ac:dyDescent="0.2">
      <c r="B16" s="14"/>
      <c r="C16" s="17"/>
      <c r="D16" s="15"/>
      <c r="E16" s="15"/>
      <c r="F16" s="17"/>
      <c r="G16" s="15"/>
    </row>
    <row r="17" spans="1:18" ht="15" x14ac:dyDescent="0.25">
      <c r="A17" s="168">
        <v>34486</v>
      </c>
      <c r="B17" s="10" t="s">
        <v>0</v>
      </c>
      <c r="C17" s="13" t="s">
        <v>8</v>
      </c>
      <c r="D17" s="10" t="s">
        <v>1</v>
      </c>
      <c r="E17" s="10" t="s">
        <v>2</v>
      </c>
      <c r="F17" s="10" t="s">
        <v>3</v>
      </c>
      <c r="G17" s="10" t="s">
        <v>1</v>
      </c>
      <c r="H17" s="10" t="s">
        <v>2</v>
      </c>
      <c r="I17" s="12" t="s">
        <v>4</v>
      </c>
      <c r="J17" s="12" t="s">
        <v>5</v>
      </c>
      <c r="K17" s="12" t="s">
        <v>2</v>
      </c>
      <c r="L17" s="10" t="s">
        <v>6</v>
      </c>
      <c r="R17" s="1" t="s">
        <v>7</v>
      </c>
    </row>
    <row r="18" spans="1:18" x14ac:dyDescent="0.2">
      <c r="B18" s="14">
        <v>45342</v>
      </c>
      <c r="C18" s="15"/>
      <c r="D18" s="13">
        <f>AVERAGE(C18:C24)</f>
        <v>2.3977399999999998</v>
      </c>
      <c r="E18" s="13">
        <f>STDEV(C18:C24)/SQRT(COUNT(C18:C24))</f>
        <v>0.77056091102520885</v>
      </c>
      <c r="F18" s="12"/>
      <c r="G18" s="13">
        <f>AVERAGE(F18:F24)</f>
        <v>1.1436779035238569</v>
      </c>
      <c r="H18" s="13">
        <f>STDEV(F18:F24)/SQRT(COUNT(F18:F24))</f>
        <v>0.3642517967738873</v>
      </c>
      <c r="J18" s="12">
        <f>AVERAGE(I18:I24)</f>
        <v>-0.57948</v>
      </c>
      <c r="K18" s="12">
        <f>STDEV(I18:I24)/SQRT(COUNT(I18:I24))</f>
        <v>0.24653349346488398</v>
      </c>
      <c r="L18" s="10" t="e">
        <f t="shared" ref="L18:L24" si="1">LOG(F18*0.000000001)</f>
        <v>#NUM!</v>
      </c>
      <c r="M18">
        <v>-5</v>
      </c>
      <c r="N18" t="s">
        <v>24</v>
      </c>
      <c r="O18" s="154" t="s">
        <v>65</v>
      </c>
    </row>
    <row r="19" spans="1:18" ht="15.75" x14ac:dyDescent="0.25">
      <c r="A19" s="35"/>
      <c r="B19" s="14">
        <v>45369</v>
      </c>
      <c r="C19" s="12">
        <v>0.50170000000000003</v>
      </c>
      <c r="D19" s="15"/>
      <c r="E19" s="15"/>
      <c r="F19" s="12">
        <f>C19/(1+ 3.73/$I$1)</f>
        <v>0.24500027434842253</v>
      </c>
      <c r="G19" s="17"/>
      <c r="H19" s="17"/>
      <c r="I19" s="12">
        <v>0.3422</v>
      </c>
      <c r="L19" s="10">
        <f t="shared" si="1"/>
        <v>-9.6108334293173474</v>
      </c>
      <c r="M19">
        <v>-6</v>
      </c>
      <c r="N19" t="s">
        <v>24</v>
      </c>
    </row>
    <row r="20" spans="1:18" ht="15.75" x14ac:dyDescent="0.25">
      <c r="A20" s="35"/>
      <c r="B20" s="14">
        <v>45369</v>
      </c>
      <c r="C20" s="13">
        <v>1.044</v>
      </c>
      <c r="D20" s="15"/>
      <c r="E20" s="15"/>
      <c r="F20" s="12">
        <f>C20/(1+ 3.73/$I$1)</f>
        <v>0.50982716049382715</v>
      </c>
      <c r="G20" s="17"/>
      <c r="H20" s="98">
        <f>H18/G18</f>
        <v>0.31849159247684028</v>
      </c>
      <c r="I20" s="12">
        <v>-0.49409999999999998</v>
      </c>
      <c r="L20" s="10">
        <f t="shared" si="1"/>
        <v>-9.2925770316788565</v>
      </c>
      <c r="M20">
        <v>-7</v>
      </c>
      <c r="N20" t="s">
        <v>24</v>
      </c>
    </row>
    <row r="21" spans="1:18" ht="15.75" x14ac:dyDescent="0.25">
      <c r="A21" s="35"/>
      <c r="B21" s="14">
        <v>45386</v>
      </c>
      <c r="C21" s="192">
        <v>4.8600000000000003</v>
      </c>
      <c r="D21" s="15"/>
      <c r="E21" s="15"/>
      <c r="F21" s="13">
        <f>C21/(1+ 3.93/$I$1)</f>
        <v>2.3099599465954603</v>
      </c>
      <c r="G21" s="17"/>
      <c r="H21" s="16"/>
      <c r="I21" s="12">
        <v>-0.90659999999999996</v>
      </c>
      <c r="L21" s="10">
        <f t="shared" si="1"/>
        <v>-8.6363955504642984</v>
      </c>
      <c r="M21">
        <v>-7</v>
      </c>
      <c r="N21" t="s">
        <v>24</v>
      </c>
    </row>
    <row r="22" spans="1:18" ht="15" x14ac:dyDescent="0.2">
      <c r="A22" s="159" t="s">
        <v>37</v>
      </c>
      <c r="B22" s="14">
        <v>45386</v>
      </c>
      <c r="C22" s="13">
        <v>2.5979999999999999</v>
      </c>
      <c r="D22" s="15"/>
      <c r="E22" s="15"/>
      <c r="F22" s="13">
        <f>C22/(1+ 3.93/$I$1)</f>
        <v>1.2348304405874497</v>
      </c>
      <c r="G22" s="17"/>
      <c r="H22" s="16"/>
      <c r="I22" s="12">
        <v>-0.81789999999999996</v>
      </c>
      <c r="L22" s="10">
        <f t="shared" si="1"/>
        <v>-8.9083926729895815</v>
      </c>
      <c r="M22">
        <v>-8</v>
      </c>
      <c r="N22" t="s">
        <v>24</v>
      </c>
    </row>
    <row r="23" spans="1:18" ht="15.75" x14ac:dyDescent="0.25">
      <c r="A23" s="35"/>
      <c r="B23" s="14">
        <v>45386</v>
      </c>
      <c r="C23" s="13">
        <v>2.9849999999999999</v>
      </c>
      <c r="D23" s="15"/>
      <c r="E23" s="15"/>
      <c r="F23" s="13">
        <f>C23/(1+ 3.93/$I$1)</f>
        <v>1.4187716955941252</v>
      </c>
      <c r="G23" s="17"/>
      <c r="H23" s="16"/>
      <c r="I23" s="12">
        <v>-1.0209999999999999</v>
      </c>
      <c r="L23" s="10">
        <f t="shared" si="1"/>
        <v>-8.8480874842612032</v>
      </c>
      <c r="M23">
        <v>-8</v>
      </c>
      <c r="N23" t="s">
        <v>24</v>
      </c>
    </row>
    <row r="24" spans="1:18" x14ac:dyDescent="0.2">
      <c r="B24" s="14"/>
      <c r="D24" s="15"/>
      <c r="E24" s="15"/>
      <c r="F24" s="13"/>
      <c r="G24" s="17"/>
      <c r="H24" s="16"/>
      <c r="L24" s="10" t="e">
        <f t="shared" si="1"/>
        <v>#NUM!</v>
      </c>
    </row>
    <row r="25" spans="1:18" ht="15" x14ac:dyDescent="0.25">
      <c r="A25" s="168">
        <v>34487</v>
      </c>
      <c r="B25" s="14"/>
      <c r="D25" s="13"/>
      <c r="E25" s="13"/>
      <c r="F25" s="13"/>
      <c r="G25" s="13"/>
      <c r="H25" s="13"/>
    </row>
    <row r="26" spans="1:18" x14ac:dyDescent="0.2">
      <c r="B26" s="10" t="s">
        <v>0</v>
      </c>
      <c r="C26" s="13" t="s">
        <v>8</v>
      </c>
      <c r="D26" s="10" t="s">
        <v>1</v>
      </c>
      <c r="E26" s="10" t="s">
        <v>2</v>
      </c>
      <c r="F26" s="10" t="s">
        <v>3</v>
      </c>
      <c r="G26" s="10" t="s">
        <v>1</v>
      </c>
      <c r="H26" s="10" t="s">
        <v>2</v>
      </c>
      <c r="I26" s="12" t="s">
        <v>4</v>
      </c>
      <c r="J26" s="12" t="s">
        <v>5</v>
      </c>
      <c r="K26" s="12" t="s">
        <v>2</v>
      </c>
      <c r="L26" s="10" t="s">
        <v>6</v>
      </c>
      <c r="N26" s="7"/>
    </row>
    <row r="27" spans="1:18" x14ac:dyDescent="0.2">
      <c r="B27" s="14">
        <v>45342</v>
      </c>
      <c r="C27" s="15"/>
      <c r="D27" s="12">
        <f>AVERAGE(C27:C34)</f>
        <v>2.7057200000000003</v>
      </c>
      <c r="E27" s="12">
        <f>STDEV(C27:C34)/SQRT(COUNT(C27:C34))</f>
        <v>0.77034306539359476</v>
      </c>
      <c r="F27" s="12"/>
      <c r="G27" s="12">
        <f>AVERAGE(F27:F34)</f>
        <v>1.2949636216922058</v>
      </c>
      <c r="H27" s="12">
        <f>STDEV(F27:F34)/SQRT(COUNT(F27:F34))</f>
        <v>0.36694927421804957</v>
      </c>
      <c r="J27" s="12">
        <f>AVERAGE(I27:I34)</f>
        <v>-0.99252000000000007</v>
      </c>
      <c r="K27" s="12">
        <f>STDEV(I27:I34)/SQRT(COUNT(I27:I34))</f>
        <v>0.38276481734872125</v>
      </c>
      <c r="L27" s="10" t="e">
        <f t="shared" ref="L27:L32" si="2">LOG(F27*0.000000001)</f>
        <v>#NUM!</v>
      </c>
      <c r="M27">
        <v>-5</v>
      </c>
      <c r="N27" t="s">
        <v>24</v>
      </c>
      <c r="O27" s="154" t="s">
        <v>65</v>
      </c>
    </row>
    <row r="28" spans="1:18" ht="15" x14ac:dyDescent="0.2">
      <c r="A28" s="159"/>
      <c r="B28" s="14">
        <v>45369</v>
      </c>
      <c r="C28" s="13">
        <v>0.25559999999999999</v>
      </c>
      <c r="D28" s="15"/>
      <c r="E28" s="15"/>
      <c r="F28" s="13">
        <f>C28/(1+ 3.73/$I$1)</f>
        <v>0.12481975308641975</v>
      </c>
      <c r="G28" s="12"/>
      <c r="H28" s="12"/>
      <c r="I28" s="12">
        <v>-0.30309999999999998</v>
      </c>
      <c r="L28" s="10">
        <f t="shared" si="2"/>
        <v>-9.9037166808587376</v>
      </c>
      <c r="M28">
        <v>-6</v>
      </c>
      <c r="N28" t="s">
        <v>24</v>
      </c>
      <c r="O28" s="154" t="s">
        <v>108</v>
      </c>
    </row>
    <row r="29" spans="1:18" ht="15.75" x14ac:dyDescent="0.25">
      <c r="A29" s="35"/>
      <c r="B29" s="14">
        <v>45369</v>
      </c>
      <c r="C29" s="13">
        <v>3.17</v>
      </c>
      <c r="D29" s="15"/>
      <c r="E29" s="15"/>
      <c r="F29" s="13">
        <f>C29/(1+ 3.73/$I$1)</f>
        <v>1.5480384087791494</v>
      </c>
      <c r="G29" s="12"/>
      <c r="H29" s="98">
        <f>H27/G27</f>
        <v>0.28336647305855217</v>
      </c>
      <c r="I29" s="12">
        <v>-0.45900000000000002</v>
      </c>
      <c r="L29" s="10">
        <f t="shared" si="2"/>
        <v>-8.8102182681273487</v>
      </c>
      <c r="M29">
        <v>-7</v>
      </c>
      <c r="N29" t="s">
        <v>24</v>
      </c>
    </row>
    <row r="30" spans="1:18" ht="15.75" x14ac:dyDescent="0.25">
      <c r="A30" s="35"/>
      <c r="B30" s="14">
        <v>45386</v>
      </c>
      <c r="C30" s="192">
        <v>1.768</v>
      </c>
      <c r="D30" s="15"/>
      <c r="E30" s="15"/>
      <c r="F30" s="13">
        <f>C30/(1+ 3.93/$I$1)</f>
        <v>0.8403311081441921</v>
      </c>
      <c r="G30" s="12"/>
      <c r="H30" s="16"/>
      <c r="I30" s="12">
        <v>-0.48549999999999999</v>
      </c>
      <c r="L30" s="10">
        <f t="shared" si="2"/>
        <v>-9.0755495590495379</v>
      </c>
      <c r="M30">
        <v>-7</v>
      </c>
      <c r="N30" t="s">
        <v>24</v>
      </c>
    </row>
    <row r="31" spans="1:18" ht="15" x14ac:dyDescent="0.2">
      <c r="A31" s="159" t="s">
        <v>37</v>
      </c>
      <c r="B31" s="14">
        <v>45386</v>
      </c>
      <c r="C31" s="192">
        <v>3.669</v>
      </c>
      <c r="D31" s="15"/>
      <c r="E31" s="15"/>
      <c r="F31" s="13">
        <f>C31/(1+ 3.93/$I$1)</f>
        <v>1.7438771695594124</v>
      </c>
      <c r="G31" s="12"/>
      <c r="H31" s="16"/>
      <c r="I31" s="12">
        <v>-1.401</v>
      </c>
      <c r="L31" s="10">
        <f t="shared" si="2"/>
        <v>-8.7584841079706433</v>
      </c>
      <c r="M31">
        <v>-8</v>
      </c>
      <c r="N31" t="s">
        <v>24</v>
      </c>
    </row>
    <row r="32" spans="1:18" x14ac:dyDescent="0.2">
      <c r="B32" s="14">
        <v>45386</v>
      </c>
      <c r="C32" s="192">
        <v>4.6660000000000004</v>
      </c>
      <c r="D32" s="15"/>
      <c r="E32" s="15"/>
      <c r="F32" s="13">
        <f>C32/(1+ 3.93/$I$1)</f>
        <v>2.2177516688918555</v>
      </c>
      <c r="G32" s="12"/>
      <c r="H32" s="16"/>
      <c r="I32" s="12">
        <v>-2.3140000000000001</v>
      </c>
      <c r="L32" s="10">
        <f t="shared" si="2"/>
        <v>-8.6540870852688574</v>
      </c>
      <c r="M32">
        <v>-8</v>
      </c>
      <c r="N32" t="s">
        <v>24</v>
      </c>
    </row>
    <row r="33" spans="1:17" x14ac:dyDescent="0.2">
      <c r="B33" s="14"/>
      <c r="C33" s="17"/>
      <c r="D33" s="15"/>
      <c r="E33" s="15"/>
      <c r="F33" s="13"/>
      <c r="G33" s="12"/>
      <c r="H33" s="16"/>
    </row>
    <row r="34" spans="1:17" s="1" customFormat="1" ht="15" x14ac:dyDescent="0.25">
      <c r="A34" s="168">
        <v>34488</v>
      </c>
      <c r="B34" s="14"/>
      <c r="C34" s="12"/>
      <c r="D34" s="12"/>
      <c r="E34" s="12"/>
      <c r="F34" s="12"/>
      <c r="G34" s="12"/>
      <c r="H34" s="18"/>
      <c r="I34" s="12"/>
      <c r="J34" s="12"/>
      <c r="K34" s="12"/>
      <c r="L34" s="10"/>
      <c r="M34"/>
      <c r="N34"/>
      <c r="O34"/>
      <c r="P34"/>
      <c r="Q34"/>
    </row>
    <row r="35" spans="1:17" s="1" customFormat="1" x14ac:dyDescent="0.2">
      <c r="A35" s="4"/>
      <c r="B35" s="10" t="s">
        <v>0</v>
      </c>
      <c r="C35" s="13" t="s">
        <v>8</v>
      </c>
      <c r="D35" s="10" t="s">
        <v>1</v>
      </c>
      <c r="E35" s="10" t="s">
        <v>2</v>
      </c>
      <c r="F35" s="10" t="s">
        <v>3</v>
      </c>
      <c r="G35" s="10" t="s">
        <v>1</v>
      </c>
      <c r="H35" s="10" t="s">
        <v>2</v>
      </c>
      <c r="I35" s="12" t="s">
        <v>4</v>
      </c>
      <c r="J35" s="12" t="s">
        <v>5</v>
      </c>
      <c r="K35" s="12" t="s">
        <v>2</v>
      </c>
      <c r="L35" s="10" t="s">
        <v>6</v>
      </c>
    </row>
    <row r="36" spans="1:17" s="1" customFormat="1" ht="15" x14ac:dyDescent="0.25">
      <c r="A36" s="178"/>
      <c r="B36" s="14">
        <v>45342</v>
      </c>
      <c r="C36" s="17">
        <v>5.4790000000000001</v>
      </c>
      <c r="D36" s="13">
        <f>AVERAGE(C36:C39)</f>
        <v>10.98725</v>
      </c>
      <c r="E36" s="13">
        <f>STDEV(C36:C39)/SQRT(COUNT(C36:C39))</f>
        <v>1.9096965454839505</v>
      </c>
      <c r="F36" s="13">
        <f>C36/(1+ 3.48/$I$1)</f>
        <v>2.7706306818181821</v>
      </c>
      <c r="G36" s="12">
        <f>AVERAGE(F36:F39)</f>
        <v>5.3082923621605422</v>
      </c>
      <c r="H36" s="12">
        <f>STDEV(F36:F39)/SQRT(COUNT(F36:F39))</f>
        <v>0.8893423409778376</v>
      </c>
      <c r="I36" s="12">
        <v>-0.63290000000000002</v>
      </c>
      <c r="J36" s="12">
        <f>AVERAGE(I36:I39)</f>
        <v>-0.49719999999999998</v>
      </c>
      <c r="K36" s="12">
        <f>STDEV(I36:I39)/SQRT(COUNT(I36:I39))</f>
        <v>5.9332326770488435E-2</v>
      </c>
      <c r="L36" s="10">
        <f>LOG(F36*0.000000001)</f>
        <v>-8.5574213607345264</v>
      </c>
      <c r="M36">
        <v>-5</v>
      </c>
      <c r="N36" t="s">
        <v>24</v>
      </c>
    </row>
    <row r="37" spans="1:17" s="1" customFormat="1" ht="15" x14ac:dyDescent="0.2">
      <c r="A37" s="159" t="s">
        <v>38</v>
      </c>
      <c r="B37" s="14">
        <v>45369</v>
      </c>
      <c r="C37" s="17">
        <v>13.63</v>
      </c>
      <c r="D37" s="15"/>
      <c r="E37" s="15"/>
      <c r="F37" s="13">
        <f>C37/(1+ 3.73/$I$1)</f>
        <v>6.6560768175582998</v>
      </c>
      <c r="G37" s="12"/>
      <c r="H37" s="12"/>
      <c r="I37" s="12">
        <v>-0.5161</v>
      </c>
      <c r="J37" s="12"/>
      <c r="K37" s="12"/>
      <c r="L37" s="10">
        <f>LOG(F37*0.000000001)</f>
        <v>-8.1767816745104263</v>
      </c>
      <c r="M37" s="1">
        <v>-6</v>
      </c>
      <c r="N37" t="s">
        <v>24</v>
      </c>
    </row>
    <row r="38" spans="1:17" s="1" customFormat="1" ht="15.75" x14ac:dyDescent="0.25">
      <c r="A38" s="35"/>
      <c r="B38" s="14">
        <v>45386</v>
      </c>
      <c r="C38" s="17">
        <v>13.5</v>
      </c>
      <c r="D38" s="15"/>
      <c r="E38" s="15"/>
      <c r="F38" s="13">
        <f>C38/(1+ 3.93/$I$1)</f>
        <v>6.4165554072096116</v>
      </c>
      <c r="G38" s="12"/>
      <c r="H38" s="98">
        <f>H36/G36</f>
        <v>0.16753831181518872</v>
      </c>
      <c r="I38" s="12">
        <v>-0.49580000000000002</v>
      </c>
      <c r="J38" s="12"/>
      <c r="K38" s="12"/>
      <c r="L38" s="10">
        <f>LOG(F38*0.000000001)</f>
        <v>-8.1926980512315843</v>
      </c>
      <c r="M38">
        <v>-6</v>
      </c>
      <c r="N38" t="s">
        <v>24</v>
      </c>
    </row>
    <row r="39" spans="1:17" x14ac:dyDescent="0.2">
      <c r="B39" s="14">
        <v>45386</v>
      </c>
      <c r="C39" s="17">
        <v>11.34</v>
      </c>
      <c r="D39" s="15"/>
      <c r="E39" s="15"/>
      <c r="F39" s="13">
        <f>C39/(1+ 3.93/$I$1)</f>
        <v>5.3899065420560737</v>
      </c>
      <c r="G39" s="12"/>
      <c r="H39" s="16"/>
      <c r="I39" s="12">
        <v>-0.34399999999999997</v>
      </c>
      <c r="L39" s="10">
        <f>LOG(F39*0.000000001)</f>
        <v>-8.2684187651697041</v>
      </c>
      <c r="M39">
        <v>-7</v>
      </c>
      <c r="N39" t="s">
        <v>24</v>
      </c>
      <c r="O39" s="1"/>
      <c r="P39" s="1"/>
      <c r="Q39" s="1"/>
    </row>
    <row r="40" spans="1:17" s="1" customFormat="1" ht="15" x14ac:dyDescent="0.25">
      <c r="A40" s="178"/>
      <c r="B40" s="14"/>
      <c r="C40" s="17"/>
      <c r="D40" s="13"/>
      <c r="E40" s="13"/>
      <c r="G40" s="12"/>
      <c r="H40" s="12"/>
      <c r="I40" s="12"/>
      <c r="J40" s="12"/>
      <c r="K40" s="12"/>
      <c r="M40"/>
      <c r="N40"/>
    </row>
    <row r="41" spans="1:17" x14ac:dyDescent="0.2">
      <c r="B41" s="14"/>
      <c r="C41" s="12"/>
      <c r="D41" s="12"/>
      <c r="E41" s="12"/>
      <c r="F41" s="12"/>
      <c r="G41" s="12"/>
      <c r="H41" s="18"/>
    </row>
    <row r="42" spans="1:17" ht="15" x14ac:dyDescent="0.25">
      <c r="A42" s="168">
        <v>34489</v>
      </c>
      <c r="B42" s="10" t="s">
        <v>0</v>
      </c>
      <c r="C42" s="13" t="s">
        <v>8</v>
      </c>
      <c r="D42" s="10" t="s">
        <v>1</v>
      </c>
      <c r="E42" s="10" t="s">
        <v>2</v>
      </c>
      <c r="F42" s="10" t="s">
        <v>3</v>
      </c>
      <c r="G42" s="10" t="s">
        <v>1</v>
      </c>
      <c r="H42" s="10" t="s">
        <v>2</v>
      </c>
      <c r="I42" s="12" t="s">
        <v>4</v>
      </c>
      <c r="J42" s="12" t="s">
        <v>5</v>
      </c>
      <c r="K42" s="12" t="s">
        <v>2</v>
      </c>
      <c r="L42" s="10" t="s">
        <v>6</v>
      </c>
    </row>
    <row r="43" spans="1:17" ht="15" x14ac:dyDescent="0.25">
      <c r="A43" s="178"/>
      <c r="B43" s="14">
        <v>45342</v>
      </c>
      <c r="C43" s="17">
        <v>406.2</v>
      </c>
      <c r="D43" s="17">
        <f>AVERAGE(C43:C45)</f>
        <v>261</v>
      </c>
      <c r="E43" s="17">
        <f>STDEV(C43:C45)/SQRT(COUNT(C43:C45))</f>
        <v>82.700745663708119</v>
      </c>
      <c r="F43" s="15">
        <f>C43/(1+ 3.48/$I$1)</f>
        <v>205.40795454545454</v>
      </c>
      <c r="G43" s="17">
        <f>AVERAGE(F43:F45)</f>
        <v>128.68777082985432</v>
      </c>
      <c r="H43" s="17">
        <f>STDEV(F43:F45)/SQRT(COUNT(F43:F45))</f>
        <v>42.533478059946646</v>
      </c>
      <c r="I43" s="12">
        <v>-0.73929999999999996</v>
      </c>
      <c r="J43" s="12">
        <f>AVERAGE(I43:I45)</f>
        <v>-0.5467333333333334</v>
      </c>
      <c r="K43" s="12">
        <f>STDEV(I43:I45)/SQRT(COUNT(I43:I45))</f>
        <v>9.9932916387833789E-2</v>
      </c>
      <c r="L43" s="10">
        <f>LOG(F43*0.000000001)</f>
        <v>-6.687382742100449</v>
      </c>
      <c r="M43">
        <v>-5</v>
      </c>
      <c r="N43" t="s">
        <v>24</v>
      </c>
    </row>
    <row r="44" spans="1:17" ht="15" x14ac:dyDescent="0.2">
      <c r="A44" s="159" t="s">
        <v>45</v>
      </c>
      <c r="B44" s="14">
        <v>45369</v>
      </c>
      <c r="C44" s="17">
        <v>119.8</v>
      </c>
      <c r="D44" s="15"/>
      <c r="E44" s="15"/>
      <c r="F44" s="17">
        <f>C44/(1+ 3.73/$I$1)</f>
        <v>58.503155006858712</v>
      </c>
      <c r="G44" s="12"/>
      <c r="H44" s="12"/>
      <c r="I44" s="12">
        <v>-0.40410000000000001</v>
      </c>
      <c r="L44" s="10">
        <f>LOG(F44*0.000000001)</f>
        <v>-7.2328207122918071</v>
      </c>
      <c r="M44">
        <v>-5</v>
      </c>
      <c r="N44" t="s">
        <v>24</v>
      </c>
    </row>
    <row r="45" spans="1:17" ht="15.75" x14ac:dyDescent="0.25">
      <c r="A45" s="35"/>
      <c r="B45" s="14">
        <v>45386</v>
      </c>
      <c r="C45" s="17">
        <v>257</v>
      </c>
      <c r="D45" s="15"/>
      <c r="E45" s="15"/>
      <c r="F45" s="15">
        <f>C45/(1+ 3.93/$I$1)</f>
        <v>122.15220293724965</v>
      </c>
      <c r="G45" s="12"/>
      <c r="H45" s="98">
        <f>H43/G43</f>
        <v>0.33051686097028338</v>
      </c>
      <c r="I45" s="12">
        <v>-0.49680000000000002</v>
      </c>
      <c r="L45" s="10">
        <f>LOG(F45*0.000000001)</f>
        <v>-6.9130986963952967</v>
      </c>
      <c r="M45">
        <v>-5</v>
      </c>
      <c r="N45" t="s">
        <v>24</v>
      </c>
    </row>
    <row r="46" spans="1:17" x14ac:dyDescent="0.2">
      <c r="B46" s="14"/>
      <c r="C46" s="17"/>
      <c r="D46" s="15"/>
      <c r="E46" s="15"/>
      <c r="F46" s="17"/>
      <c r="G46" s="12"/>
      <c r="H46" s="16"/>
    </row>
    <row r="47" spans="1:17" ht="15" x14ac:dyDescent="0.25">
      <c r="A47" s="168">
        <v>34490</v>
      </c>
      <c r="B47" s="10" t="s">
        <v>0</v>
      </c>
      <c r="C47" s="13" t="s">
        <v>8</v>
      </c>
      <c r="D47" s="10" t="s">
        <v>1</v>
      </c>
      <c r="E47" s="10" t="s">
        <v>2</v>
      </c>
      <c r="F47" s="10" t="s">
        <v>3</v>
      </c>
      <c r="G47" s="10" t="s">
        <v>1</v>
      </c>
      <c r="H47" s="10" t="s">
        <v>2</v>
      </c>
      <c r="I47" s="12" t="s">
        <v>4</v>
      </c>
      <c r="J47" s="12" t="s">
        <v>5</v>
      </c>
      <c r="K47" s="12" t="s">
        <v>2</v>
      </c>
      <c r="L47" s="10" t="s">
        <v>6</v>
      </c>
    </row>
    <row r="48" spans="1:17" x14ac:dyDescent="0.2">
      <c r="B48" s="14">
        <v>45342</v>
      </c>
      <c r="C48" s="15"/>
      <c r="D48" s="13">
        <f>AVERAGE(C48:C54)</f>
        <v>5.4823399999999989</v>
      </c>
      <c r="E48" s="13">
        <f>STDEV(C48:C54)/SQRT(COUNT(C48:C54))</f>
        <v>1.7677285950054666</v>
      </c>
      <c r="F48" s="12"/>
      <c r="G48" s="13">
        <f>AVERAGE(F48:F54)</f>
        <v>2.8185175889254155</v>
      </c>
      <c r="H48" s="13">
        <f>STDEV(F48:F54)/SQRT(COUNT(F48:F54))</f>
        <v>0.90407516828778201</v>
      </c>
      <c r="J48" s="12">
        <f>AVERAGE(I48:I54)</f>
        <v>-0.90006000000000008</v>
      </c>
      <c r="K48" s="12">
        <f>STDEV(I48:I54)/SQRT(COUNT(I48:I54))</f>
        <v>0.21007833681748342</v>
      </c>
      <c r="L48" s="10" t="e">
        <f>LOG(F48*0.000000001)</f>
        <v>#NUM!</v>
      </c>
      <c r="M48">
        <v>-5</v>
      </c>
      <c r="N48" t="s">
        <v>24</v>
      </c>
      <c r="O48" s="154" t="s">
        <v>66</v>
      </c>
    </row>
    <row r="49" spans="1:15" ht="15.75" x14ac:dyDescent="0.25">
      <c r="A49" s="35"/>
      <c r="B49" s="14">
        <v>45369</v>
      </c>
      <c r="C49" s="13">
        <v>6.8570000000000002</v>
      </c>
      <c r="D49" s="15"/>
      <c r="E49" s="15"/>
      <c r="F49" s="13">
        <f>C49/(1+ 3.73/$I$1)</f>
        <v>3.3485486968449933</v>
      </c>
      <c r="G49" s="12"/>
      <c r="H49" s="12"/>
      <c r="I49" s="12">
        <v>-0.49640000000000001</v>
      </c>
      <c r="L49" s="10">
        <f>LOG(F49*0.000000001)</f>
        <v>-8.4751433808797252</v>
      </c>
      <c r="M49">
        <v>-7</v>
      </c>
      <c r="N49" t="s">
        <v>24</v>
      </c>
    </row>
    <row r="50" spans="1:15" ht="15.75" x14ac:dyDescent="0.25">
      <c r="A50" s="35"/>
      <c r="B50" s="14">
        <v>45386</v>
      </c>
      <c r="C50" s="12">
        <v>0.7147</v>
      </c>
      <c r="D50" s="15"/>
      <c r="E50" s="15"/>
      <c r="F50" s="12">
        <f>C50/(1+ 3.93/$I$1)</f>
        <v>0.33969719626168221</v>
      </c>
      <c r="G50" s="12"/>
      <c r="H50" s="98">
        <f>H48/G48</f>
        <v>0.32076264907485236</v>
      </c>
      <c r="I50" s="12">
        <v>-0.4239</v>
      </c>
      <c r="L50" s="10">
        <f>LOG(F50*0.000000001)</f>
        <v>-9.4689080376254235</v>
      </c>
      <c r="M50">
        <v>-7</v>
      </c>
      <c r="N50" t="s">
        <v>24</v>
      </c>
    </row>
    <row r="51" spans="1:15" ht="15.75" x14ac:dyDescent="0.25">
      <c r="A51" s="35"/>
      <c r="B51" s="14">
        <v>45488</v>
      </c>
      <c r="C51" s="12" t="s">
        <v>46</v>
      </c>
      <c r="D51" s="15"/>
      <c r="E51" s="15"/>
      <c r="G51" s="13" t="e">
        <f>C51/(1+ 3.65/$I$1)</f>
        <v>#VALUE!</v>
      </c>
      <c r="H51" s="16"/>
      <c r="J51" s="12">
        <v>-1.5569999999999999</v>
      </c>
      <c r="L51" s="10" t="e">
        <f>LOG(G51*0.000000001)</f>
        <v>#VALUE!</v>
      </c>
      <c r="M51">
        <v>-7</v>
      </c>
      <c r="N51" s="1" t="s">
        <v>40</v>
      </c>
      <c r="O51" s="102" t="s">
        <v>64</v>
      </c>
    </row>
    <row r="52" spans="1:15" ht="15.75" x14ac:dyDescent="0.25">
      <c r="A52" s="35"/>
      <c r="B52" s="14">
        <v>45517</v>
      </c>
      <c r="C52" s="12">
        <v>1.9950000000000001</v>
      </c>
      <c r="D52" s="15"/>
      <c r="E52" s="15"/>
      <c r="F52" s="13">
        <f>C52/(1+ 2.65/$I$1)</f>
        <v>1.1436714975845412</v>
      </c>
      <c r="G52" s="12"/>
      <c r="H52" s="16"/>
      <c r="I52" s="12">
        <v>-0.90200000000000002</v>
      </c>
      <c r="L52" s="10">
        <f>LOG(F52*0.000000001)</f>
        <v>-8.941698702180938</v>
      </c>
      <c r="M52">
        <v>-7</v>
      </c>
      <c r="N52" s="1" t="s">
        <v>40</v>
      </c>
    </row>
    <row r="53" spans="1:15" ht="15.75" x14ac:dyDescent="0.25">
      <c r="A53" s="35"/>
      <c r="B53" s="14">
        <v>45575</v>
      </c>
      <c r="C53" s="12">
        <v>7.9109999999999996</v>
      </c>
      <c r="D53" s="15"/>
      <c r="E53" s="15"/>
      <c r="F53" s="13">
        <f>C53/(1+ 3.3/$I$1)</f>
        <v>4.1054169096209909</v>
      </c>
      <c r="G53" s="12"/>
      <c r="H53" s="16"/>
      <c r="I53" s="12">
        <v>-1.107</v>
      </c>
      <c r="L53" s="10">
        <f>LOG(F53*0.000000001)</f>
        <v>-8.3866427332207802</v>
      </c>
      <c r="M53">
        <v>-7</v>
      </c>
      <c r="N53" s="1" t="s">
        <v>40</v>
      </c>
    </row>
    <row r="54" spans="1:15" ht="15.75" x14ac:dyDescent="0.25">
      <c r="A54" s="35"/>
      <c r="B54" s="14">
        <v>45575</v>
      </c>
      <c r="C54" s="12">
        <v>9.9339999999999993</v>
      </c>
      <c r="D54" s="15"/>
      <c r="E54" s="15"/>
      <c r="F54" s="13">
        <f>C54/(1+ 3.3/$I$1)</f>
        <v>5.1552536443148682</v>
      </c>
      <c r="G54" s="12"/>
      <c r="H54" s="16"/>
      <c r="I54" s="12">
        <v>-1.571</v>
      </c>
      <c r="L54" s="10">
        <f>LOG(F54*0.000000001)</f>
        <v>-8.2877499620746722</v>
      </c>
      <c r="M54">
        <v>-7</v>
      </c>
      <c r="N54" s="1" t="s">
        <v>40</v>
      </c>
    </row>
    <row r="55" spans="1:15" x14ac:dyDescent="0.2">
      <c r="B55" s="14"/>
      <c r="C55" s="17"/>
      <c r="D55" s="15"/>
      <c r="E55" s="15"/>
      <c r="F55" s="17"/>
      <c r="G55" s="12"/>
      <c r="H55" s="16"/>
    </row>
    <row r="56" spans="1:15" ht="15" x14ac:dyDescent="0.25">
      <c r="A56" s="193">
        <v>34491</v>
      </c>
      <c r="B56" s="10" t="s">
        <v>0</v>
      </c>
      <c r="C56" s="13" t="s">
        <v>8</v>
      </c>
      <c r="D56" s="10" t="s">
        <v>1</v>
      </c>
      <c r="E56" s="10" t="s">
        <v>2</v>
      </c>
      <c r="F56" s="10" t="s">
        <v>3</v>
      </c>
      <c r="G56" s="10" t="s">
        <v>1</v>
      </c>
      <c r="H56" s="10" t="s">
        <v>2</v>
      </c>
      <c r="I56" s="12" t="s">
        <v>4</v>
      </c>
      <c r="J56" s="12" t="s">
        <v>5</v>
      </c>
      <c r="K56" s="12" t="s">
        <v>2</v>
      </c>
      <c r="L56" s="10" t="s">
        <v>6</v>
      </c>
    </row>
    <row r="57" spans="1:15" x14ac:dyDescent="0.2">
      <c r="B57" s="14">
        <v>45342</v>
      </c>
      <c r="C57" s="15"/>
      <c r="D57" s="13">
        <f>AVERAGE(C57:C65)</f>
        <v>4.2362000000000002</v>
      </c>
      <c r="E57" s="13">
        <f>STDEV(C57:C65)/SQRT(COUNT(C57:C65))</f>
        <v>1.2939651673386399</v>
      </c>
      <c r="F57" s="12"/>
      <c r="G57" s="13">
        <f>AVERAGE(F57:F65)</f>
        <v>2.2611906765624066</v>
      </c>
      <c r="H57" s="13">
        <f>STDEV(F57:F65)/SQRT(COUNT(F57:F65))</f>
        <v>0.64970963067705734</v>
      </c>
      <c r="J57" s="12">
        <f>AVERAGE(I57:I65)</f>
        <v>-0.99451249999999991</v>
      </c>
      <c r="K57" s="12">
        <f>STDEV(I57:I65)/SQRT(COUNT(I57:I65))</f>
        <v>0.14259027896827331</v>
      </c>
      <c r="L57" s="10" t="e">
        <f t="shared" ref="L57:L65" si="3">LOG(F57*0.000000001)</f>
        <v>#NUM!</v>
      </c>
      <c r="M57">
        <v>-5</v>
      </c>
      <c r="N57" t="s">
        <v>24</v>
      </c>
      <c r="O57" s="154" t="s">
        <v>66</v>
      </c>
    </row>
    <row r="58" spans="1:15" ht="15.75" x14ac:dyDescent="0.25">
      <c r="A58" s="35"/>
      <c r="B58" s="14">
        <v>45369</v>
      </c>
      <c r="C58" s="13">
        <v>2.032</v>
      </c>
      <c r="D58" s="15"/>
      <c r="E58" s="15"/>
      <c r="F58" s="12">
        <f>C58/(1+ 3.73/$I$1)</f>
        <v>0.9923072702331962</v>
      </c>
      <c r="G58" s="12"/>
      <c r="H58" s="12"/>
      <c r="I58" s="12">
        <v>-0.3911</v>
      </c>
      <c r="L58" s="10">
        <f t="shared" si="3"/>
        <v>-9.0033538267332176</v>
      </c>
      <c r="M58">
        <v>-7</v>
      </c>
      <c r="N58" t="s">
        <v>24</v>
      </c>
    </row>
    <row r="59" spans="1:15" ht="15.75" x14ac:dyDescent="0.25">
      <c r="A59" s="35"/>
      <c r="B59" s="14">
        <v>45386</v>
      </c>
      <c r="C59" s="12">
        <v>0.29559999999999997</v>
      </c>
      <c r="D59" s="15"/>
      <c r="E59" s="15"/>
      <c r="F59" s="12">
        <f>C59/(1+ 3.93/$I$1)</f>
        <v>0.14049879839786378</v>
      </c>
      <c r="G59" s="12"/>
      <c r="H59" s="98">
        <f>H57/G57</f>
        <v>0.28733075782215045</v>
      </c>
      <c r="I59" s="12">
        <v>-0.38200000000000001</v>
      </c>
      <c r="L59" s="10">
        <f t="shared" si="3"/>
        <v>-9.8523273900038024</v>
      </c>
      <c r="M59">
        <v>-7</v>
      </c>
      <c r="N59" t="s">
        <v>24</v>
      </c>
    </row>
    <row r="60" spans="1:15" ht="15.75" x14ac:dyDescent="0.25">
      <c r="A60" s="35"/>
      <c r="B60" s="14">
        <v>45488</v>
      </c>
      <c r="C60" s="131">
        <v>11.55</v>
      </c>
      <c r="D60" s="15"/>
      <c r="E60" s="15"/>
      <c r="F60" s="13">
        <f>C60/(1+ 3.65/$I$1)</f>
        <v>5.7029126213592241</v>
      </c>
      <c r="H60" s="16"/>
      <c r="I60" s="12">
        <v>-1.47</v>
      </c>
      <c r="L60" s="10">
        <f t="shared" si="3"/>
        <v>-8.2439032825183904</v>
      </c>
      <c r="M60">
        <v>-7</v>
      </c>
      <c r="N60" s="1" t="s">
        <v>40</v>
      </c>
      <c r="O60" s="102"/>
    </row>
    <row r="61" spans="1:15" ht="15.75" x14ac:dyDescent="0.25">
      <c r="A61" s="35"/>
      <c r="B61" s="14">
        <v>45517</v>
      </c>
      <c r="C61" s="12">
        <v>1.153</v>
      </c>
      <c r="D61" s="15"/>
      <c r="E61" s="15"/>
      <c r="F61" s="13">
        <f>C61/(1+ 2.65/$I$1)</f>
        <v>0.6609790660225443</v>
      </c>
      <c r="G61" s="12"/>
      <c r="H61" s="16"/>
      <c r="I61" s="12">
        <v>-1.0049999999999999</v>
      </c>
      <c r="L61" s="10">
        <f t="shared" si="3"/>
        <v>-9.1798122949090057</v>
      </c>
      <c r="M61">
        <v>-7</v>
      </c>
      <c r="N61" s="1" t="s">
        <v>40</v>
      </c>
    </row>
    <row r="62" spans="1:15" ht="15.75" x14ac:dyDescent="0.25">
      <c r="A62" s="35"/>
      <c r="B62" s="14">
        <v>45575</v>
      </c>
      <c r="C62" s="12">
        <v>5.6289999999999996</v>
      </c>
      <c r="D62" s="15"/>
      <c r="E62" s="15"/>
      <c r="F62" s="13">
        <f>C62/(1+ 3.33/$I$1)</f>
        <v>2.9084528301886787</v>
      </c>
      <c r="G62" s="12"/>
      <c r="H62" s="16"/>
      <c r="I62" s="12">
        <v>-1.06</v>
      </c>
      <c r="L62" s="10">
        <f t="shared" si="3"/>
        <v>-8.5363379752745487</v>
      </c>
      <c r="M62">
        <v>-7</v>
      </c>
      <c r="N62" s="1" t="s">
        <v>40</v>
      </c>
    </row>
    <row r="63" spans="1:15" ht="15.75" x14ac:dyDescent="0.25">
      <c r="A63" s="35"/>
      <c r="B63" s="14">
        <v>45575</v>
      </c>
      <c r="C63" s="12">
        <v>5.82</v>
      </c>
      <c r="D63" s="15"/>
      <c r="E63" s="15"/>
      <c r="F63" s="13">
        <f>C63/(1+ 3.33/$I$1)</f>
        <v>3.0071407837445574</v>
      </c>
      <c r="G63" s="12"/>
      <c r="H63" s="16"/>
      <c r="I63" s="12">
        <v>-1.3180000000000001</v>
      </c>
      <c r="L63" s="10">
        <f t="shared" si="3"/>
        <v>-8.5218462392848622</v>
      </c>
      <c r="M63">
        <v>-7</v>
      </c>
      <c r="N63" s="1" t="s">
        <v>40</v>
      </c>
    </row>
    <row r="64" spans="1:15" ht="15.75" x14ac:dyDescent="0.25">
      <c r="A64" s="35"/>
      <c r="B64" s="14">
        <v>45577</v>
      </c>
      <c r="C64" s="12">
        <v>2.0670000000000002</v>
      </c>
      <c r="D64" s="15"/>
      <c r="E64" s="15"/>
      <c r="F64" s="13">
        <f>C64/(1+ 2.08/$I$1)</f>
        <v>1.3047021276595745</v>
      </c>
      <c r="G64" s="12"/>
      <c r="H64" s="16"/>
      <c r="I64" s="12">
        <v>-1.1100000000000001</v>
      </c>
      <c r="L64" s="10">
        <f t="shared" si="3"/>
        <v>-8.8844886293831795</v>
      </c>
      <c r="M64">
        <v>-7</v>
      </c>
      <c r="N64" s="1" t="s">
        <v>40</v>
      </c>
    </row>
    <row r="65" spans="1:15" ht="15" x14ac:dyDescent="0.2">
      <c r="A65" s="159" t="s">
        <v>111</v>
      </c>
      <c r="B65" s="14">
        <v>45577</v>
      </c>
      <c r="C65" s="12">
        <v>5.343</v>
      </c>
      <c r="D65" s="15"/>
      <c r="E65" s="15"/>
      <c r="F65" s="13">
        <f>C65/(1+ 2.08/$I$1)</f>
        <v>3.3725319148936168</v>
      </c>
      <c r="G65" s="12"/>
      <c r="H65" s="16"/>
      <c r="I65" s="12">
        <v>-1.22</v>
      </c>
      <c r="L65" s="10">
        <f t="shared" si="3"/>
        <v>-8.472043931827562</v>
      </c>
      <c r="M65">
        <v>-7</v>
      </c>
      <c r="N65" s="1" t="s">
        <v>40</v>
      </c>
    </row>
    <row r="66" spans="1:15" x14ac:dyDescent="0.2">
      <c r="B66" s="14"/>
      <c r="C66" s="17"/>
      <c r="D66" s="15"/>
      <c r="E66" s="15"/>
      <c r="F66" s="17"/>
      <c r="G66" s="12"/>
      <c r="H66" s="16"/>
    </row>
    <row r="67" spans="1:15" ht="15" x14ac:dyDescent="0.25">
      <c r="A67" s="168">
        <v>34492</v>
      </c>
      <c r="B67" s="10" t="s">
        <v>0</v>
      </c>
      <c r="C67" s="13" t="s">
        <v>8</v>
      </c>
      <c r="D67" s="10" t="s">
        <v>1</v>
      </c>
      <c r="E67" s="10" t="s">
        <v>2</v>
      </c>
      <c r="F67" s="10" t="s">
        <v>3</v>
      </c>
      <c r="G67" s="10" t="s">
        <v>1</v>
      </c>
      <c r="H67" s="10" t="s">
        <v>2</v>
      </c>
      <c r="I67" s="12" t="s">
        <v>4</v>
      </c>
      <c r="J67" s="12" t="s">
        <v>5</v>
      </c>
      <c r="K67" s="12" t="s">
        <v>2</v>
      </c>
      <c r="L67" s="10" t="s">
        <v>6</v>
      </c>
    </row>
    <row r="68" spans="1:15" x14ac:dyDescent="0.2">
      <c r="B68" s="14">
        <v>45342</v>
      </c>
      <c r="C68" s="15"/>
      <c r="D68" s="13">
        <f>AVERAGE(C68:C73)</f>
        <v>3.3513333333333333</v>
      </c>
      <c r="E68" s="13">
        <f>STDEV(C68:C73)/SQRT(COUNT(C68:C73))</f>
        <v>1.0577278057757153</v>
      </c>
      <c r="F68" s="12"/>
      <c r="G68" s="13">
        <f>AVERAGE(F68:F73)</f>
        <v>1.6915802447370965</v>
      </c>
      <c r="H68" s="13">
        <f>STDEV(F68:F73)/SQRT(COUNT(F68:F73))</f>
        <v>0.47919320233240265</v>
      </c>
      <c r="J68" s="12">
        <f>AVERAGE(I68:I73)</f>
        <v>-0.89216666666666666</v>
      </c>
      <c r="K68" s="12">
        <f>STDEV(I68:I73)/SQRT(COUNT(I68:I73))</f>
        <v>0.246198147389004</v>
      </c>
      <c r="L68" s="10" t="e">
        <f>LOG(F68*0.000000001)</f>
        <v>#NUM!</v>
      </c>
      <c r="M68">
        <v>-5</v>
      </c>
      <c r="N68" t="s">
        <v>24</v>
      </c>
      <c r="O68" s="154" t="s">
        <v>66</v>
      </c>
    </row>
    <row r="69" spans="1:15" ht="15.75" x14ac:dyDescent="0.25">
      <c r="A69" s="35"/>
      <c r="B69" s="14">
        <v>45369</v>
      </c>
      <c r="C69" s="13">
        <v>1.879</v>
      </c>
      <c r="D69" s="15"/>
      <c r="E69" s="15"/>
      <c r="F69" s="12">
        <f>C69/(1+ 3.73/$I$1)</f>
        <v>0.91759122085048017</v>
      </c>
      <c r="G69" s="12"/>
      <c r="H69" s="12"/>
      <c r="I69" s="12">
        <v>-0.41949999999999998</v>
      </c>
      <c r="L69" s="10">
        <f>LOG(F69*0.000000001)</f>
        <v>-9.037350750244574</v>
      </c>
      <c r="M69">
        <v>-7</v>
      </c>
      <c r="N69" t="s">
        <v>24</v>
      </c>
    </row>
    <row r="70" spans="1:15" ht="15.75" x14ac:dyDescent="0.25">
      <c r="A70" s="35"/>
      <c r="B70" s="14">
        <v>45386</v>
      </c>
      <c r="C70" s="192">
        <v>5.4029999999999996</v>
      </c>
      <c r="D70" s="15"/>
      <c r="E70" s="15"/>
      <c r="F70" s="12">
        <f>C70/(1+ 3.93/$I$1)</f>
        <v>2.5680480640854468</v>
      </c>
      <c r="G70" s="12"/>
      <c r="H70" s="98">
        <f>H68/G68</f>
        <v>0.28328138959016891</v>
      </c>
      <c r="I70" s="12">
        <v>-1.248</v>
      </c>
      <c r="L70" s="10">
        <f>LOG(F70*0.000000001)</f>
        <v>-8.5903968521873963</v>
      </c>
      <c r="M70">
        <v>-7</v>
      </c>
      <c r="N70" t="s">
        <v>24</v>
      </c>
    </row>
    <row r="71" spans="1:15" ht="15.75" x14ac:dyDescent="0.25">
      <c r="A71" s="35"/>
      <c r="B71" s="14">
        <v>45488</v>
      </c>
      <c r="C71" s="13" t="s">
        <v>86</v>
      </c>
      <c r="D71" s="15"/>
      <c r="E71" s="15"/>
      <c r="G71" s="13" t="e">
        <f>C71/(1+ 3.65/$I$1)</f>
        <v>#VALUE!</v>
      </c>
      <c r="H71" s="16"/>
      <c r="J71" s="12">
        <v>-1.042</v>
      </c>
      <c r="L71" s="10" t="e">
        <f>LOG(G71*0.000000001)</f>
        <v>#VALUE!</v>
      </c>
      <c r="M71">
        <v>-7</v>
      </c>
      <c r="N71" s="1" t="s">
        <v>40</v>
      </c>
      <c r="O71" s="102" t="s">
        <v>64</v>
      </c>
    </row>
    <row r="72" spans="1:15" ht="15.75" x14ac:dyDescent="0.25">
      <c r="A72" s="35"/>
      <c r="B72" s="14">
        <v>45517</v>
      </c>
      <c r="C72" s="13">
        <v>2.7719999999999998</v>
      </c>
      <c r="D72" s="15"/>
      <c r="E72" s="15"/>
      <c r="F72" s="13">
        <f>C72/(1+ 2.65/$I$1)</f>
        <v>1.5891014492753623</v>
      </c>
      <c r="G72" s="12"/>
      <c r="H72" s="16"/>
      <c r="I72" s="12">
        <v>-1.0089999999999999</v>
      </c>
      <c r="L72" s="10">
        <f>LOG(F72*0.000000001)</f>
        <v>-8.7988483762639351</v>
      </c>
      <c r="M72">
        <v>-7</v>
      </c>
      <c r="N72" s="1" t="s">
        <v>40</v>
      </c>
    </row>
    <row r="73" spans="1:15" ht="15.75" x14ac:dyDescent="0.25">
      <c r="A73" s="35"/>
      <c r="B73" s="14"/>
      <c r="D73" s="15"/>
      <c r="E73" s="15"/>
      <c r="F73" s="12"/>
      <c r="G73" s="12"/>
      <c r="H73" s="16"/>
    </row>
    <row r="74" spans="1:15" x14ac:dyDescent="0.2">
      <c r="B74" s="14"/>
      <c r="C74" s="17"/>
      <c r="D74" s="15"/>
      <c r="E74" s="15"/>
      <c r="F74" s="17"/>
      <c r="G74" s="12"/>
      <c r="H74" s="16"/>
    </row>
    <row r="75" spans="1:15" ht="15" x14ac:dyDescent="0.25">
      <c r="A75" s="168">
        <v>34493</v>
      </c>
      <c r="B75" s="10" t="s">
        <v>0</v>
      </c>
      <c r="C75" s="13" t="s">
        <v>8</v>
      </c>
      <c r="D75" s="10" t="s">
        <v>1</v>
      </c>
      <c r="E75" s="10" t="s">
        <v>2</v>
      </c>
      <c r="F75" s="10" t="s">
        <v>3</v>
      </c>
      <c r="G75" s="10" t="s">
        <v>1</v>
      </c>
      <c r="H75" s="10" t="s">
        <v>2</v>
      </c>
      <c r="I75" s="12" t="s">
        <v>4</v>
      </c>
      <c r="J75" s="12" t="s">
        <v>5</v>
      </c>
      <c r="K75" s="12" t="s">
        <v>2</v>
      </c>
      <c r="L75" s="10" t="s">
        <v>6</v>
      </c>
    </row>
    <row r="76" spans="1:15" x14ac:dyDescent="0.2">
      <c r="B76" s="14">
        <v>45342</v>
      </c>
      <c r="C76" s="15"/>
      <c r="D76" s="12">
        <f>AVERAGE(C76:C82)</f>
        <v>8.3405000000000005</v>
      </c>
      <c r="E76" s="12">
        <f>STDEV(C76:C82)/SQRT(COUNT(C76:C82))</f>
        <v>2.2165097601108523</v>
      </c>
      <c r="F76" s="12"/>
      <c r="G76" s="12">
        <f>AVERAGE(F76:F82)</f>
        <v>4.3015694079724724</v>
      </c>
      <c r="H76" s="12">
        <f>STDEV(F76:F82)/SQRT(COUNT(F76:F82))</f>
        <v>1.1262604770926588</v>
      </c>
      <c r="J76" s="12">
        <f>AVERAGE(I76:I82)</f>
        <v>-0.88925797101449267</v>
      </c>
      <c r="K76" s="12">
        <f>STDEV(I76:I82)/SQRT(COUNT(I76:I82))</f>
        <v>0.23197899829616819</v>
      </c>
      <c r="L76" s="10" t="e">
        <f>LOG(F76*0.000000001)</f>
        <v>#NUM!</v>
      </c>
      <c r="M76">
        <v>-5</v>
      </c>
      <c r="N76" t="s">
        <v>24</v>
      </c>
      <c r="O76" s="154" t="s">
        <v>65</v>
      </c>
    </row>
    <row r="77" spans="1:15" ht="15.75" x14ac:dyDescent="0.25">
      <c r="A77" s="35"/>
      <c r="B77" s="14">
        <v>45369</v>
      </c>
      <c r="C77" s="13">
        <v>2.371</v>
      </c>
      <c r="D77" s="15"/>
      <c r="E77" s="15"/>
      <c r="F77" s="13">
        <f>C77/(1+ 3.73/$I$1)</f>
        <v>1.1578545953360768</v>
      </c>
      <c r="G77" s="12"/>
      <c r="H77" s="12"/>
      <c r="I77" s="12">
        <v>-0.47739999999999999</v>
      </c>
      <c r="L77" s="10">
        <f>LOG(F77*0.000000001)</f>
        <v>-8.936345976366912</v>
      </c>
      <c r="M77">
        <v>-7</v>
      </c>
      <c r="N77" t="s">
        <v>24</v>
      </c>
    </row>
    <row r="78" spans="1:15" ht="15.75" x14ac:dyDescent="0.25">
      <c r="A78" s="35"/>
      <c r="B78" s="14">
        <v>45386</v>
      </c>
      <c r="C78" s="131">
        <v>2.6509999999999998</v>
      </c>
      <c r="D78" s="15"/>
      <c r="E78" s="15"/>
      <c r="F78" s="12">
        <f>C78/(1+ 3.93/$I$1)</f>
        <v>1.2600213618157541</v>
      </c>
      <c r="G78" s="12"/>
      <c r="H78" s="98">
        <f>H76/G76</f>
        <v>0.26182548048748494</v>
      </c>
      <c r="I78" s="12">
        <v>-0.88880000000000003</v>
      </c>
      <c r="L78" s="10">
        <f>LOG(F78*0.000000001)</f>
        <v>-8.8996220919934981</v>
      </c>
      <c r="M78">
        <v>-7</v>
      </c>
      <c r="N78" t="s">
        <v>24</v>
      </c>
    </row>
    <row r="79" spans="1:15" ht="15.75" x14ac:dyDescent="0.25">
      <c r="A79" s="35"/>
      <c r="B79" s="14">
        <v>45488</v>
      </c>
      <c r="C79" s="167">
        <v>16.23</v>
      </c>
      <c r="D79" s="15"/>
      <c r="E79" s="15"/>
      <c r="F79" s="13">
        <f>C79/(1+ 3.65/$I$1)</f>
        <v>8.0137031900138709</v>
      </c>
      <c r="G79" s="13"/>
      <c r="H79" s="16"/>
      <c r="I79" s="12">
        <v>-1.339</v>
      </c>
      <c r="L79" s="10" t="e">
        <f>LOG(G79*0.000000001)</f>
        <v>#NUM!</v>
      </c>
      <c r="M79">
        <v>-7</v>
      </c>
      <c r="N79" s="1" t="s">
        <v>40</v>
      </c>
    </row>
    <row r="80" spans="1:15" ht="15.75" x14ac:dyDescent="0.25">
      <c r="A80" s="35"/>
      <c r="B80" s="14">
        <v>45517</v>
      </c>
      <c r="C80" s="12">
        <v>8.8689999999999998</v>
      </c>
      <c r="D80" s="15"/>
      <c r="E80" s="15"/>
      <c r="F80" s="13">
        <f>C80/(1+ 2.65/$I$1)</f>
        <v>5.0843220611916262</v>
      </c>
      <c r="G80" s="12"/>
      <c r="H80" s="16"/>
      <c r="I80" s="12">
        <v>-1.089</v>
      </c>
      <c r="L80" s="10">
        <f>LOG(F80*0.000000001)</f>
        <v>-8.2937669473060076</v>
      </c>
      <c r="M80">
        <v>-7</v>
      </c>
      <c r="N80" s="1" t="s">
        <v>40</v>
      </c>
    </row>
    <row r="81" spans="1:16" ht="15.75" x14ac:dyDescent="0.25">
      <c r="A81" s="35"/>
      <c r="B81" s="14">
        <v>45575</v>
      </c>
      <c r="C81" s="12">
        <v>12.37</v>
      </c>
      <c r="D81" s="15"/>
      <c r="E81" s="15"/>
      <c r="F81" s="13">
        <f>C81/(1+ 3.33/$I$1)</f>
        <v>6.3914658925979673</v>
      </c>
      <c r="G81" s="12"/>
      <c r="H81" s="16"/>
      <c r="I81" s="12">
        <v>-1.5369999999999999</v>
      </c>
      <c r="L81" s="10">
        <f>LOG(F81*0.000000001)</f>
        <v>-8.1943995243056307</v>
      </c>
      <c r="M81">
        <v>-7</v>
      </c>
      <c r="N81" s="1" t="s">
        <v>40</v>
      </c>
    </row>
    <row r="82" spans="1:16" ht="15.75" x14ac:dyDescent="0.25">
      <c r="A82" s="35"/>
      <c r="B82" s="14">
        <v>45575</v>
      </c>
      <c r="C82" s="12">
        <v>7.5519999999999996</v>
      </c>
      <c r="D82" s="15"/>
      <c r="E82" s="15"/>
      <c r="F82" s="13">
        <f>C82/(1+ 3.33/$I$1)</f>
        <v>3.9020493468795352</v>
      </c>
      <c r="G82" s="12"/>
      <c r="H82" s="16"/>
      <c r="I82" s="12">
        <v>-4.3478260869565218E-3</v>
      </c>
      <c r="L82" s="10">
        <f>LOG(F82*0.000000001)</f>
        <v>-8.4087072426447378</v>
      </c>
      <c r="M82">
        <v>-7</v>
      </c>
      <c r="N82" s="1" t="s">
        <v>40</v>
      </c>
    </row>
    <row r="83" spans="1:16" x14ac:dyDescent="0.2">
      <c r="B83" s="14"/>
      <c r="C83" s="17"/>
      <c r="D83" s="15"/>
      <c r="E83" s="15"/>
      <c r="F83" s="17"/>
      <c r="G83" s="12"/>
      <c r="H83" s="16"/>
    </row>
    <row r="84" spans="1:16" ht="15" x14ac:dyDescent="0.25">
      <c r="A84" s="168">
        <v>34494</v>
      </c>
      <c r="B84" s="10" t="s">
        <v>0</v>
      </c>
      <c r="C84" s="13" t="s">
        <v>8</v>
      </c>
      <c r="D84" s="10" t="s">
        <v>1</v>
      </c>
      <c r="E84" s="10" t="s">
        <v>2</v>
      </c>
      <c r="F84" s="10" t="s">
        <v>3</v>
      </c>
      <c r="G84" s="10" t="s">
        <v>1</v>
      </c>
      <c r="H84" s="10" t="s">
        <v>2</v>
      </c>
      <c r="I84" s="12" t="s">
        <v>4</v>
      </c>
      <c r="J84" s="12" t="s">
        <v>5</v>
      </c>
      <c r="K84" s="12" t="s">
        <v>2</v>
      </c>
      <c r="L84" s="10" t="s">
        <v>6</v>
      </c>
    </row>
    <row r="85" spans="1:16" x14ac:dyDescent="0.2">
      <c r="B85" s="14">
        <v>45342</v>
      </c>
      <c r="D85" s="13">
        <f>AVERAGE(C85:C91)</f>
        <v>1.4961333333333335</v>
      </c>
      <c r="E85" s="13">
        <f>STDEV(C85:C91)/SQRT(COUNT(C85:C91))</f>
        <v>0.45545795756700858</v>
      </c>
      <c r="F85" s="12"/>
      <c r="G85" s="12">
        <f>AVERAGE(F85:F91)</f>
        <v>0.75803459140725826</v>
      </c>
      <c r="H85" s="12">
        <f>STDEV(F85:F91)/SQRT(COUNT(F85:F91))</f>
        <v>0.21412810238839136</v>
      </c>
      <c r="J85" s="12">
        <f>AVERAGE(I86:I91)</f>
        <v>-1.2106333333333332</v>
      </c>
      <c r="K85" s="12">
        <f>STDEV(I86:I91)/SQRT(COUNT(I86:I91))</f>
        <v>0.56643169736321952</v>
      </c>
      <c r="L85" s="10" t="e">
        <f>LOG(F85*0.000000001)</f>
        <v>#NUM!</v>
      </c>
      <c r="M85">
        <v>-5</v>
      </c>
      <c r="N85" t="s">
        <v>24</v>
      </c>
      <c r="O85" s="154" t="s">
        <v>67</v>
      </c>
    </row>
    <row r="86" spans="1:16" ht="15.75" x14ac:dyDescent="0.25">
      <c r="A86" s="35"/>
      <c r="B86" s="14">
        <v>45369</v>
      </c>
      <c r="C86" s="13">
        <v>2.403</v>
      </c>
      <c r="D86" s="15"/>
      <c r="E86" s="15"/>
      <c r="F86" s="17">
        <f>C86/(1+ 3.73/$I$1)</f>
        <v>1.1734814814814816</v>
      </c>
      <c r="G86" s="12"/>
      <c r="H86" s="12"/>
      <c r="I86" s="12">
        <v>-0.61539999999999995</v>
      </c>
      <c r="L86" s="10">
        <f>LOG(F86*0.000000001)</f>
        <v>-8.9305237595411988</v>
      </c>
      <c r="M86">
        <v>-7</v>
      </c>
      <c r="N86" t="s">
        <v>24</v>
      </c>
    </row>
    <row r="87" spans="1:16" ht="15.75" x14ac:dyDescent="0.25">
      <c r="A87" s="35"/>
      <c r="B87" s="14">
        <v>45386</v>
      </c>
      <c r="C87" s="192">
        <v>0.96840000000000004</v>
      </c>
      <c r="D87" s="15"/>
      <c r="E87" s="15"/>
      <c r="F87" s="12">
        <f>C87/(1+ 3.93/$I$1)</f>
        <v>0.46028090787716952</v>
      </c>
      <c r="G87" s="12"/>
      <c r="H87" s="98">
        <f>H85/G85</f>
        <v>0.28247800933579015</v>
      </c>
      <c r="I87" s="12">
        <v>-0.67349999999999999</v>
      </c>
      <c r="L87" s="10">
        <f>LOG(F87*0.000000001)</f>
        <v>-9.3369770389568956</v>
      </c>
      <c r="M87">
        <v>-7</v>
      </c>
      <c r="N87" t="s">
        <v>24</v>
      </c>
    </row>
    <row r="88" spans="1:16" x14ac:dyDescent="0.2">
      <c r="B88" s="14">
        <v>45488</v>
      </c>
      <c r="C88" s="17" t="s">
        <v>63</v>
      </c>
      <c r="D88" s="15"/>
      <c r="E88" s="15"/>
      <c r="G88" s="13" t="e">
        <f>C88/(1+ 3.65/$I$1)</f>
        <v>#VALUE!</v>
      </c>
      <c r="H88" s="16"/>
      <c r="J88" s="12">
        <v>-1.4930000000000001</v>
      </c>
      <c r="L88" s="10" t="e">
        <f>LOG(G88*0.000000001)</f>
        <v>#VALUE!</v>
      </c>
      <c r="M88">
        <v>-7</v>
      </c>
      <c r="N88" s="1" t="s">
        <v>40</v>
      </c>
    </row>
    <row r="89" spans="1:16" x14ac:dyDescent="0.2">
      <c r="B89" s="14">
        <v>45517</v>
      </c>
      <c r="C89" s="17">
        <v>1.117</v>
      </c>
      <c r="D89" s="12"/>
      <c r="E89" s="12"/>
      <c r="F89" s="13">
        <f>C89/(1+ 2.65/$I$1)</f>
        <v>0.64034138486312409</v>
      </c>
      <c r="G89" s="12"/>
      <c r="H89" s="18"/>
      <c r="I89" s="12">
        <v>-2.343</v>
      </c>
      <c r="L89" s="10">
        <f>LOG(F89*0.000000001)</f>
        <v>-9.1935884290880967</v>
      </c>
      <c r="M89">
        <v>-7</v>
      </c>
      <c r="N89" s="1" t="s">
        <v>40</v>
      </c>
      <c r="O89" s="1"/>
    </row>
    <row r="90" spans="1:16" x14ac:dyDescent="0.2">
      <c r="B90" s="14"/>
      <c r="C90" s="17"/>
      <c r="D90" s="12"/>
      <c r="E90" s="12"/>
      <c r="F90" s="13"/>
      <c r="G90" s="12"/>
      <c r="H90" s="18"/>
      <c r="N90" s="1"/>
      <c r="O90" s="1"/>
    </row>
    <row r="91" spans="1:16" ht="15" x14ac:dyDescent="0.25">
      <c r="A91" s="36" t="s">
        <v>9</v>
      </c>
      <c r="B91" s="184"/>
      <c r="C91" s="26"/>
      <c r="D91" s="23"/>
      <c r="E91" s="23"/>
      <c r="F91" s="25"/>
      <c r="G91" s="26"/>
      <c r="H91" s="187"/>
      <c r="I91" s="26"/>
      <c r="J91" s="26"/>
      <c r="K91" s="26"/>
      <c r="L91" s="22"/>
      <c r="M91" s="186"/>
      <c r="N91" s="188"/>
      <c r="O91" s="188"/>
      <c r="P91" s="186"/>
    </row>
    <row r="92" spans="1:16" x14ac:dyDescent="0.2">
      <c r="A92" s="7" t="s">
        <v>14</v>
      </c>
      <c r="B92" s="27"/>
      <c r="C92" s="28"/>
      <c r="D92" s="28"/>
      <c r="E92" s="28"/>
      <c r="F92" s="28"/>
      <c r="G92" s="28"/>
      <c r="H92" s="30"/>
      <c r="I92" s="28"/>
      <c r="J92" s="28"/>
      <c r="K92" s="28"/>
      <c r="L92" s="31"/>
    </row>
    <row r="93" spans="1:16" x14ac:dyDescent="0.2">
      <c r="A93" s="4">
        <v>-6</v>
      </c>
      <c r="B93" s="10" t="s">
        <v>0</v>
      </c>
      <c r="C93" s="13" t="s">
        <v>8</v>
      </c>
      <c r="D93" s="10" t="s">
        <v>1</v>
      </c>
      <c r="E93" s="10" t="s">
        <v>2</v>
      </c>
      <c r="F93" s="10" t="s">
        <v>3</v>
      </c>
      <c r="G93" s="10" t="s">
        <v>1</v>
      </c>
      <c r="H93" s="10" t="s">
        <v>2</v>
      </c>
      <c r="I93" s="12" t="s">
        <v>4</v>
      </c>
      <c r="J93" s="12" t="s">
        <v>5</v>
      </c>
      <c r="K93" s="12" t="s">
        <v>2</v>
      </c>
      <c r="L93" s="10" t="s">
        <v>6</v>
      </c>
    </row>
    <row r="94" spans="1:16" x14ac:dyDescent="0.2">
      <c r="B94" s="14">
        <v>45342</v>
      </c>
      <c r="C94" s="12">
        <v>7.2859999999999996</v>
      </c>
      <c r="D94" s="13">
        <f>AVERAGE(C94:C101)</f>
        <v>11.470857142857142</v>
      </c>
      <c r="E94" s="13">
        <f>STDEV(C94:C101)/SQRT(COUNT(C94:C101))</f>
        <v>1.7097573683138205</v>
      </c>
      <c r="F94" s="13">
        <f>C94/(1+ 3.48/$I$1)</f>
        <v>3.6843977272727271</v>
      </c>
      <c r="G94" s="13">
        <f>AVERAGE(F94:F101)</f>
        <v>5.8377606061120817</v>
      </c>
      <c r="H94" s="13">
        <f>STDEV(F94:F101)/SQRT(COUNT(F94:F101))</f>
        <v>0.94637883631303787</v>
      </c>
      <c r="I94" s="12">
        <v>-0.87139999999999995</v>
      </c>
      <c r="J94" s="12">
        <f>AVERAGE(I94:I101)</f>
        <v>-0.91594285714285717</v>
      </c>
      <c r="K94" s="12">
        <f>STDEV(I94:I101)/SQRT(COUNT(I94:I101))</f>
        <v>8.644867416742788E-2</v>
      </c>
      <c r="L94" s="10">
        <f t="shared" ref="L94:L99" si="4">LOG(F94*0.000000001)</f>
        <v>-8.43363349426334</v>
      </c>
      <c r="M94" s="2" t="s">
        <v>24</v>
      </c>
    </row>
    <row r="95" spans="1:16" ht="15.75" x14ac:dyDescent="0.25">
      <c r="A95" s="35"/>
      <c r="B95" s="14">
        <v>45369</v>
      </c>
      <c r="C95" s="12">
        <v>7.24</v>
      </c>
      <c r="D95" s="15"/>
      <c r="E95" s="15"/>
      <c r="F95" s="13">
        <f>C95/(1+ 3.73/$I$1)</f>
        <v>3.5355829903978053</v>
      </c>
      <c r="H95" s="16"/>
      <c r="I95" s="12">
        <v>-0.75929999999999997</v>
      </c>
      <c r="L95" s="10">
        <f t="shared" si="4"/>
        <v>-8.4515389641479519</v>
      </c>
      <c r="M95" s="2" t="s">
        <v>24</v>
      </c>
    </row>
    <row r="96" spans="1:16" ht="15.75" x14ac:dyDescent="0.25">
      <c r="A96" s="35"/>
      <c r="B96" s="14">
        <v>45386</v>
      </c>
      <c r="C96" s="13">
        <v>10.45</v>
      </c>
      <c r="D96" s="15"/>
      <c r="E96" s="15"/>
      <c r="F96" s="13">
        <f>C96/(1+ 3.93/$I$1)</f>
        <v>4.9668891855807731</v>
      </c>
      <c r="H96" s="98">
        <f>H94/G94</f>
        <v>0.16211333423336818</v>
      </c>
      <c r="I96" s="12">
        <v>-0.80379999999999996</v>
      </c>
      <c r="L96" s="10">
        <f t="shared" si="4"/>
        <v>-8.3039155292795179</v>
      </c>
      <c r="M96" s="2" t="s">
        <v>24</v>
      </c>
    </row>
    <row r="97" spans="1:17" ht="15.75" x14ac:dyDescent="0.25">
      <c r="A97" s="35"/>
      <c r="B97" s="14">
        <v>45386</v>
      </c>
      <c r="C97" s="13">
        <v>17.2</v>
      </c>
      <c r="D97" s="15"/>
      <c r="E97" s="15"/>
      <c r="F97" s="13">
        <f>C97/(1+ 3.93/$I$1)</f>
        <v>8.1751668891855793</v>
      </c>
      <c r="H97" s="16"/>
      <c r="I97" s="12">
        <v>-1.0149999999999999</v>
      </c>
      <c r="L97" s="10">
        <f t="shared" si="4"/>
        <v>-8.0875033728190431</v>
      </c>
      <c r="M97" s="2" t="s">
        <v>24</v>
      </c>
    </row>
    <row r="98" spans="1:17" x14ac:dyDescent="0.2">
      <c r="B98" s="14">
        <v>45488</v>
      </c>
      <c r="C98" s="13">
        <v>7.13</v>
      </c>
      <c r="D98" s="15"/>
      <c r="E98" s="15"/>
      <c r="F98" s="13">
        <f>C98/(1+ 3.65/$I$1)</f>
        <v>3.5204993065187242</v>
      </c>
      <c r="G98" s="17"/>
      <c r="H98" s="16"/>
      <c r="I98" s="12">
        <v>-1.331</v>
      </c>
      <c r="L98" s="10">
        <f t="shared" si="4"/>
        <v>-8.4533957368946879</v>
      </c>
      <c r="M98" s="2" t="s">
        <v>40</v>
      </c>
    </row>
    <row r="99" spans="1:17" s="1" customFormat="1" x14ac:dyDescent="0.2">
      <c r="A99" s="4"/>
      <c r="B99" s="14">
        <v>45517</v>
      </c>
      <c r="C99" s="13">
        <v>16.559999999999999</v>
      </c>
      <c r="D99" s="15"/>
      <c r="E99" s="15"/>
      <c r="F99" s="13">
        <f>C99/(1+ 2.65/$I$1)</f>
        <v>9.4933333333333341</v>
      </c>
      <c r="H99" s="16"/>
      <c r="I99" s="12">
        <v>-0.62509999999999999</v>
      </c>
      <c r="J99" s="12"/>
      <c r="K99" s="12"/>
      <c r="L99" s="10">
        <f t="shared" si="4"/>
        <v>-8.0225812697548431</v>
      </c>
      <c r="M99" s="2" t="s">
        <v>40</v>
      </c>
      <c r="N99"/>
      <c r="O99"/>
      <c r="P99"/>
      <c r="Q99"/>
    </row>
    <row r="100" spans="1:17" s="1" customFormat="1" x14ac:dyDescent="0.2">
      <c r="A100" s="4"/>
      <c r="B100" s="14">
        <v>45575</v>
      </c>
      <c r="C100" s="13">
        <v>14.43</v>
      </c>
      <c r="D100" s="15"/>
      <c r="E100" s="15"/>
      <c r="F100" s="13">
        <f>C100/(1+ 3.3/$I$1)</f>
        <v>7.488454810495627</v>
      </c>
      <c r="H100" s="16"/>
      <c r="I100" s="12">
        <v>-1.006</v>
      </c>
      <c r="J100" s="12"/>
      <c r="K100" s="12"/>
      <c r="L100" s="10">
        <f>LOG(F100*0.000000001)</f>
        <v>-8.1256077866403817</v>
      </c>
      <c r="M100" s="2" t="s">
        <v>40</v>
      </c>
      <c r="N100"/>
      <c r="O100"/>
      <c r="P100"/>
      <c r="Q100"/>
    </row>
    <row r="101" spans="1:17" s="1" customFormat="1" x14ac:dyDescent="0.2">
      <c r="B101" s="14"/>
      <c r="C101" s="17"/>
      <c r="D101" s="15"/>
      <c r="E101" s="15"/>
      <c r="F101" s="17"/>
      <c r="G101" s="10"/>
      <c r="H101" s="16"/>
      <c r="I101" s="12"/>
      <c r="J101" s="12"/>
      <c r="K101" s="12"/>
      <c r="L101" s="10"/>
      <c r="M101" s="2"/>
      <c r="N101"/>
      <c r="O101"/>
      <c r="P101"/>
      <c r="Q101"/>
    </row>
    <row r="102" spans="1:17" s="1" customFormat="1" x14ac:dyDescent="0.2">
      <c r="A102" s="7" t="s">
        <v>20</v>
      </c>
      <c r="B102" s="10" t="s">
        <v>0</v>
      </c>
      <c r="C102" s="13" t="s">
        <v>8</v>
      </c>
      <c r="D102" s="10" t="s">
        <v>1</v>
      </c>
      <c r="E102" s="10" t="s">
        <v>2</v>
      </c>
      <c r="F102" s="10" t="s">
        <v>3</v>
      </c>
      <c r="G102" s="10" t="s">
        <v>1</v>
      </c>
      <c r="H102" s="10" t="s">
        <v>2</v>
      </c>
      <c r="I102" s="12" t="s">
        <v>4</v>
      </c>
      <c r="J102" s="12" t="s">
        <v>5</v>
      </c>
      <c r="K102" s="12" t="s">
        <v>2</v>
      </c>
      <c r="L102" s="10" t="s">
        <v>6</v>
      </c>
    </row>
    <row r="103" spans="1:17" s="1" customFormat="1" x14ac:dyDescent="0.2">
      <c r="A103" s="4">
        <v>-7</v>
      </c>
      <c r="B103" s="14">
        <v>45342</v>
      </c>
      <c r="C103" s="13">
        <v>1.0309999999999999</v>
      </c>
      <c r="D103" s="12">
        <f>AVERAGE(C103:C109)</f>
        <v>1.1904800000000002</v>
      </c>
      <c r="E103" s="12">
        <f>STDEV(C103:C109)/SQRT(COUNT(C103:C109))</f>
        <v>0.26676372766926149</v>
      </c>
      <c r="F103" s="12">
        <f>C103/(1+ 3.48/$I$1)</f>
        <v>0.52135795454545453</v>
      </c>
      <c r="G103" s="12">
        <f>AVERAGE(F103:F109)</f>
        <v>0.57567943112036479</v>
      </c>
      <c r="H103" s="12">
        <f>STDEV(F103:F109)/SQRT(COUNT(F103:F109))</f>
        <v>0.12430865952265699</v>
      </c>
      <c r="I103" s="12">
        <v>-0.4884</v>
      </c>
      <c r="J103" s="12">
        <f>AVERAGE(I103:I109)</f>
        <v>-0.55931999999999993</v>
      </c>
      <c r="K103" s="12">
        <f>STDEV(I103:I109)/SQRT(COUNT(I103:I109))</f>
        <v>7.0430954842313598E-2</v>
      </c>
      <c r="L103" s="10">
        <f>LOG(F103*0.000000001)</f>
        <v>-9.2828639958857213</v>
      </c>
      <c r="M103" s="2" t="s">
        <v>24</v>
      </c>
    </row>
    <row r="104" spans="1:17" s="1" customFormat="1" ht="15.75" x14ac:dyDescent="0.25">
      <c r="A104" s="35"/>
      <c r="B104" s="14">
        <v>45369</v>
      </c>
      <c r="C104" s="12">
        <v>0.59819999999999995</v>
      </c>
      <c r="D104" s="15"/>
      <c r="E104" s="15"/>
      <c r="F104" s="12">
        <f>C104/(1+ 3.73/$I$1)</f>
        <v>0.2921251028806584</v>
      </c>
      <c r="G104" s="17"/>
      <c r="H104" s="10"/>
      <c r="I104" s="12">
        <v>-0.48830000000000001</v>
      </c>
      <c r="J104" s="12"/>
      <c r="K104" s="12"/>
      <c r="L104" s="10">
        <f>LOG(F104*0.000000001)</f>
        <v>-9.5344311216497992</v>
      </c>
      <c r="M104" s="2" t="s">
        <v>24</v>
      </c>
    </row>
    <row r="105" spans="1:17" x14ac:dyDescent="0.2">
      <c r="B105" s="14">
        <v>45369</v>
      </c>
      <c r="C105" s="12">
        <v>0.7742</v>
      </c>
      <c r="D105" s="15"/>
      <c r="E105" s="15"/>
      <c r="F105" s="12">
        <f>C105/(1+ 3.73/$I$1)</f>
        <v>0.37807297668038409</v>
      </c>
      <c r="G105" s="17"/>
      <c r="H105" s="98">
        <f>H103/G103</f>
        <v>0.21593382150328411</v>
      </c>
      <c r="I105" s="12">
        <v>-0.49330000000000002</v>
      </c>
      <c r="L105" s="10">
        <f>LOG(F105*0.000000001)</f>
        <v>-9.4224243633621629</v>
      </c>
      <c r="M105" s="2" t="s">
        <v>24</v>
      </c>
      <c r="N105" s="1"/>
      <c r="O105" s="1"/>
      <c r="P105" s="1"/>
      <c r="Q105" s="1"/>
    </row>
    <row r="106" spans="1:17" x14ac:dyDescent="0.2">
      <c r="A106" s="7"/>
      <c r="B106" s="14">
        <v>45386</v>
      </c>
      <c r="C106" s="131">
        <v>1.4650000000000001</v>
      </c>
      <c r="D106" s="17"/>
      <c r="E106" s="17"/>
      <c r="F106" s="12">
        <f>C106/(1+ 3.93/$I$1)</f>
        <v>0.69631508678237641</v>
      </c>
      <c r="G106" s="17"/>
      <c r="H106" s="17"/>
      <c r="I106" s="12">
        <v>-0.48559999999999998</v>
      </c>
      <c r="L106" s="10">
        <f>LOG(F106*0.000000001)</f>
        <v>-9.1571941950364639</v>
      </c>
      <c r="M106" s="2" t="s">
        <v>24</v>
      </c>
      <c r="N106" s="1"/>
      <c r="O106" s="1"/>
      <c r="P106" s="1"/>
      <c r="Q106" s="1"/>
    </row>
    <row r="107" spans="1:17" x14ac:dyDescent="0.2">
      <c r="B107" s="14">
        <v>45386</v>
      </c>
      <c r="C107" s="131">
        <v>2.0840000000000001</v>
      </c>
      <c r="F107" s="12">
        <f>C107/(1+ 3.93/$I$1)</f>
        <v>0.99052603471295053</v>
      </c>
      <c r="I107" s="12">
        <v>-0.84099999999999997</v>
      </c>
      <c r="L107" s="10">
        <f>LOG(F107*0.000000001)</f>
        <v>-9.0041341050991051</v>
      </c>
      <c r="M107" s="2" t="s">
        <v>24</v>
      </c>
    </row>
    <row r="108" spans="1:17" x14ac:dyDescent="0.2">
      <c r="B108" s="14">
        <v>45488</v>
      </c>
      <c r="C108" s="104" t="s">
        <v>42</v>
      </c>
      <c r="D108" s="17"/>
      <c r="E108" s="17"/>
      <c r="G108" s="13" t="e">
        <f>C108/(1+ 3.65/$I$1)</f>
        <v>#VALUE!</v>
      </c>
      <c r="H108" s="13"/>
      <c r="J108" s="12">
        <v>-15.18</v>
      </c>
      <c r="L108" s="10" t="e">
        <f>LOG(G108*0.000000001)</f>
        <v>#VALUE!</v>
      </c>
      <c r="M108" s="2" t="s">
        <v>40</v>
      </c>
      <c r="N108" s="1" t="s">
        <v>90</v>
      </c>
    </row>
    <row r="109" spans="1:17" ht="15.75" x14ac:dyDescent="0.25">
      <c r="A109" s="35"/>
      <c r="B109" s="14"/>
      <c r="C109" s="17"/>
      <c r="D109" s="17"/>
      <c r="E109" s="17"/>
      <c r="F109" s="15"/>
      <c r="G109" s="17"/>
      <c r="M109" s="2"/>
    </row>
    <row r="110" spans="1:17" s="1" customFormat="1" x14ac:dyDescent="0.2">
      <c r="A110" s="4"/>
      <c r="B110" s="14"/>
      <c r="C110" s="17"/>
      <c r="D110" s="15"/>
      <c r="E110" s="15"/>
      <c r="F110" s="15"/>
      <c r="G110" s="17"/>
      <c r="H110" s="16"/>
      <c r="I110" s="12"/>
      <c r="J110" s="12"/>
      <c r="K110" s="12"/>
      <c r="L110" s="10"/>
      <c r="M110" s="2"/>
      <c r="N110"/>
      <c r="O110"/>
      <c r="P110"/>
      <c r="Q110"/>
    </row>
    <row r="111" spans="1:17" s="1" customFormat="1" x14ac:dyDescent="0.2">
      <c r="A111" s="7"/>
      <c r="B111" s="14"/>
      <c r="C111" s="17"/>
      <c r="D111" s="15"/>
      <c r="E111" s="15"/>
      <c r="F111" s="17"/>
      <c r="G111" s="17"/>
      <c r="H111" s="17"/>
      <c r="I111" s="12"/>
      <c r="J111" s="12"/>
      <c r="K111" s="12"/>
      <c r="L111" s="10"/>
      <c r="M111" s="2"/>
      <c r="N111"/>
      <c r="O111"/>
      <c r="P111"/>
      <c r="Q111"/>
    </row>
    <row r="112" spans="1:17" s="1" customFormat="1" x14ac:dyDescent="0.2">
      <c r="A112" s="4"/>
      <c r="B112" s="10"/>
      <c r="C112" s="13"/>
      <c r="D112" s="10"/>
      <c r="E112" s="10"/>
      <c r="F112" s="10"/>
      <c r="G112" s="10"/>
      <c r="H112" s="10"/>
      <c r="I112" s="12"/>
      <c r="J112" s="12"/>
      <c r="K112" s="12"/>
      <c r="L112" s="10"/>
    </row>
    <row r="113" spans="1:17" s="1" customFormat="1" x14ac:dyDescent="0.2">
      <c r="A113" s="4"/>
      <c r="B113" s="14"/>
      <c r="C113" s="13"/>
      <c r="D113" s="12"/>
      <c r="E113" s="12"/>
      <c r="F113" s="13"/>
      <c r="G113" s="12"/>
      <c r="H113" s="12"/>
      <c r="I113" s="12"/>
      <c r="J113" s="12"/>
      <c r="K113" s="12"/>
      <c r="L113" s="10"/>
    </row>
    <row r="114" spans="1:17" s="1" customFormat="1" ht="15.75" x14ac:dyDescent="0.25">
      <c r="A114" s="35"/>
      <c r="B114" s="14"/>
      <c r="C114" s="13"/>
      <c r="D114" s="15"/>
      <c r="E114" s="15"/>
      <c r="F114" s="13"/>
      <c r="G114" s="17"/>
      <c r="H114" s="17"/>
      <c r="I114" s="12"/>
      <c r="J114" s="12"/>
      <c r="K114" s="12"/>
      <c r="L114" s="10"/>
    </row>
    <row r="115" spans="1:17" x14ac:dyDescent="0.2">
      <c r="B115" s="14"/>
      <c r="D115" s="15"/>
      <c r="E115" s="15"/>
      <c r="F115" s="13"/>
      <c r="H115" s="16"/>
      <c r="I115" s="19"/>
      <c r="M115" s="1"/>
      <c r="N115" s="1"/>
      <c r="O115" s="1"/>
      <c r="P115" s="1"/>
      <c r="Q115" s="1"/>
    </row>
    <row r="116" spans="1:17" x14ac:dyDescent="0.2">
      <c r="B116" s="14"/>
      <c r="C116" s="12"/>
      <c r="D116" s="15"/>
      <c r="E116" s="15"/>
      <c r="F116" s="13"/>
      <c r="H116" s="16"/>
      <c r="I116" s="19"/>
      <c r="M116" s="1"/>
      <c r="N116" s="1"/>
      <c r="O116" s="1"/>
      <c r="P116" s="1"/>
      <c r="Q116" s="1"/>
    </row>
    <row r="117" spans="1:17" x14ac:dyDescent="0.2">
      <c r="B117" s="14"/>
      <c r="C117" s="12"/>
      <c r="D117" s="12"/>
      <c r="E117" s="12"/>
      <c r="F117" s="12"/>
      <c r="H117" s="16"/>
      <c r="M117" s="2"/>
    </row>
    <row r="118" spans="1:17" ht="15" x14ac:dyDescent="0.25">
      <c r="A118" s="3"/>
      <c r="C118" s="11"/>
      <c r="M118" s="2"/>
    </row>
    <row r="119" spans="1:17" ht="15" x14ac:dyDescent="0.25">
      <c r="A119" s="5"/>
      <c r="C119" s="11"/>
    </row>
    <row r="120" spans="1:17" x14ac:dyDescent="0.2">
      <c r="A120" s="169"/>
      <c r="B120" s="14"/>
      <c r="E120" s="13"/>
      <c r="F120" s="20"/>
      <c r="H120" s="16"/>
    </row>
    <row r="121" spans="1:17" x14ac:dyDescent="0.2">
      <c r="A121" s="6"/>
    </row>
    <row r="122" spans="1:17" ht="15" x14ac:dyDescent="0.25">
      <c r="A122" s="5"/>
      <c r="B122" s="14"/>
      <c r="C122" s="15"/>
      <c r="D122" s="15"/>
      <c r="E122" s="15"/>
      <c r="F122" s="17"/>
      <c r="G122" s="17"/>
      <c r="H122" s="17"/>
    </row>
    <row r="123" spans="1:17" x14ac:dyDescent="0.2">
      <c r="B123" s="14"/>
      <c r="C123" s="15"/>
      <c r="D123" s="17"/>
      <c r="E123" s="17"/>
      <c r="F123" s="17"/>
      <c r="G123" s="17"/>
      <c r="H123" s="17"/>
    </row>
    <row r="124" spans="1:17" x14ac:dyDescent="0.2">
      <c r="B124" s="14"/>
      <c r="C124" s="15"/>
      <c r="D124" s="17"/>
      <c r="E124" s="17"/>
      <c r="F124" s="17"/>
      <c r="G124" s="17"/>
      <c r="H124" s="16"/>
    </row>
    <row r="125" spans="1:17" x14ac:dyDescent="0.2">
      <c r="A125" s="169"/>
      <c r="B125" s="112"/>
      <c r="C125" s="113"/>
      <c r="D125" s="17"/>
      <c r="E125" s="17"/>
      <c r="F125" s="17"/>
      <c r="G125" s="17"/>
      <c r="H125" s="16"/>
    </row>
    <row r="127" spans="1:17" ht="15" x14ac:dyDescent="0.25">
      <c r="A127" s="5"/>
      <c r="B127" s="14"/>
      <c r="C127" s="17"/>
      <c r="D127" s="17"/>
      <c r="E127" s="17"/>
      <c r="F127" s="17"/>
      <c r="G127" s="17"/>
      <c r="H127" s="17"/>
    </row>
    <row r="128" spans="1:17" x14ac:dyDescent="0.2">
      <c r="B128" s="14"/>
      <c r="C128" s="17"/>
      <c r="D128" s="17"/>
      <c r="E128" s="17"/>
      <c r="F128" s="17"/>
      <c r="G128" s="17"/>
      <c r="H128" s="17"/>
    </row>
    <row r="129" spans="1:17" s="1" customFormat="1" x14ac:dyDescent="0.2">
      <c r="A129" s="4"/>
      <c r="B129" s="14"/>
      <c r="C129" s="17"/>
      <c r="D129" s="17"/>
      <c r="E129" s="17"/>
      <c r="F129" s="17"/>
      <c r="G129" s="17"/>
      <c r="H129" s="16"/>
      <c r="I129" s="12"/>
      <c r="J129" s="12"/>
      <c r="K129" s="12"/>
      <c r="L129" s="10"/>
      <c r="M129"/>
      <c r="N129"/>
      <c r="O129"/>
      <c r="P129"/>
      <c r="Q129"/>
    </row>
    <row r="130" spans="1:17" s="1" customFormat="1" x14ac:dyDescent="0.2">
      <c r="A130" s="7"/>
      <c r="B130" s="14"/>
      <c r="C130" s="15"/>
      <c r="D130" s="17"/>
      <c r="E130" s="17"/>
      <c r="F130" s="17"/>
      <c r="G130" s="17"/>
      <c r="H130" s="16"/>
      <c r="I130" s="12"/>
      <c r="J130" s="12"/>
      <c r="K130" s="12"/>
      <c r="L130" s="10"/>
      <c r="M130"/>
      <c r="N130"/>
      <c r="O130"/>
      <c r="P130"/>
      <c r="Q130"/>
    </row>
    <row r="131" spans="1:17" s="1" customFormat="1" x14ac:dyDescent="0.2">
      <c r="A131" s="4"/>
      <c r="B131" s="10"/>
      <c r="C131" s="13"/>
      <c r="D131" s="10"/>
      <c r="E131" s="10"/>
      <c r="F131" s="13"/>
      <c r="G131" s="10"/>
      <c r="H131" s="10"/>
      <c r="I131" s="12"/>
      <c r="J131" s="12"/>
      <c r="K131" s="12"/>
      <c r="L131" s="10"/>
    </row>
    <row r="132" spans="1:17" s="1" customFormat="1" ht="15" x14ac:dyDescent="0.25">
      <c r="A132" s="5"/>
      <c r="B132" s="14"/>
      <c r="C132" s="17"/>
      <c r="D132" s="13"/>
      <c r="E132" s="13"/>
      <c r="F132" s="17"/>
      <c r="G132" s="13"/>
      <c r="H132" s="13"/>
      <c r="I132" s="12"/>
      <c r="J132" s="12"/>
      <c r="K132" s="12"/>
      <c r="L132" s="10"/>
    </row>
    <row r="133" spans="1:17" x14ac:dyDescent="0.2">
      <c r="B133" s="14"/>
      <c r="C133" s="17"/>
      <c r="D133" s="17"/>
      <c r="E133" s="17"/>
      <c r="F133" s="17"/>
      <c r="G133" s="13"/>
      <c r="H133" s="13"/>
      <c r="M133" s="1"/>
      <c r="N133" s="1"/>
      <c r="O133" s="1"/>
      <c r="P133" s="1"/>
      <c r="Q133" s="1"/>
    </row>
    <row r="134" spans="1:17" s="1" customFormat="1" ht="15" x14ac:dyDescent="0.2">
      <c r="A134" s="159"/>
      <c r="B134" s="14"/>
      <c r="C134" s="17"/>
      <c r="D134" s="17"/>
      <c r="E134" s="17"/>
      <c r="F134" s="17"/>
      <c r="G134" s="13"/>
      <c r="H134" s="16"/>
      <c r="I134" s="12"/>
      <c r="J134" s="12"/>
      <c r="K134" s="12"/>
      <c r="L134" s="10"/>
    </row>
    <row r="135" spans="1:17" s="1" customFormat="1" x14ac:dyDescent="0.2">
      <c r="A135" s="169"/>
      <c r="B135" s="14"/>
      <c r="C135" s="13"/>
      <c r="D135" s="17"/>
      <c r="E135" s="17"/>
      <c r="F135" s="12"/>
      <c r="G135" s="13"/>
      <c r="H135" s="16"/>
      <c r="I135" s="12"/>
      <c r="J135" s="12"/>
      <c r="K135" s="12"/>
      <c r="L135" s="10"/>
      <c r="M135" s="2"/>
      <c r="N135"/>
      <c r="O135"/>
      <c r="P135"/>
      <c r="Q135"/>
    </row>
    <row r="136" spans="1:17" s="1" customFormat="1" x14ac:dyDescent="0.2">
      <c r="A136" s="4"/>
      <c r="B136" s="10"/>
      <c r="C136" s="13"/>
      <c r="D136" s="10"/>
      <c r="E136" s="10"/>
      <c r="F136" s="13"/>
      <c r="G136" s="10"/>
      <c r="H136" s="10"/>
      <c r="I136" s="12"/>
      <c r="J136" s="12"/>
      <c r="K136" s="12"/>
      <c r="L136" s="10"/>
    </row>
    <row r="137" spans="1:17" s="1" customFormat="1" x14ac:dyDescent="0.2">
      <c r="A137" s="170"/>
      <c r="B137" s="14"/>
      <c r="C137" s="17"/>
      <c r="D137" s="13"/>
      <c r="E137" s="13"/>
      <c r="F137" s="17"/>
      <c r="G137" s="13"/>
      <c r="H137" s="13"/>
      <c r="I137" s="12"/>
      <c r="J137" s="12"/>
      <c r="K137" s="12"/>
      <c r="L137" s="10"/>
    </row>
    <row r="138" spans="1:17" x14ac:dyDescent="0.2">
      <c r="B138" s="14"/>
      <c r="C138" s="17"/>
      <c r="D138" s="17"/>
      <c r="E138" s="17"/>
      <c r="F138" s="17"/>
      <c r="G138" s="13"/>
      <c r="H138" s="13"/>
      <c r="M138" s="1"/>
      <c r="N138" s="1"/>
      <c r="O138" s="1"/>
      <c r="P138" s="1"/>
      <c r="Q138" s="1"/>
    </row>
    <row r="139" spans="1:17" ht="15" x14ac:dyDescent="0.25">
      <c r="A139" s="5"/>
      <c r="B139" s="14"/>
      <c r="C139" s="17"/>
      <c r="D139" s="17"/>
      <c r="E139" s="17"/>
      <c r="F139" s="17"/>
      <c r="G139" s="13"/>
      <c r="H139" s="16"/>
      <c r="M139" s="1"/>
      <c r="N139" s="1"/>
      <c r="O139" s="1"/>
      <c r="P139" s="1"/>
      <c r="Q139" s="1"/>
    </row>
    <row r="140" spans="1:17" ht="15" x14ac:dyDescent="0.25">
      <c r="A140" s="5"/>
      <c r="B140" s="14"/>
      <c r="C140" s="17"/>
      <c r="D140" s="17"/>
      <c r="E140" s="17"/>
      <c r="F140" s="17"/>
      <c r="G140" s="13"/>
      <c r="H140" s="16"/>
      <c r="M140" s="2"/>
    </row>
    <row r="141" spans="1:17" x14ac:dyDescent="0.2">
      <c r="A141" s="169"/>
      <c r="B141" s="14"/>
      <c r="C141" s="17"/>
      <c r="D141" s="17"/>
      <c r="E141" s="17"/>
      <c r="F141" s="17"/>
      <c r="G141" s="13"/>
      <c r="H141" s="16"/>
      <c r="M141" s="2"/>
    </row>
    <row r="142" spans="1:17" x14ac:dyDescent="0.2">
      <c r="F142" s="13"/>
      <c r="M142" s="2"/>
    </row>
    <row r="143" spans="1:17" x14ac:dyDescent="0.2">
      <c r="A143" s="170"/>
      <c r="B143" s="14"/>
      <c r="D143" s="13"/>
      <c r="E143" s="13"/>
      <c r="F143" s="13"/>
      <c r="G143" s="13"/>
      <c r="H143" s="13"/>
      <c r="M143" s="2"/>
    </row>
    <row r="144" spans="1:17" ht="15" x14ac:dyDescent="0.25">
      <c r="A144" s="5"/>
      <c r="B144" s="14"/>
      <c r="D144" s="17"/>
      <c r="E144" s="17"/>
      <c r="F144" s="13"/>
      <c r="G144" s="13"/>
      <c r="H144" s="13"/>
      <c r="M144" s="2"/>
    </row>
    <row r="145" spans="1:13" ht="15" x14ac:dyDescent="0.2">
      <c r="A145" s="159"/>
      <c r="B145" s="14"/>
      <c r="D145" s="17"/>
      <c r="E145" s="17"/>
      <c r="F145" s="13"/>
      <c r="G145" s="13"/>
      <c r="H145" s="16"/>
      <c r="M145" s="2"/>
    </row>
    <row r="146" spans="1:13" x14ac:dyDescent="0.2">
      <c r="A146" s="169"/>
      <c r="B146" s="14"/>
      <c r="D146" s="17"/>
      <c r="E146" s="17"/>
      <c r="F146" s="12"/>
      <c r="G146" s="13"/>
      <c r="H146" s="16"/>
      <c r="M146" s="2"/>
    </row>
    <row r="147" spans="1:13" x14ac:dyDescent="0.2">
      <c r="F147" s="13"/>
      <c r="M147" s="2"/>
    </row>
    <row r="148" spans="1:13" x14ac:dyDescent="0.2">
      <c r="B148" s="14"/>
      <c r="C148" s="15"/>
      <c r="D148" s="15"/>
      <c r="E148" s="15"/>
      <c r="F148" s="15"/>
      <c r="G148" s="15"/>
      <c r="H148" s="15"/>
      <c r="M148" s="2"/>
    </row>
    <row r="149" spans="1:13" x14ac:dyDescent="0.2">
      <c r="B149" s="14"/>
      <c r="C149" s="15"/>
      <c r="D149" s="17"/>
      <c r="E149" s="17"/>
      <c r="F149" s="15"/>
      <c r="G149" s="13"/>
      <c r="H149" s="13"/>
      <c r="M149" s="2"/>
    </row>
    <row r="150" spans="1:13" x14ac:dyDescent="0.2">
      <c r="B150" s="14"/>
      <c r="C150" s="15"/>
      <c r="D150" s="17"/>
      <c r="E150" s="17"/>
      <c r="F150" s="15"/>
      <c r="G150" s="13"/>
      <c r="H150" s="16"/>
      <c r="M150" s="2"/>
    </row>
    <row r="151" spans="1:13" ht="15" x14ac:dyDescent="0.25">
      <c r="A151" s="5"/>
      <c r="B151" s="14"/>
      <c r="C151" s="15"/>
      <c r="D151" s="17"/>
      <c r="E151" s="17"/>
      <c r="F151" s="15"/>
      <c r="G151" s="13"/>
      <c r="H151" s="16"/>
      <c r="M151" s="2"/>
    </row>
    <row r="152" spans="1:13" x14ac:dyDescent="0.2">
      <c r="B152" s="14"/>
      <c r="C152" s="15"/>
      <c r="D152" s="17"/>
      <c r="E152" s="17"/>
      <c r="F152" s="15"/>
      <c r="G152" s="13"/>
      <c r="H152" s="16"/>
      <c r="M152" s="2"/>
    </row>
    <row r="153" spans="1:13" x14ac:dyDescent="0.2">
      <c r="B153" s="14"/>
      <c r="C153" s="15"/>
      <c r="D153" s="17"/>
      <c r="E153" s="17"/>
      <c r="F153" s="15"/>
      <c r="G153" s="13"/>
      <c r="H153" s="16"/>
      <c r="M153" s="2"/>
    </row>
    <row r="154" spans="1:13" x14ac:dyDescent="0.2">
      <c r="B154" s="14"/>
      <c r="C154" s="15"/>
      <c r="D154" s="17"/>
      <c r="E154" s="17"/>
      <c r="F154" s="15"/>
      <c r="G154" s="13"/>
      <c r="H154" s="16"/>
      <c r="M154" s="2"/>
    </row>
    <row r="155" spans="1:13" x14ac:dyDescent="0.2">
      <c r="A155" s="169"/>
      <c r="B155" s="14"/>
      <c r="C155" s="17"/>
      <c r="D155" s="17"/>
      <c r="E155" s="17"/>
      <c r="F155" s="17"/>
      <c r="G155" s="13"/>
      <c r="H155" s="16"/>
      <c r="M155" s="2"/>
    </row>
    <row r="156" spans="1:13" x14ac:dyDescent="0.2">
      <c r="F156" s="13"/>
      <c r="M156" s="2"/>
    </row>
    <row r="157" spans="1:13" ht="15" x14ac:dyDescent="0.25">
      <c r="A157" s="5"/>
      <c r="B157" s="14"/>
      <c r="C157" s="17"/>
      <c r="D157" s="17"/>
      <c r="E157" s="17"/>
      <c r="F157" s="17"/>
      <c r="G157" s="17"/>
      <c r="H157" s="17"/>
      <c r="M157" s="2"/>
    </row>
    <row r="158" spans="1:13" x14ac:dyDescent="0.2">
      <c r="B158" s="14"/>
      <c r="C158" s="17"/>
      <c r="D158" s="17"/>
      <c r="E158" s="17"/>
      <c r="F158" s="17"/>
      <c r="G158" s="13"/>
      <c r="H158" s="13"/>
      <c r="M158" s="2"/>
    </row>
    <row r="159" spans="1:13" x14ac:dyDescent="0.2">
      <c r="B159" s="14"/>
      <c r="C159" s="17"/>
      <c r="D159" s="17"/>
      <c r="E159" s="17"/>
      <c r="F159" s="17"/>
      <c r="G159" s="13"/>
      <c r="H159" s="16"/>
      <c r="M159" s="2"/>
    </row>
    <row r="160" spans="1:13" ht="15" x14ac:dyDescent="0.25">
      <c r="A160" s="168"/>
      <c r="B160" s="14"/>
      <c r="C160" s="17"/>
      <c r="D160" s="17"/>
      <c r="E160" s="17"/>
      <c r="F160" s="17"/>
      <c r="G160" s="13"/>
      <c r="H160" s="16"/>
      <c r="M160" s="2"/>
    </row>
    <row r="161" spans="1:12" x14ac:dyDescent="0.2">
      <c r="F161" s="13"/>
    </row>
    <row r="162" spans="1:12" x14ac:dyDescent="0.2">
      <c r="B162" s="14"/>
      <c r="C162" s="12"/>
      <c r="D162" s="12"/>
      <c r="E162" s="12"/>
      <c r="F162" s="12"/>
      <c r="G162" s="12"/>
      <c r="H162" s="12"/>
    </row>
    <row r="163" spans="1:12" x14ac:dyDescent="0.2">
      <c r="B163" s="14"/>
      <c r="C163" s="12"/>
      <c r="D163" s="17"/>
      <c r="E163" s="17"/>
      <c r="F163" s="12"/>
      <c r="G163" s="12"/>
      <c r="H163" s="12"/>
    </row>
    <row r="164" spans="1:12" ht="15" x14ac:dyDescent="0.25">
      <c r="A164" s="5"/>
      <c r="B164" s="14"/>
      <c r="C164" s="12"/>
      <c r="D164" s="17"/>
      <c r="E164" s="17"/>
      <c r="F164" s="12"/>
      <c r="H164" s="16"/>
    </row>
    <row r="165" spans="1:12" x14ac:dyDescent="0.2">
      <c r="B165" s="14"/>
      <c r="C165" s="12"/>
      <c r="D165" s="17"/>
      <c r="E165" s="17"/>
      <c r="F165" s="12"/>
      <c r="H165" s="16"/>
    </row>
    <row r="166" spans="1:12" ht="15" x14ac:dyDescent="0.25">
      <c r="A166" s="5"/>
      <c r="B166" s="14"/>
      <c r="C166" s="12"/>
      <c r="D166" s="17"/>
      <c r="E166" s="17"/>
      <c r="F166" s="12"/>
      <c r="H166" s="16"/>
    </row>
    <row r="167" spans="1:12" ht="15" x14ac:dyDescent="0.25">
      <c r="B167" s="114"/>
      <c r="C167" s="115"/>
      <c r="D167" s="116"/>
      <c r="E167" s="116"/>
      <c r="F167" s="115"/>
      <c r="G167" s="117"/>
      <c r="H167" s="118"/>
      <c r="I167" s="115"/>
      <c r="J167" s="115"/>
      <c r="K167" s="115"/>
      <c r="L167" s="117"/>
    </row>
    <row r="168" spans="1:12" x14ac:dyDescent="0.2">
      <c r="A168" s="8"/>
      <c r="B168" s="14"/>
      <c r="C168" s="12"/>
      <c r="D168" s="17"/>
      <c r="E168" s="17"/>
      <c r="F168" s="12"/>
      <c r="H168" s="16"/>
    </row>
    <row r="169" spans="1:12" x14ac:dyDescent="0.2">
      <c r="A169" s="171"/>
    </row>
    <row r="170" spans="1:12" ht="15" x14ac:dyDescent="0.25">
      <c r="A170" s="5"/>
      <c r="B170" s="14"/>
      <c r="C170" s="17"/>
      <c r="D170" s="17"/>
      <c r="E170" s="17"/>
      <c r="F170" s="17"/>
      <c r="G170" s="17"/>
      <c r="H170" s="17"/>
    </row>
    <row r="171" spans="1:12" x14ac:dyDescent="0.2">
      <c r="B171" s="14"/>
      <c r="C171" s="17"/>
      <c r="D171" s="17"/>
      <c r="E171" s="17"/>
      <c r="F171" s="17"/>
      <c r="G171" s="17"/>
      <c r="H171" s="17"/>
    </row>
    <row r="172" spans="1:12" x14ac:dyDescent="0.2">
      <c r="B172" s="14"/>
      <c r="C172" s="17"/>
      <c r="D172" s="17"/>
      <c r="E172" s="17"/>
      <c r="F172" s="17"/>
      <c r="H172" s="16"/>
    </row>
    <row r="173" spans="1:12" ht="15" x14ac:dyDescent="0.25">
      <c r="B173" s="114"/>
      <c r="C173" s="116"/>
      <c r="D173" s="116"/>
      <c r="E173" s="116"/>
      <c r="F173" s="17"/>
      <c r="H173" s="118"/>
    </row>
    <row r="175" spans="1:12" ht="15" x14ac:dyDescent="0.25">
      <c r="A175" s="5"/>
      <c r="B175" s="14"/>
      <c r="C175" s="17"/>
      <c r="D175" s="13"/>
      <c r="E175" s="13"/>
      <c r="F175" s="17"/>
      <c r="G175" s="13"/>
      <c r="H175" s="13"/>
    </row>
    <row r="176" spans="1:12" x14ac:dyDescent="0.2">
      <c r="B176" s="14"/>
      <c r="C176" s="17"/>
      <c r="D176" s="13"/>
      <c r="E176" s="13"/>
      <c r="F176" s="17"/>
      <c r="G176" s="13"/>
      <c r="H176" s="13"/>
    </row>
    <row r="177" spans="1:23" x14ac:dyDescent="0.2">
      <c r="B177" s="14"/>
      <c r="C177" s="17"/>
      <c r="D177" s="17"/>
      <c r="E177" s="17"/>
      <c r="F177" s="17"/>
      <c r="G177" s="13"/>
      <c r="H177" s="16"/>
    </row>
    <row r="178" spans="1:23" s="1" customFormat="1" x14ac:dyDescent="0.2">
      <c r="A178" s="4"/>
      <c r="B178" s="14"/>
      <c r="C178" s="17"/>
      <c r="D178" s="17"/>
      <c r="E178" s="17"/>
      <c r="F178" s="17"/>
      <c r="G178" s="13"/>
      <c r="H178" s="16"/>
      <c r="I178" s="12"/>
      <c r="J178" s="12"/>
      <c r="K178" s="12"/>
      <c r="L178" s="10"/>
      <c r="M178"/>
      <c r="N178"/>
      <c r="O178"/>
      <c r="P178"/>
      <c r="Q178"/>
    </row>
    <row r="179" spans="1:23" s="1" customFormat="1" x14ac:dyDescent="0.2">
      <c r="A179" s="171"/>
      <c r="B179" s="14"/>
      <c r="C179" s="17"/>
      <c r="D179" s="17"/>
      <c r="E179" s="17"/>
      <c r="F179" s="17"/>
      <c r="G179" s="13"/>
      <c r="H179" s="16"/>
      <c r="I179" s="12"/>
      <c r="J179" s="12"/>
      <c r="K179" s="12"/>
      <c r="L179" s="10"/>
      <c r="M179"/>
      <c r="N179"/>
      <c r="O179"/>
      <c r="P179"/>
      <c r="Q179"/>
      <c r="R179" s="172"/>
      <c r="S179" s="172"/>
      <c r="T179" s="121"/>
      <c r="U179" s="172"/>
      <c r="V179" s="172"/>
      <c r="W179" s="173"/>
    </row>
    <row r="180" spans="1:23" s="1" customFormat="1" x14ac:dyDescent="0.2">
      <c r="A180" s="171"/>
      <c r="B180" s="10"/>
      <c r="C180" s="13"/>
      <c r="D180" s="10"/>
      <c r="E180" s="10"/>
      <c r="F180" s="10"/>
      <c r="G180" s="10"/>
      <c r="H180" s="10"/>
      <c r="I180" s="12"/>
      <c r="J180" s="12"/>
      <c r="K180" s="12"/>
      <c r="L180" s="10"/>
      <c r="R180" s="172"/>
      <c r="S180" s="172"/>
      <c r="T180" s="121"/>
      <c r="U180" s="172"/>
      <c r="V180" s="174"/>
      <c r="W180" s="173"/>
    </row>
    <row r="181" spans="1:23" s="1" customFormat="1" x14ac:dyDescent="0.2">
      <c r="A181" s="142"/>
      <c r="B181" s="14"/>
      <c r="C181" s="12"/>
      <c r="D181" s="12"/>
      <c r="E181" s="12"/>
      <c r="F181" s="12"/>
      <c r="G181" s="12"/>
      <c r="H181" s="12"/>
      <c r="I181" s="12"/>
      <c r="J181" s="119"/>
      <c r="K181" s="119"/>
      <c r="L181" s="10"/>
      <c r="P181" s="120"/>
      <c r="Q181" s="121"/>
    </row>
    <row r="182" spans="1:23" s="1" customFormat="1" x14ac:dyDescent="0.2">
      <c r="A182" s="171"/>
      <c r="B182" s="14"/>
      <c r="C182" s="12"/>
      <c r="D182" s="17"/>
      <c r="E182" s="17"/>
      <c r="F182" s="12"/>
      <c r="G182" s="12"/>
      <c r="H182" s="12"/>
      <c r="I182" s="12"/>
      <c r="J182" s="119"/>
      <c r="K182" s="119"/>
      <c r="L182" s="10"/>
      <c r="P182" s="120"/>
      <c r="Q182" s="121"/>
    </row>
    <row r="183" spans="1:23" ht="15" x14ac:dyDescent="0.25">
      <c r="A183" s="5"/>
      <c r="B183" s="14"/>
      <c r="C183" s="12"/>
      <c r="D183" s="17"/>
      <c r="E183" s="17"/>
      <c r="F183" s="12"/>
      <c r="G183" s="12"/>
      <c r="H183" s="16"/>
      <c r="J183" s="119"/>
      <c r="K183" s="119"/>
      <c r="M183" s="1"/>
      <c r="N183" s="1"/>
      <c r="O183" s="1"/>
      <c r="P183" s="1"/>
      <c r="Q183" s="1"/>
    </row>
    <row r="184" spans="1:23" s="1" customFormat="1" x14ac:dyDescent="0.2">
      <c r="A184" s="171"/>
      <c r="B184" s="14"/>
      <c r="C184" s="12"/>
      <c r="D184" s="17"/>
      <c r="E184" s="17"/>
      <c r="F184" s="12"/>
      <c r="G184" s="12"/>
      <c r="H184" s="16"/>
      <c r="I184" s="12"/>
      <c r="J184" s="119"/>
      <c r="K184" s="119"/>
      <c r="L184" s="10"/>
    </row>
    <row r="185" spans="1:23" x14ac:dyDescent="0.2">
      <c r="A185" s="171"/>
      <c r="B185" s="14"/>
      <c r="C185" s="12"/>
      <c r="D185" s="17"/>
      <c r="E185" s="17"/>
      <c r="F185" s="12"/>
      <c r="G185" s="12"/>
      <c r="H185" s="16"/>
      <c r="J185" s="119"/>
      <c r="K185" s="119"/>
    </row>
    <row r="186" spans="1:23" x14ac:dyDescent="0.2">
      <c r="B186" s="14"/>
      <c r="C186" s="12"/>
      <c r="D186" s="17"/>
      <c r="E186" s="17"/>
      <c r="F186" s="12"/>
      <c r="G186" s="12"/>
      <c r="H186" s="16"/>
      <c r="J186" s="119"/>
      <c r="K186" s="119"/>
      <c r="M186" s="1"/>
      <c r="N186" s="1"/>
      <c r="O186" s="1"/>
      <c r="P186" s="1"/>
      <c r="Q186" s="1"/>
    </row>
    <row r="187" spans="1:23" ht="15" x14ac:dyDescent="0.25">
      <c r="A187" s="3"/>
      <c r="C187" s="11"/>
    </row>
    <row r="188" spans="1:23" s="1" customFormat="1" ht="15" x14ac:dyDescent="0.25">
      <c r="A188" s="3"/>
      <c r="B188" s="10"/>
      <c r="C188" s="11"/>
      <c r="D188" s="10"/>
      <c r="E188" s="10"/>
      <c r="F188" s="10"/>
      <c r="G188" s="10"/>
      <c r="H188" s="10"/>
      <c r="I188" s="12"/>
      <c r="J188" s="12"/>
      <c r="K188" s="12"/>
      <c r="L188" s="10"/>
      <c r="M188"/>
      <c r="N188"/>
      <c r="O188"/>
      <c r="P188"/>
      <c r="Q188"/>
    </row>
    <row r="189" spans="1:23" s="1" customFormat="1" ht="15" x14ac:dyDescent="0.25">
      <c r="A189" s="169"/>
      <c r="B189" s="10"/>
      <c r="C189" s="11"/>
      <c r="D189" s="10"/>
      <c r="E189" s="10"/>
      <c r="F189" s="10"/>
      <c r="G189" s="10"/>
      <c r="H189" s="10"/>
      <c r="I189" s="12"/>
      <c r="J189" s="12"/>
      <c r="K189" s="12"/>
      <c r="L189" s="10"/>
      <c r="M189"/>
      <c r="N189"/>
      <c r="O189"/>
      <c r="P189"/>
      <c r="Q189"/>
    </row>
    <row r="190" spans="1:23" s="1" customFormat="1" x14ac:dyDescent="0.2">
      <c r="A190" s="175"/>
      <c r="B190" s="10"/>
      <c r="C190" s="13"/>
      <c r="D190" s="10"/>
      <c r="E190" s="10"/>
      <c r="F190" s="10"/>
      <c r="G190" s="10"/>
      <c r="H190" s="10"/>
      <c r="I190" s="12"/>
      <c r="J190" s="12"/>
      <c r="K190" s="12"/>
      <c r="L190" s="10"/>
    </row>
    <row r="191" spans="1:23" s="1" customFormat="1" ht="15" x14ac:dyDescent="0.25">
      <c r="A191" s="5"/>
      <c r="B191" s="14"/>
      <c r="C191" s="122"/>
      <c r="D191" s="17"/>
      <c r="E191" s="17"/>
      <c r="F191" s="13"/>
      <c r="G191" s="12"/>
      <c r="H191" s="12"/>
      <c r="I191" s="19"/>
      <c r="J191" s="12"/>
      <c r="K191" s="12"/>
      <c r="L191" s="10"/>
    </row>
    <row r="192" spans="1:23" s="102" customFormat="1" x14ac:dyDescent="0.2">
      <c r="A192" s="6"/>
      <c r="B192" s="14"/>
      <c r="C192" s="17"/>
      <c r="D192" s="21"/>
      <c r="E192" s="21"/>
      <c r="F192" s="13"/>
      <c r="G192" s="106"/>
      <c r="H192" s="106"/>
      <c r="I192" s="12"/>
      <c r="J192" s="12"/>
      <c r="K192" s="12"/>
      <c r="L192" s="10"/>
      <c r="M192" s="1"/>
      <c r="N192" s="1"/>
      <c r="O192" s="1"/>
      <c r="P192" s="1"/>
      <c r="Q192" s="1"/>
    </row>
    <row r="193" spans="1:17" x14ac:dyDescent="0.2">
      <c r="B193" s="14"/>
      <c r="C193" s="17"/>
      <c r="D193" s="21"/>
      <c r="E193" s="21"/>
      <c r="F193" s="13"/>
      <c r="G193" s="106"/>
      <c r="H193" s="16"/>
      <c r="M193" s="1"/>
      <c r="N193" s="1"/>
      <c r="O193" s="1"/>
      <c r="P193" s="1"/>
      <c r="Q193" s="1"/>
    </row>
    <row r="194" spans="1:17" x14ac:dyDescent="0.2">
      <c r="A194" s="169"/>
      <c r="B194" s="14"/>
      <c r="C194" s="17"/>
      <c r="D194" s="21"/>
      <c r="E194" s="21"/>
      <c r="F194" s="17"/>
      <c r="G194" s="106"/>
      <c r="H194" s="16"/>
      <c r="J194" s="101"/>
      <c r="K194" s="101"/>
      <c r="L194" s="100"/>
      <c r="M194" s="1"/>
      <c r="N194" s="1"/>
      <c r="O194" s="102"/>
      <c r="P194" s="102"/>
      <c r="Q194" s="102"/>
    </row>
    <row r="195" spans="1:17" x14ac:dyDescent="0.2">
      <c r="A195" s="144"/>
      <c r="M195" s="102"/>
      <c r="N195" s="102"/>
    </row>
    <row r="196" spans="1:17" x14ac:dyDescent="0.2">
      <c r="A196" s="170"/>
      <c r="B196" s="14"/>
      <c r="C196" s="12"/>
      <c r="D196" s="12"/>
      <c r="E196" s="12"/>
      <c r="F196" s="12"/>
      <c r="G196" s="12"/>
      <c r="H196" s="12"/>
    </row>
    <row r="197" spans="1:17" x14ac:dyDescent="0.2">
      <c r="B197" s="14"/>
      <c r="C197" s="12"/>
      <c r="D197" s="12"/>
      <c r="E197" s="12"/>
      <c r="F197" s="12"/>
      <c r="G197" s="12"/>
      <c r="H197" s="12"/>
    </row>
    <row r="198" spans="1:17" ht="15" x14ac:dyDescent="0.25">
      <c r="A198" s="5"/>
      <c r="B198" s="14"/>
      <c r="C198" s="12"/>
      <c r="D198" s="12"/>
      <c r="E198" s="12"/>
      <c r="F198" s="12"/>
      <c r="G198" s="12"/>
      <c r="H198" s="16"/>
    </row>
    <row r="199" spans="1:17" s="1" customFormat="1" x14ac:dyDescent="0.2">
      <c r="A199" s="4"/>
      <c r="B199" s="14"/>
      <c r="C199" s="12"/>
      <c r="D199" s="21"/>
      <c r="E199" s="21"/>
      <c r="F199" s="12"/>
      <c r="G199" s="16"/>
      <c r="H199" s="10"/>
      <c r="I199" s="12"/>
      <c r="J199" s="12"/>
      <c r="K199" s="12"/>
      <c r="L199" s="10"/>
      <c r="M199"/>
      <c r="N199"/>
      <c r="O199"/>
      <c r="P199"/>
      <c r="Q199"/>
    </row>
    <row r="200" spans="1:17" s="1" customFormat="1" x14ac:dyDescent="0.2">
      <c r="A200" s="7"/>
      <c r="B200" s="14"/>
      <c r="C200" s="12"/>
      <c r="D200" s="21"/>
      <c r="E200" s="21"/>
      <c r="F200" s="12"/>
      <c r="G200" s="16"/>
      <c r="H200" s="10"/>
      <c r="I200" s="12"/>
      <c r="J200" s="12"/>
      <c r="K200" s="12"/>
      <c r="L200" s="10"/>
      <c r="M200"/>
      <c r="N200"/>
      <c r="O200"/>
      <c r="P200"/>
      <c r="Q200"/>
    </row>
    <row r="201" spans="1:17" s="1" customFormat="1" x14ac:dyDescent="0.2">
      <c r="A201" s="144"/>
      <c r="B201" s="10"/>
      <c r="C201" s="13"/>
      <c r="D201" s="10"/>
      <c r="E201" s="10"/>
      <c r="F201" s="10"/>
      <c r="G201" s="10"/>
      <c r="H201" s="10"/>
      <c r="I201" s="12"/>
      <c r="J201" s="12"/>
      <c r="K201" s="12"/>
      <c r="L201" s="10"/>
    </row>
    <row r="202" spans="1:17" s="1" customFormat="1" x14ac:dyDescent="0.2">
      <c r="A202" s="142"/>
      <c r="B202" s="14"/>
      <c r="C202" s="12"/>
      <c r="D202" s="12"/>
      <c r="E202" s="12"/>
      <c r="F202" s="12"/>
      <c r="G202" s="12"/>
      <c r="H202" s="12"/>
      <c r="I202" s="12"/>
      <c r="J202" s="12"/>
      <c r="K202" s="12"/>
      <c r="L202" s="10"/>
    </row>
    <row r="203" spans="1:17" s="1" customFormat="1" x14ac:dyDescent="0.2">
      <c r="A203" s="4"/>
      <c r="B203" s="14"/>
      <c r="C203" s="12"/>
      <c r="D203" s="12"/>
      <c r="E203" s="12"/>
      <c r="F203" s="12"/>
      <c r="G203" s="20"/>
      <c r="H203" s="20"/>
      <c r="I203" s="12"/>
      <c r="J203" s="12"/>
      <c r="K203" s="12"/>
      <c r="L203" s="10"/>
    </row>
    <row r="204" spans="1:17" s="1" customFormat="1" x14ac:dyDescent="0.2">
      <c r="A204" s="4"/>
      <c r="B204" s="14"/>
      <c r="C204" s="12"/>
      <c r="D204" s="21"/>
      <c r="E204" s="21"/>
      <c r="F204" s="12"/>
      <c r="G204" s="20"/>
      <c r="H204" s="16"/>
      <c r="I204" s="12"/>
      <c r="J204" s="12"/>
      <c r="K204" s="12"/>
      <c r="L204" s="10"/>
    </row>
    <row r="205" spans="1:17" s="1" customFormat="1" ht="15" x14ac:dyDescent="0.25">
      <c r="A205" s="5"/>
      <c r="B205" s="14"/>
      <c r="C205" s="12"/>
      <c r="D205" s="21"/>
      <c r="E205" s="21"/>
      <c r="F205" s="12"/>
      <c r="G205" s="20"/>
      <c r="H205" s="16"/>
      <c r="I205" s="12"/>
      <c r="J205" s="12"/>
      <c r="K205" s="12"/>
      <c r="L205" s="10"/>
    </row>
    <row r="206" spans="1:17" s="1" customFormat="1" x14ac:dyDescent="0.2">
      <c r="A206" s="4"/>
      <c r="B206" s="14"/>
      <c r="C206" s="12"/>
      <c r="D206" s="21"/>
      <c r="E206" s="21"/>
      <c r="F206" s="12"/>
      <c r="G206" s="20"/>
      <c r="H206" s="16"/>
      <c r="J206" s="12"/>
      <c r="K206" s="12"/>
      <c r="L206" s="100"/>
    </row>
    <row r="207" spans="1:17" s="1" customFormat="1" x14ac:dyDescent="0.2">
      <c r="A207" s="4"/>
      <c r="B207" s="14"/>
      <c r="C207" s="12"/>
      <c r="D207" s="21"/>
      <c r="E207" s="21"/>
      <c r="F207" s="12"/>
      <c r="G207" s="20"/>
      <c r="H207" s="16"/>
      <c r="I207" s="12"/>
      <c r="J207" s="12"/>
      <c r="K207" s="12"/>
      <c r="L207" s="10"/>
    </row>
    <row r="208" spans="1:17" s="1" customFormat="1" x14ac:dyDescent="0.2">
      <c r="A208" s="4"/>
      <c r="B208" s="14"/>
      <c r="C208" s="12"/>
      <c r="D208" s="21"/>
      <c r="E208" s="21"/>
      <c r="F208" s="12"/>
      <c r="G208" s="20"/>
      <c r="H208" s="16"/>
      <c r="I208" s="12"/>
      <c r="J208" s="12"/>
      <c r="K208" s="12"/>
      <c r="L208" s="10"/>
    </row>
    <row r="209" spans="1:17" s="1" customFormat="1" x14ac:dyDescent="0.2">
      <c r="B209" s="14"/>
      <c r="C209" s="12"/>
      <c r="D209" s="21"/>
      <c r="E209" s="21"/>
      <c r="F209" s="12"/>
      <c r="G209" s="20"/>
      <c r="H209" s="16"/>
      <c r="I209" s="12"/>
      <c r="J209" s="12"/>
      <c r="K209" s="12"/>
      <c r="L209" s="10"/>
    </row>
    <row r="210" spans="1:17" s="1" customFormat="1" ht="15" x14ac:dyDescent="0.25">
      <c r="A210" s="168"/>
      <c r="B210" s="14"/>
      <c r="C210" s="17"/>
      <c r="D210" s="21"/>
      <c r="E210" s="21"/>
      <c r="F210" s="12"/>
      <c r="G210" s="20"/>
      <c r="H210" s="16"/>
      <c r="I210" s="12"/>
      <c r="J210" s="12"/>
      <c r="K210" s="12"/>
      <c r="L210" s="10"/>
    </row>
    <row r="211" spans="1:17" s="1" customFormat="1" ht="15" x14ac:dyDescent="0.25">
      <c r="A211" s="176"/>
      <c r="B211" s="117"/>
      <c r="C211" s="11"/>
      <c r="D211" s="117"/>
      <c r="E211" s="117"/>
      <c r="F211" s="117"/>
      <c r="G211" s="117"/>
      <c r="H211" s="117"/>
      <c r="I211" s="115"/>
      <c r="J211" s="115"/>
      <c r="K211" s="115"/>
      <c r="L211" s="117"/>
    </row>
    <row r="212" spans="1:17" s="1" customFormat="1" ht="15" x14ac:dyDescent="0.25">
      <c r="A212" s="145"/>
      <c r="B212" s="114"/>
      <c r="C212" s="115"/>
      <c r="D212" s="123"/>
      <c r="E212" s="123"/>
      <c r="F212" s="115"/>
      <c r="G212" s="115"/>
      <c r="H212" s="115"/>
      <c r="I212" s="115"/>
      <c r="J212" s="115"/>
      <c r="K212" s="115"/>
      <c r="L212" s="117"/>
    </row>
    <row r="213" spans="1:17" s="1" customFormat="1" ht="15" x14ac:dyDescent="0.25">
      <c r="A213" s="5"/>
      <c r="B213" s="114"/>
      <c r="C213" s="115"/>
      <c r="D213" s="115"/>
      <c r="E213" s="115"/>
      <c r="F213" s="115"/>
      <c r="G213" s="123"/>
      <c r="H213" s="123"/>
      <c r="I213" s="115"/>
      <c r="J213" s="115"/>
      <c r="K213" s="115"/>
      <c r="L213" s="117"/>
    </row>
    <row r="214" spans="1:17" s="1" customFormat="1" ht="15" x14ac:dyDescent="0.25">
      <c r="A214" s="5"/>
      <c r="B214" s="114"/>
      <c r="C214" s="115"/>
      <c r="D214" s="124"/>
      <c r="E214" s="124"/>
      <c r="F214" s="115"/>
      <c r="G214" s="125"/>
      <c r="H214" s="118"/>
      <c r="I214" s="115"/>
      <c r="J214" s="115"/>
      <c r="K214" s="115"/>
      <c r="L214" s="117"/>
    </row>
    <row r="215" spans="1:17" s="1" customFormat="1" ht="15" x14ac:dyDescent="0.25">
      <c r="A215" s="5"/>
      <c r="B215" s="114"/>
      <c r="C215" s="115"/>
      <c r="D215" s="124"/>
      <c r="E215" s="124"/>
      <c r="F215" s="115"/>
      <c r="G215" s="125"/>
      <c r="H215" s="118"/>
      <c r="J215" s="115"/>
      <c r="K215" s="115"/>
      <c r="L215" s="100"/>
    </row>
    <row r="216" spans="1:17" s="1" customFormat="1" ht="15" x14ac:dyDescent="0.25">
      <c r="A216" s="5"/>
      <c r="B216" s="114"/>
      <c r="C216" s="115"/>
      <c r="D216" s="124"/>
      <c r="E216" s="124"/>
      <c r="F216" s="115"/>
      <c r="G216" s="125"/>
      <c r="H216" s="118"/>
      <c r="I216" s="115"/>
      <c r="J216" s="115"/>
      <c r="K216" s="115"/>
      <c r="L216" s="117"/>
    </row>
    <row r="217" spans="1:17" s="1" customFormat="1" ht="15" x14ac:dyDescent="0.25">
      <c r="A217" s="5"/>
      <c r="B217" s="114"/>
      <c r="C217" s="115"/>
      <c r="D217" s="124"/>
      <c r="E217" s="124"/>
      <c r="F217" s="115"/>
      <c r="G217" s="125"/>
      <c r="H217" s="118"/>
      <c r="I217" s="115"/>
      <c r="J217" s="115"/>
      <c r="K217" s="115"/>
      <c r="L217" s="117"/>
    </row>
    <row r="218" spans="1:17" ht="15" x14ac:dyDescent="0.25">
      <c r="A218" s="5"/>
      <c r="B218" s="114"/>
      <c r="C218" s="115"/>
      <c r="D218" s="124"/>
      <c r="E218" s="124"/>
      <c r="F218" s="115"/>
      <c r="G218" s="125"/>
      <c r="H218" s="118"/>
      <c r="I218" s="115"/>
      <c r="J218" s="115"/>
      <c r="K218" s="115"/>
      <c r="L218" s="117"/>
      <c r="M218" s="1"/>
      <c r="N218" s="1"/>
      <c r="O218" s="1"/>
      <c r="P218" s="1"/>
      <c r="Q218" s="1"/>
    </row>
    <row r="219" spans="1:17" ht="15" x14ac:dyDescent="0.25">
      <c r="B219" s="114"/>
      <c r="C219" s="115"/>
      <c r="D219" s="21"/>
      <c r="E219" s="21"/>
      <c r="F219" s="115"/>
      <c r="G219" s="125"/>
      <c r="H219" s="118"/>
      <c r="I219" s="115"/>
      <c r="M219" s="1"/>
      <c r="N219" s="1"/>
      <c r="O219" s="1"/>
      <c r="P219" s="1"/>
      <c r="Q219" s="1"/>
    </row>
    <row r="220" spans="1:17" ht="15" x14ac:dyDescent="0.25">
      <c r="A220" s="169"/>
      <c r="B220" s="114"/>
      <c r="C220" s="115"/>
      <c r="D220" s="21"/>
      <c r="E220" s="21"/>
      <c r="F220" s="115"/>
      <c r="G220" s="15"/>
      <c r="H220" s="16"/>
      <c r="I220" s="115"/>
    </row>
    <row r="221" spans="1:17" x14ac:dyDescent="0.2">
      <c r="A221" s="177"/>
    </row>
    <row r="222" spans="1:17" x14ac:dyDescent="0.2">
      <c r="A222" s="142"/>
      <c r="B222" s="14"/>
      <c r="C222" s="12"/>
      <c r="D222" s="20"/>
      <c r="E222" s="20"/>
      <c r="F222" s="12"/>
      <c r="G222" s="12"/>
      <c r="H222" s="12"/>
    </row>
    <row r="223" spans="1:17" x14ac:dyDescent="0.2">
      <c r="B223" s="14"/>
      <c r="C223" s="12"/>
      <c r="D223" s="12"/>
      <c r="E223" s="12"/>
      <c r="F223" s="12"/>
      <c r="G223" s="20"/>
      <c r="H223" s="20"/>
    </row>
    <row r="224" spans="1:17" x14ac:dyDescent="0.2">
      <c r="B224" s="14"/>
      <c r="C224" s="12"/>
      <c r="D224" s="21"/>
      <c r="E224" s="21"/>
      <c r="F224" s="12"/>
      <c r="G224" s="20"/>
      <c r="H224" s="16"/>
    </row>
    <row r="225" spans="1:8" ht="15" x14ac:dyDescent="0.25">
      <c r="A225" s="5"/>
      <c r="B225" s="14"/>
      <c r="C225" s="12"/>
      <c r="D225" s="21"/>
      <c r="E225" s="21"/>
      <c r="F225" s="12"/>
      <c r="G225" s="20"/>
      <c r="H225" s="16"/>
    </row>
    <row r="226" spans="1:8" x14ac:dyDescent="0.2">
      <c r="B226" s="14"/>
      <c r="C226" s="12"/>
      <c r="D226" s="21"/>
      <c r="E226" s="21"/>
      <c r="F226" s="12"/>
      <c r="G226" s="20"/>
      <c r="H226" s="16"/>
    </row>
    <row r="227" spans="1:8" x14ac:dyDescent="0.2">
      <c r="B227" s="14"/>
      <c r="C227" s="12"/>
      <c r="D227" s="21"/>
      <c r="E227" s="21"/>
      <c r="F227" s="12"/>
      <c r="G227" s="20"/>
      <c r="H227" s="16"/>
    </row>
    <row r="228" spans="1:8" x14ac:dyDescent="0.2">
      <c r="B228" s="14"/>
      <c r="C228" s="12"/>
      <c r="D228" s="21"/>
      <c r="E228" s="21"/>
      <c r="F228" s="12"/>
      <c r="G228" s="20"/>
      <c r="H228" s="16"/>
    </row>
    <row r="229" spans="1:8" x14ac:dyDescent="0.2">
      <c r="A229" s="169"/>
      <c r="B229" s="14"/>
      <c r="C229" s="12"/>
      <c r="D229" s="21"/>
      <c r="E229" s="21"/>
      <c r="F229" s="12"/>
      <c r="G229" s="15"/>
      <c r="H229" s="16"/>
    </row>
    <row r="230" spans="1:8" x14ac:dyDescent="0.2">
      <c r="A230" s="177"/>
    </row>
    <row r="231" spans="1:8" x14ac:dyDescent="0.2">
      <c r="B231" s="14"/>
      <c r="D231" s="13"/>
      <c r="E231" s="13"/>
      <c r="F231" s="13"/>
      <c r="G231" s="13"/>
      <c r="H231" s="13"/>
    </row>
    <row r="232" spans="1:8" x14ac:dyDescent="0.2">
      <c r="B232" s="14"/>
      <c r="D232" s="12"/>
      <c r="E232" s="12"/>
      <c r="F232" s="13"/>
      <c r="G232" s="20"/>
      <c r="H232" s="20"/>
    </row>
    <row r="233" spans="1:8" ht="15" x14ac:dyDescent="0.25">
      <c r="A233" s="5"/>
      <c r="B233" s="14"/>
      <c r="D233" s="21"/>
      <c r="E233" s="21"/>
      <c r="F233" s="13"/>
      <c r="G233" s="20"/>
      <c r="H233" s="16"/>
    </row>
    <row r="234" spans="1:8" x14ac:dyDescent="0.2">
      <c r="B234" s="14"/>
      <c r="C234" s="20"/>
      <c r="D234" s="21"/>
      <c r="E234" s="21"/>
      <c r="F234" s="13"/>
      <c r="G234" s="15"/>
      <c r="H234" s="16"/>
    </row>
    <row r="236" spans="1:8" x14ac:dyDescent="0.2">
      <c r="A236" s="169"/>
      <c r="B236" s="14"/>
      <c r="C236" s="12"/>
      <c r="D236" s="12"/>
      <c r="E236" s="12"/>
      <c r="F236" s="12"/>
      <c r="G236" s="12"/>
      <c r="H236" s="12"/>
    </row>
    <row r="237" spans="1:8" x14ac:dyDescent="0.2">
      <c r="A237" s="177"/>
      <c r="B237" s="14"/>
      <c r="C237" s="12"/>
      <c r="D237" s="12"/>
      <c r="E237" s="12"/>
      <c r="F237" s="12"/>
      <c r="G237" s="20"/>
      <c r="H237" s="20"/>
    </row>
    <row r="238" spans="1:8" x14ac:dyDescent="0.2">
      <c r="B238" s="14"/>
      <c r="C238" s="12"/>
      <c r="D238" s="21"/>
      <c r="E238" s="21"/>
      <c r="F238" s="12"/>
      <c r="G238" s="20"/>
      <c r="H238" s="16"/>
    </row>
    <row r="239" spans="1:8" ht="15" x14ac:dyDescent="0.25">
      <c r="A239" s="5"/>
      <c r="B239" s="14"/>
      <c r="C239" s="20"/>
      <c r="D239" s="21"/>
      <c r="E239" s="21"/>
      <c r="F239" s="12"/>
      <c r="G239" s="15"/>
      <c r="H239" s="16"/>
    </row>
    <row r="241" spans="1:12" x14ac:dyDescent="0.2">
      <c r="B241" s="14"/>
      <c r="C241" s="12"/>
      <c r="D241" s="12"/>
      <c r="E241" s="12"/>
      <c r="F241" s="12"/>
      <c r="G241" s="12"/>
      <c r="H241" s="12"/>
    </row>
    <row r="242" spans="1:12" x14ac:dyDescent="0.2">
      <c r="B242" s="14"/>
      <c r="C242" s="12"/>
      <c r="D242" s="12"/>
      <c r="E242" s="12"/>
      <c r="F242" s="12"/>
      <c r="G242" s="12"/>
      <c r="H242" s="12"/>
    </row>
    <row r="243" spans="1:12" x14ac:dyDescent="0.2">
      <c r="B243" s="14"/>
      <c r="C243" s="12"/>
      <c r="D243" s="21"/>
      <c r="E243" s="21"/>
      <c r="F243" s="12"/>
      <c r="H243" s="16"/>
    </row>
    <row r="244" spans="1:12" x14ac:dyDescent="0.2">
      <c r="A244" s="6"/>
      <c r="B244" s="14"/>
      <c r="C244" s="12"/>
      <c r="D244" s="21"/>
      <c r="E244" s="21"/>
      <c r="F244" s="12"/>
      <c r="H244" s="16"/>
    </row>
    <row r="245" spans="1:12" x14ac:dyDescent="0.2">
      <c r="B245" s="14"/>
      <c r="C245" s="12"/>
      <c r="D245" s="21"/>
      <c r="E245" s="21"/>
      <c r="F245" s="12"/>
      <c r="H245" s="16"/>
    </row>
    <row r="246" spans="1:12" x14ac:dyDescent="0.2">
      <c r="B246" s="14"/>
      <c r="C246" s="20"/>
      <c r="D246" s="21"/>
      <c r="E246" s="21"/>
      <c r="F246" s="12"/>
      <c r="H246" s="16"/>
    </row>
    <row r="247" spans="1:12" s="1" customFormat="1" x14ac:dyDescent="0.2">
      <c r="A247" s="4"/>
      <c r="B247" s="10"/>
      <c r="C247" s="13"/>
      <c r="D247" s="10"/>
      <c r="E247" s="10"/>
      <c r="F247" s="10"/>
      <c r="G247" s="10"/>
      <c r="H247" s="10"/>
      <c r="I247" s="12"/>
      <c r="J247" s="12"/>
      <c r="K247" s="12"/>
      <c r="L247" s="10"/>
    </row>
    <row r="248" spans="1:12" s="1" customFormat="1" x14ac:dyDescent="0.2">
      <c r="A248" s="8"/>
      <c r="B248" s="14"/>
      <c r="C248" s="12"/>
      <c r="D248" s="12"/>
      <c r="E248" s="12"/>
      <c r="F248" s="12"/>
      <c r="G248" s="12"/>
      <c r="H248" s="12"/>
      <c r="I248" s="12"/>
      <c r="J248" s="12"/>
      <c r="K248" s="12"/>
      <c r="L248" s="10"/>
    </row>
    <row r="249" spans="1:12" s="1" customFormat="1" x14ac:dyDescent="0.2">
      <c r="A249" s="4"/>
      <c r="B249" s="14"/>
      <c r="C249" s="12"/>
      <c r="D249" s="12"/>
      <c r="E249" s="12"/>
      <c r="F249" s="12"/>
      <c r="G249" s="12"/>
      <c r="H249" s="12"/>
      <c r="I249" s="12"/>
      <c r="J249" s="12"/>
      <c r="K249" s="12"/>
      <c r="L249" s="10"/>
    </row>
    <row r="250" spans="1:12" s="1" customFormat="1" ht="15" x14ac:dyDescent="0.25">
      <c r="A250" s="5"/>
      <c r="B250" s="14"/>
      <c r="C250" s="12"/>
      <c r="D250" s="21"/>
      <c r="E250" s="21"/>
      <c r="F250" s="12"/>
      <c r="G250" s="10"/>
      <c r="H250" s="16"/>
      <c r="I250" s="12"/>
      <c r="J250" s="12"/>
      <c r="K250" s="12"/>
      <c r="L250" s="10"/>
    </row>
    <row r="251" spans="1:12" x14ac:dyDescent="0.2">
      <c r="B251" s="14"/>
      <c r="C251" s="12"/>
      <c r="D251" s="12"/>
      <c r="E251" s="12"/>
      <c r="F251" s="12"/>
      <c r="H251" s="16"/>
    </row>
    <row r="253" spans="1:12" x14ac:dyDescent="0.2">
      <c r="B253" s="14"/>
      <c r="C253" s="12"/>
      <c r="D253" s="12"/>
      <c r="E253" s="12"/>
      <c r="F253" s="17"/>
      <c r="G253" s="12"/>
      <c r="H253" s="12"/>
    </row>
    <row r="254" spans="1:12" x14ac:dyDescent="0.2">
      <c r="B254" s="14"/>
      <c r="C254" s="12"/>
      <c r="D254" s="12"/>
      <c r="E254" s="12"/>
      <c r="F254" s="17"/>
      <c r="G254" s="12"/>
      <c r="H254" s="12"/>
    </row>
    <row r="255" spans="1:12" ht="15" x14ac:dyDescent="0.25">
      <c r="A255" s="5"/>
      <c r="B255" s="14"/>
      <c r="C255" s="12"/>
      <c r="D255" s="12"/>
      <c r="E255" s="12"/>
      <c r="F255" s="17"/>
      <c r="G255" s="12"/>
      <c r="H255" s="16"/>
    </row>
    <row r="256" spans="1:12" x14ac:dyDescent="0.2">
      <c r="A256" s="8"/>
      <c r="B256" s="14"/>
      <c r="C256" s="12"/>
      <c r="D256" s="12"/>
      <c r="E256" s="12"/>
      <c r="F256" s="12"/>
      <c r="G256" s="12"/>
      <c r="H256" s="16"/>
    </row>
    <row r="257" spans="1:12" s="1" customFormat="1" x14ac:dyDescent="0.2">
      <c r="A257" s="8"/>
      <c r="B257" s="10"/>
      <c r="C257" s="13"/>
      <c r="D257" s="10"/>
      <c r="E257" s="10"/>
      <c r="F257" s="10"/>
      <c r="G257" s="10"/>
      <c r="H257" s="10"/>
      <c r="I257" s="12"/>
      <c r="J257" s="12"/>
      <c r="K257" s="12"/>
      <c r="L257" s="10"/>
    </row>
    <row r="258" spans="1:12" s="1" customFormat="1" x14ac:dyDescent="0.2">
      <c r="A258" s="4"/>
      <c r="B258" s="14"/>
      <c r="C258" s="12"/>
      <c r="D258" s="12"/>
      <c r="E258" s="12"/>
      <c r="F258" s="12"/>
      <c r="G258" s="12"/>
      <c r="H258" s="12"/>
      <c r="I258" s="12"/>
      <c r="J258" s="12"/>
      <c r="K258" s="12"/>
      <c r="L258" s="10"/>
    </row>
    <row r="259" spans="1:12" s="1" customFormat="1" x14ac:dyDescent="0.2">
      <c r="A259" s="4"/>
      <c r="B259" s="14"/>
      <c r="C259" s="12"/>
      <c r="D259" s="12"/>
      <c r="E259" s="12"/>
      <c r="F259" s="12"/>
      <c r="G259" s="12"/>
      <c r="H259" s="12"/>
      <c r="I259" s="12"/>
      <c r="J259" s="12"/>
      <c r="K259" s="12"/>
      <c r="L259" s="10"/>
    </row>
    <row r="260" spans="1:12" s="1" customFormat="1" ht="15" x14ac:dyDescent="0.25">
      <c r="A260" s="5"/>
      <c r="B260" s="14"/>
      <c r="C260" s="12"/>
      <c r="D260" s="21"/>
      <c r="E260" s="21"/>
      <c r="F260" s="12"/>
      <c r="G260" s="10"/>
      <c r="H260" s="16"/>
      <c r="I260" s="12"/>
      <c r="J260" s="12"/>
      <c r="K260" s="12"/>
      <c r="L260" s="10"/>
    </row>
    <row r="261" spans="1:12" x14ac:dyDescent="0.2">
      <c r="B261" s="14"/>
      <c r="C261" s="12"/>
      <c r="D261" s="12"/>
      <c r="E261" s="12"/>
      <c r="F261" s="12"/>
    </row>
    <row r="262" spans="1:12" x14ac:dyDescent="0.2">
      <c r="F262" s="12"/>
    </row>
  </sheetData>
  <pageMargins left="0.25" right="0.25" top="0.75" bottom="0.5" header="0.3" footer="0.3"/>
  <pageSetup scale="95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28F5B-9BAC-4CB0-94EB-80EBCC2522D1}">
  <dimension ref="A1:W248"/>
  <sheetViews>
    <sheetView zoomScale="113" zoomScaleNormal="113" workbookViewId="0">
      <pane xSplit="1" topLeftCell="B1" activePane="topRight" state="frozen"/>
      <selection pane="topRight" activeCell="A8" sqref="A8"/>
    </sheetView>
  </sheetViews>
  <sheetFormatPr defaultColWidth="8.85546875" defaultRowHeight="14.25" x14ac:dyDescent="0.2"/>
  <cols>
    <col min="1" max="1" width="19.85546875" style="4" customWidth="1"/>
    <col min="2" max="2" width="12.42578125" style="10" customWidth="1"/>
    <col min="3" max="3" width="9.42578125" style="13" customWidth="1"/>
    <col min="4" max="4" width="8.85546875" style="10" customWidth="1"/>
    <col min="5" max="5" width="7.85546875" style="10" customWidth="1"/>
    <col min="6" max="6" width="12.42578125" style="10" customWidth="1"/>
    <col min="7" max="8" width="10.42578125" style="10" customWidth="1"/>
    <col min="9" max="9" width="12.28515625" style="12" customWidth="1"/>
    <col min="10" max="10" width="10" style="12" customWidth="1"/>
    <col min="11" max="11" width="7.85546875" style="12" customWidth="1"/>
    <col min="12" max="12" width="7" style="13" customWidth="1"/>
    <col min="13" max="13" width="4.28515625" customWidth="1"/>
    <col min="14" max="14" width="4.85546875" customWidth="1"/>
  </cols>
  <sheetData>
    <row r="1" spans="1:18" ht="15" x14ac:dyDescent="0.25">
      <c r="A1" s="9" t="s">
        <v>23</v>
      </c>
      <c r="C1" s="11" t="s">
        <v>16</v>
      </c>
      <c r="F1" s="10" t="s">
        <v>12</v>
      </c>
      <c r="G1" s="32" t="s">
        <v>26</v>
      </c>
      <c r="H1" s="33" t="s">
        <v>10</v>
      </c>
      <c r="I1" s="34">
        <v>10.02</v>
      </c>
      <c r="J1" s="12" t="s">
        <v>11</v>
      </c>
      <c r="L1" s="182" t="s">
        <v>68</v>
      </c>
      <c r="M1" s="109"/>
      <c r="N1" s="109"/>
      <c r="O1" s="109"/>
    </row>
    <row r="2" spans="1:18" ht="15" x14ac:dyDescent="0.25">
      <c r="A2" s="3" t="s">
        <v>22</v>
      </c>
      <c r="C2" s="11" t="s">
        <v>13</v>
      </c>
      <c r="N2" s="1" t="s">
        <v>28</v>
      </c>
    </row>
    <row r="3" spans="1:18" ht="15" x14ac:dyDescent="0.25">
      <c r="A3" s="132"/>
      <c r="C3" s="11"/>
      <c r="K3" s="12" t="s">
        <v>93</v>
      </c>
      <c r="O3" s="2"/>
    </row>
    <row r="4" spans="1:18" ht="15" x14ac:dyDescent="0.25">
      <c r="A4" s="168">
        <v>34485</v>
      </c>
      <c r="B4" s="10" t="s">
        <v>0</v>
      </c>
      <c r="C4" s="13" t="s">
        <v>8</v>
      </c>
      <c r="D4" s="10" t="s">
        <v>1</v>
      </c>
      <c r="E4" s="10" t="s">
        <v>2</v>
      </c>
      <c r="F4" s="10" t="s">
        <v>3</v>
      </c>
      <c r="G4" s="10" t="s">
        <v>1</v>
      </c>
      <c r="H4" s="10" t="s">
        <v>2</v>
      </c>
      <c r="I4" s="12" t="s">
        <v>4</v>
      </c>
      <c r="J4" s="12" t="s">
        <v>5</v>
      </c>
      <c r="K4" s="12" t="s">
        <v>2</v>
      </c>
      <c r="L4" s="13" t="s">
        <v>6</v>
      </c>
      <c r="M4" s="12"/>
    </row>
    <row r="5" spans="1:18" x14ac:dyDescent="0.2">
      <c r="B5" s="14">
        <v>45338</v>
      </c>
      <c r="C5" s="15">
        <v>505.6</v>
      </c>
      <c r="D5" s="17">
        <f>AVERAGE(C5:C9)</f>
        <v>447.375</v>
      </c>
      <c r="E5" s="17">
        <f>STDEV(C5:C9)/SQRT(COUNT(C5:C9))</f>
        <v>85.601113456543274</v>
      </c>
      <c r="F5" s="15">
        <f>C5/(1+ 3.7/$I$1)</f>
        <v>369.25014577259475</v>
      </c>
      <c r="G5" s="15">
        <f>AVERAGE(F5:F9)</f>
        <v>340.75309179727003</v>
      </c>
      <c r="H5" s="15">
        <f>STDEV(F5:F9)/SQRT(COUNT(F5:F9))</f>
        <v>68.110483483493866</v>
      </c>
      <c r="I5" s="12">
        <v>-0.44700000000000001</v>
      </c>
      <c r="J5" s="12">
        <f>AVERAGE(I5:I9)</f>
        <v>-0.69597500000000001</v>
      </c>
      <c r="K5" s="12">
        <f>STDEV(I5:I9)/SQRT(COUNT(I5:I9))</f>
        <v>0.14714517986782083</v>
      </c>
      <c r="L5" s="13">
        <f>LOG(F5*0.000000001)</f>
        <v>-6.4326793245651777</v>
      </c>
      <c r="M5">
        <v>-5</v>
      </c>
      <c r="N5" t="s">
        <v>24</v>
      </c>
    </row>
    <row r="6" spans="1:18" x14ac:dyDescent="0.2">
      <c r="B6" s="14">
        <v>45369</v>
      </c>
      <c r="C6" s="15">
        <v>397</v>
      </c>
      <c r="D6" s="15"/>
      <c r="E6" s="15"/>
      <c r="F6" s="15">
        <f>C6/(1+ 3.77/$I$1)</f>
        <v>288.46555474981869</v>
      </c>
      <c r="G6" s="15"/>
      <c r="I6" s="12">
        <v>-0.4456</v>
      </c>
      <c r="L6" s="13">
        <f>LOG(F6*0.000000001)</f>
        <v>-6.5399060378815079</v>
      </c>
      <c r="M6">
        <v>-5</v>
      </c>
      <c r="N6" t="s">
        <v>24</v>
      </c>
    </row>
    <row r="7" spans="1:18" ht="15" x14ac:dyDescent="0.2">
      <c r="A7" s="158"/>
      <c r="B7" s="14">
        <v>45513</v>
      </c>
      <c r="C7" s="15">
        <v>645.9</v>
      </c>
      <c r="D7" s="15"/>
      <c r="E7" s="15"/>
      <c r="F7" s="15">
        <f>C7/(1+ 2.58/$I$1)</f>
        <v>513.64428571428573</v>
      </c>
      <c r="G7" s="15"/>
      <c r="H7" s="98">
        <f>H5/G5</f>
        <v>0.19988221713338403</v>
      </c>
      <c r="I7" s="12">
        <v>-1.018</v>
      </c>
      <c r="L7" s="13">
        <f>LOG(F7*0.000000001)</f>
        <v>-6.2893375390431867</v>
      </c>
      <c r="M7">
        <v>-5</v>
      </c>
      <c r="N7" s="1" t="s">
        <v>40</v>
      </c>
    </row>
    <row r="8" spans="1:18" ht="15" x14ac:dyDescent="0.2">
      <c r="A8" s="158" t="s">
        <v>38</v>
      </c>
      <c r="B8" s="14">
        <v>45493</v>
      </c>
      <c r="C8" s="15">
        <v>241</v>
      </c>
      <c r="D8" s="15"/>
      <c r="E8" s="15"/>
      <c r="F8" s="15">
        <f>C8/(1+ 2.58/$I$1)</f>
        <v>191.65238095238095</v>
      </c>
      <c r="G8" s="15"/>
      <c r="H8" s="16"/>
      <c r="I8" s="12">
        <v>-0.87329999999999997</v>
      </c>
      <c r="L8" s="13">
        <f>LOG(F8*0.000000001)</f>
        <v>-6.7174857810114679</v>
      </c>
      <c r="M8">
        <v>-5</v>
      </c>
      <c r="N8" s="1" t="s">
        <v>40</v>
      </c>
    </row>
    <row r="9" spans="1:18" x14ac:dyDescent="0.2">
      <c r="B9" s="14"/>
      <c r="C9" s="17"/>
      <c r="D9" s="15"/>
      <c r="E9" s="15"/>
      <c r="F9" s="15"/>
      <c r="G9" s="15"/>
    </row>
    <row r="10" spans="1:18" ht="15" x14ac:dyDescent="0.25">
      <c r="A10" s="168">
        <v>34486</v>
      </c>
      <c r="B10" s="10" t="s">
        <v>0</v>
      </c>
      <c r="C10" s="13" t="s">
        <v>8</v>
      </c>
      <c r="D10" s="10" t="s">
        <v>1</v>
      </c>
      <c r="E10" s="10" t="s">
        <v>2</v>
      </c>
      <c r="F10" s="15" t="s">
        <v>3</v>
      </c>
      <c r="G10" s="10" t="s">
        <v>1</v>
      </c>
      <c r="H10" s="10" t="s">
        <v>2</v>
      </c>
      <c r="I10" s="12" t="s">
        <v>4</v>
      </c>
      <c r="J10" s="12" t="s">
        <v>5</v>
      </c>
      <c r="K10" s="12" t="s">
        <v>2</v>
      </c>
      <c r="L10" s="13" t="s">
        <v>6</v>
      </c>
    </row>
    <row r="11" spans="1:18" x14ac:dyDescent="0.2">
      <c r="B11" s="14">
        <v>45338</v>
      </c>
      <c r="C11" s="17">
        <v>1204</v>
      </c>
      <c r="D11" s="17">
        <f>AVERAGE(C11:C15)</f>
        <v>742.95999999999992</v>
      </c>
      <c r="E11" s="17">
        <f>STDEV(C11:C15)/SQRT(COUNT(C11:C15))</f>
        <v>166.17967565259005</v>
      </c>
      <c r="F11" s="15">
        <f>C11/(1+ 3.7/$I$1)</f>
        <v>879.30612244897964</v>
      </c>
      <c r="G11" s="17">
        <f>AVERAGE(F11:F15)</f>
        <v>532.91033798359069</v>
      </c>
      <c r="H11" s="17">
        <f>STDEV(F11:F15)/SQRT(COUNT(F11:F15))</f>
        <v>111.70811741935293</v>
      </c>
      <c r="I11" s="12">
        <v>-0.56859999999999999</v>
      </c>
      <c r="J11" s="12">
        <f>AVERAGE(I11:I15)</f>
        <v>-0.9269599999999999</v>
      </c>
      <c r="K11" s="12">
        <f>STDEV(I11:I15)/SQRT(COUNT(I11:I15))</f>
        <v>0.1754097192290098</v>
      </c>
      <c r="L11" s="13">
        <f>LOG(F11*0.000000001)</f>
        <v>-6.0558599029177005</v>
      </c>
      <c r="M11">
        <v>-5</v>
      </c>
      <c r="N11" t="s">
        <v>24</v>
      </c>
      <c r="R11" s="1" t="s">
        <v>7</v>
      </c>
    </row>
    <row r="12" spans="1:18" x14ac:dyDescent="0.2">
      <c r="B12" s="14">
        <v>45369</v>
      </c>
      <c r="C12" s="17">
        <v>468.7</v>
      </c>
      <c r="D12" s="15"/>
      <c r="E12" s="15"/>
      <c r="F12" s="15">
        <f>C12/(1+ 3.77/$I$1)</f>
        <v>340.56374184191441</v>
      </c>
      <c r="G12" s="17"/>
      <c r="H12" s="17"/>
      <c r="I12" s="12">
        <v>-0.44419999999999998</v>
      </c>
      <c r="L12" s="13">
        <f>LOG(F12*0.000000001)</f>
        <v>-6.4678015911244131</v>
      </c>
      <c r="M12">
        <v>-5</v>
      </c>
      <c r="N12" t="s">
        <v>24</v>
      </c>
      <c r="P12" s="15"/>
    </row>
    <row r="13" spans="1:18" x14ac:dyDescent="0.2">
      <c r="B13" s="14">
        <v>45493</v>
      </c>
      <c r="C13" s="17">
        <v>489.5</v>
      </c>
      <c r="D13" s="15"/>
      <c r="E13" s="15"/>
      <c r="F13" s="15">
        <f>C13/(1+ 2.58/$I$1)</f>
        <v>389.26904761904763</v>
      </c>
      <c r="G13" s="17"/>
      <c r="H13" s="98">
        <f>H11/G11</f>
        <v>0.20961897238103988</v>
      </c>
      <c r="I13" s="12">
        <v>-1.149</v>
      </c>
      <c r="L13" s="13">
        <f>LOG(F13*0.000000001)</f>
        <v>-6.4097501274471798</v>
      </c>
      <c r="M13">
        <v>-5</v>
      </c>
      <c r="N13" s="1" t="s">
        <v>40</v>
      </c>
      <c r="P13" s="15"/>
    </row>
    <row r="14" spans="1:18" x14ac:dyDescent="0.2">
      <c r="B14" s="14">
        <v>45533</v>
      </c>
      <c r="C14" s="17">
        <v>1091</v>
      </c>
      <c r="D14" s="15"/>
      <c r="E14" s="15"/>
      <c r="F14" s="15">
        <f>C14/(1+5.22 /$I$1)</f>
        <v>717.31102362204729</v>
      </c>
      <c r="G14" s="17"/>
      <c r="H14" s="17"/>
      <c r="I14" s="12">
        <v>-1.3169999999999999</v>
      </c>
      <c r="L14" s="13">
        <f>LOG(F14*0.000000001)</f>
        <v>-6.144292494884013</v>
      </c>
      <c r="M14">
        <v>-5</v>
      </c>
      <c r="N14" s="1" t="s">
        <v>40</v>
      </c>
      <c r="P14" s="15"/>
    </row>
    <row r="15" spans="1:18" ht="15" x14ac:dyDescent="0.2">
      <c r="A15" s="158" t="s">
        <v>94</v>
      </c>
      <c r="B15" s="14">
        <v>45553</v>
      </c>
      <c r="C15" s="17">
        <v>461.6</v>
      </c>
      <c r="D15" s="15"/>
      <c r="E15" s="15"/>
      <c r="F15" s="15">
        <f>C15/(1+ 3.66/$I$1)</f>
        <v>338.10175438596491</v>
      </c>
      <c r="G15" s="17"/>
      <c r="I15" s="12">
        <v>-1.1559999999999999</v>
      </c>
      <c r="L15" s="13">
        <f>LOG(F15*0.000000001)</f>
        <v>-6.4709525757051951</v>
      </c>
      <c r="M15">
        <v>-5</v>
      </c>
      <c r="N15" s="1" t="s">
        <v>40</v>
      </c>
    </row>
    <row r="16" spans="1:18" ht="15" x14ac:dyDescent="0.2">
      <c r="A16" s="158"/>
      <c r="B16" s="14"/>
      <c r="C16" s="17"/>
      <c r="D16" s="15"/>
      <c r="E16" s="15"/>
      <c r="F16" s="15"/>
      <c r="G16" s="17"/>
      <c r="H16" s="16"/>
    </row>
    <row r="17" spans="1:14" x14ac:dyDescent="0.2">
      <c r="B17" s="14"/>
      <c r="D17" s="13"/>
      <c r="E17" s="13"/>
      <c r="F17" s="15"/>
      <c r="G17" s="13"/>
      <c r="H17" s="13"/>
    </row>
    <row r="18" spans="1:14" ht="15" x14ac:dyDescent="0.25">
      <c r="A18" s="168">
        <v>34487</v>
      </c>
      <c r="B18" s="10" t="s">
        <v>0</v>
      </c>
      <c r="C18" s="13" t="s">
        <v>8</v>
      </c>
      <c r="D18" s="10" t="s">
        <v>1</v>
      </c>
      <c r="E18" s="10" t="s">
        <v>2</v>
      </c>
      <c r="F18" s="15" t="s">
        <v>3</v>
      </c>
      <c r="G18" s="10" t="s">
        <v>1</v>
      </c>
      <c r="H18" s="10" t="s">
        <v>2</v>
      </c>
      <c r="I18" s="12" t="s">
        <v>4</v>
      </c>
      <c r="J18" s="12" t="s">
        <v>5</v>
      </c>
      <c r="K18" s="12" t="s">
        <v>2</v>
      </c>
      <c r="L18" s="13" t="s">
        <v>6</v>
      </c>
      <c r="N18" s="7"/>
    </row>
    <row r="19" spans="1:14" x14ac:dyDescent="0.2">
      <c r="B19" s="14">
        <v>45338</v>
      </c>
      <c r="C19" s="180">
        <v>2056</v>
      </c>
      <c r="D19" s="17">
        <f>AVERAGE(C19:C22)</f>
        <v>1167.9749999999999</v>
      </c>
      <c r="E19" s="17">
        <f>STDEV(C19:C22)/SQRT(COUNT(C19:C22))</f>
        <v>352.14837397277125</v>
      </c>
      <c r="F19" s="15">
        <f>C19/(1+ 3.7/$I$1)</f>
        <v>1501.539358600583</v>
      </c>
      <c r="G19" s="17">
        <f>AVERAGE(F19:F22)</f>
        <v>886.60324549979532</v>
      </c>
      <c r="H19" s="17">
        <f>STDEV(F19:F22)/SQRT(COUNT(F19:F22))</f>
        <v>258.39610470672341</v>
      </c>
      <c r="I19" s="181">
        <v>-0.85440000000000005</v>
      </c>
      <c r="J19" s="12">
        <f>AVERAGE(I19:I22)</f>
        <v>-0.84765000000000001</v>
      </c>
      <c r="K19" s="12">
        <f>STDEV(I19:I22)/SQRT(COUNT(I19:I22))</f>
        <v>0.15098181733793847</v>
      </c>
      <c r="L19" s="13">
        <f>LOG(F19*0.000000001)</f>
        <v>-5.8234632795162682</v>
      </c>
      <c r="M19">
        <v>-5</v>
      </c>
      <c r="N19" t="s">
        <v>24</v>
      </c>
    </row>
    <row r="20" spans="1:14" x14ac:dyDescent="0.2">
      <c r="B20" s="14">
        <v>45369</v>
      </c>
      <c r="C20" s="17">
        <v>515.70000000000005</v>
      </c>
      <c r="D20" s="15"/>
      <c r="E20" s="15"/>
      <c r="F20" s="15">
        <f>C20/(1+ 3.77/$I$1)</f>
        <v>374.71457577955044</v>
      </c>
      <c r="G20" s="12"/>
      <c r="H20" s="12"/>
      <c r="I20" s="12">
        <v>-0.43719999999999998</v>
      </c>
      <c r="L20" s="13">
        <f>LOG(F20*0.000000001)</f>
        <v>-6.4262994132379081</v>
      </c>
      <c r="M20">
        <v>-5</v>
      </c>
      <c r="N20" t="s">
        <v>24</v>
      </c>
    </row>
    <row r="21" spans="1:14" ht="15" x14ac:dyDescent="0.2">
      <c r="A21" s="158"/>
      <c r="B21" s="14">
        <v>45513</v>
      </c>
      <c r="C21" s="17">
        <v>1401</v>
      </c>
      <c r="D21" s="15"/>
      <c r="E21" s="15"/>
      <c r="F21" s="15">
        <f>C21/(1+ 2.58/$I$1)</f>
        <v>1114.1285714285716</v>
      </c>
      <c r="G21" s="12"/>
      <c r="H21" s="98">
        <f>H19/G19</f>
        <v>0.29144502461307881</v>
      </c>
      <c r="I21" s="12">
        <v>-0.94099999999999995</v>
      </c>
      <c r="L21" s="13">
        <f>LOG(F21*0.000000001)</f>
        <v>-5.9530646883005609</v>
      </c>
      <c r="M21">
        <v>-5</v>
      </c>
      <c r="N21" s="1" t="s">
        <v>40</v>
      </c>
    </row>
    <row r="22" spans="1:14" ht="15" x14ac:dyDescent="0.2">
      <c r="A22" s="160" t="s">
        <v>38</v>
      </c>
      <c r="B22" s="14">
        <v>45493</v>
      </c>
      <c r="C22" s="17">
        <v>699.2</v>
      </c>
      <c r="D22" s="15"/>
      <c r="E22" s="15"/>
      <c r="F22" s="15">
        <f>C22/(1+ 2.58/$I$1)</f>
        <v>556.03047619047629</v>
      </c>
      <c r="G22" s="12"/>
      <c r="H22" s="16"/>
      <c r="I22" s="12">
        <v>-1.1579999999999999</v>
      </c>
      <c r="L22" s="13">
        <f>LOG(F22*0.000000001)</f>
        <v>-6.2549014039599893</v>
      </c>
      <c r="M22">
        <v>-5</v>
      </c>
      <c r="N22" s="1" t="s">
        <v>40</v>
      </c>
    </row>
    <row r="23" spans="1:14" ht="15" x14ac:dyDescent="0.2">
      <c r="A23" s="158"/>
      <c r="B23" s="14"/>
      <c r="C23" s="17"/>
      <c r="D23" s="15"/>
      <c r="E23" s="15"/>
      <c r="F23" s="15"/>
      <c r="G23" s="12"/>
      <c r="H23" s="16"/>
    </row>
    <row r="24" spans="1:14" x14ac:dyDescent="0.2">
      <c r="B24" s="14"/>
      <c r="C24" s="12"/>
      <c r="D24" s="12"/>
      <c r="E24" s="12"/>
      <c r="F24" s="15"/>
      <c r="G24" s="12"/>
      <c r="H24" s="18"/>
    </row>
    <row r="25" spans="1:14" s="1" customFormat="1" ht="15" x14ac:dyDescent="0.25">
      <c r="A25" s="168">
        <v>34488</v>
      </c>
      <c r="B25" s="10" t="s">
        <v>0</v>
      </c>
      <c r="C25" s="13" t="s">
        <v>8</v>
      </c>
      <c r="D25" s="10" t="s">
        <v>1</v>
      </c>
      <c r="E25" s="10" t="s">
        <v>2</v>
      </c>
      <c r="F25" s="15" t="s">
        <v>3</v>
      </c>
      <c r="G25" s="10" t="s">
        <v>1</v>
      </c>
      <c r="H25" s="10" t="s">
        <v>2</v>
      </c>
      <c r="I25" s="12" t="s">
        <v>4</v>
      </c>
      <c r="J25" s="12" t="s">
        <v>5</v>
      </c>
      <c r="K25" s="12" t="s">
        <v>2</v>
      </c>
      <c r="L25" s="13" t="s">
        <v>6</v>
      </c>
    </row>
    <row r="26" spans="1:14" s="1" customFormat="1" x14ac:dyDescent="0.2">
      <c r="A26" s="161" t="s">
        <v>83</v>
      </c>
      <c r="B26" s="14">
        <v>45338</v>
      </c>
      <c r="C26" s="17">
        <v>5819</v>
      </c>
      <c r="D26" s="15">
        <f>AVERAGE(C26:C31)</f>
        <v>2331.3333333333335</v>
      </c>
      <c r="E26" s="15">
        <f>STDEV(C26:C31)/SQRT(COUNT(C26:C31))</f>
        <v>780.87838005956121</v>
      </c>
      <c r="F26" s="15">
        <f>C26/(1+ 3.7/$I$1)</f>
        <v>4249.7361516034989</v>
      </c>
      <c r="G26" s="15">
        <f>AVERAGE(F26:F31)</f>
        <v>1712.6655560965016</v>
      </c>
      <c r="H26" s="15">
        <f>STDEV(F26:F31)/SQRT(COUNT(F26:F31))</f>
        <v>569.69991505237408</v>
      </c>
      <c r="I26" s="12">
        <v>-0.88329999999999997</v>
      </c>
      <c r="J26" s="12">
        <f>AVERAGE(I26:I31)</f>
        <v>-0.93065000000000009</v>
      </c>
      <c r="K26" s="12">
        <f>STDEV(I26:I31)/SQRT(COUNT(I26:I31))</f>
        <v>0.17432394318241726</v>
      </c>
      <c r="L26" s="13">
        <f t="shared" ref="L26:L31" si="0">LOG(F26*0.000000001)</f>
        <v>-5.3716380326460955</v>
      </c>
      <c r="M26">
        <v>-5</v>
      </c>
      <c r="N26" t="s">
        <v>24</v>
      </c>
    </row>
    <row r="27" spans="1:14" s="1" customFormat="1" x14ac:dyDescent="0.2">
      <c r="A27" s="4"/>
      <c r="B27" s="14">
        <v>45369</v>
      </c>
      <c r="C27" s="17">
        <v>1054</v>
      </c>
      <c r="D27" s="15"/>
      <c r="E27" s="15"/>
      <c r="F27" s="15">
        <f>C27/(1+ 3.77/$I$1)</f>
        <v>765.8506163886874</v>
      </c>
      <c r="G27" s="12"/>
      <c r="H27" s="12"/>
      <c r="I27" s="12">
        <v>-0.46760000000000002</v>
      </c>
      <c r="J27" s="12"/>
      <c r="K27" s="12"/>
      <c r="L27" s="13">
        <f t="shared" si="0"/>
        <v>-6.1158559337680947</v>
      </c>
      <c r="M27">
        <v>-5</v>
      </c>
      <c r="N27" t="s">
        <v>24</v>
      </c>
    </row>
    <row r="28" spans="1:14" s="1" customFormat="1" ht="15" x14ac:dyDescent="0.2">
      <c r="A28" s="158"/>
      <c r="B28" s="14">
        <v>45513</v>
      </c>
      <c r="C28" s="17">
        <v>2736</v>
      </c>
      <c r="D28" s="15"/>
      <c r="E28" s="15"/>
      <c r="F28" s="15">
        <f>C28/(1+ 2.58/$I$1)</f>
        <v>2175.7714285714287</v>
      </c>
      <c r="G28" s="12"/>
      <c r="H28" s="98">
        <f>H26/G26</f>
        <v>0.33263932530460361</v>
      </c>
      <c r="I28" s="12">
        <v>-0.74199999999999999</v>
      </c>
      <c r="J28" s="12"/>
      <c r="K28" s="12"/>
      <c r="L28" s="13">
        <f t="shared" si="0"/>
        <v>-5.6623867305382571</v>
      </c>
      <c r="M28" s="1">
        <v>-5</v>
      </c>
      <c r="N28" s="1" t="s">
        <v>40</v>
      </c>
    </row>
    <row r="29" spans="1:14" s="1" customFormat="1" ht="15" x14ac:dyDescent="0.2">
      <c r="A29" s="158"/>
      <c r="B29" s="27">
        <v>45493</v>
      </c>
      <c r="C29" s="162">
        <v>1142</v>
      </c>
      <c r="D29" s="163"/>
      <c r="E29" s="163"/>
      <c r="F29" s="163">
        <f>C29/(1+ 2.58/$I$1)</f>
        <v>908.16190476190479</v>
      </c>
      <c r="G29" s="28"/>
      <c r="H29" s="164"/>
      <c r="I29" s="28">
        <v>-1.716</v>
      </c>
      <c r="J29" s="28"/>
      <c r="K29" s="28"/>
      <c r="L29" s="183">
        <f t="shared" si="0"/>
        <v>-6.0418367196765068</v>
      </c>
      <c r="M29" s="165">
        <v>-5</v>
      </c>
      <c r="N29" s="165" t="s">
        <v>40</v>
      </c>
    </row>
    <row r="30" spans="1:14" s="1" customFormat="1" ht="15" x14ac:dyDescent="0.2">
      <c r="A30" s="158"/>
      <c r="B30" s="14">
        <v>45533</v>
      </c>
      <c r="C30" s="17">
        <v>2594</v>
      </c>
      <c r="D30" s="15"/>
      <c r="E30" s="15"/>
      <c r="F30" s="15">
        <f>C30/(1+5.22 /$I$1)</f>
        <v>1705.5039370078741</v>
      </c>
      <c r="G30" s="12"/>
      <c r="H30" s="16"/>
      <c r="I30" s="12">
        <v>-0.748</v>
      </c>
      <c r="J30" s="12"/>
      <c r="K30" s="12"/>
      <c r="L30" s="13">
        <f t="shared" si="0"/>
        <v>-5.7681472737242938</v>
      </c>
      <c r="M30" s="1">
        <v>-5</v>
      </c>
      <c r="N30" s="1" t="s">
        <v>40</v>
      </c>
    </row>
    <row r="31" spans="1:14" s="1" customFormat="1" ht="15" x14ac:dyDescent="0.2">
      <c r="A31" s="158" t="s">
        <v>95</v>
      </c>
      <c r="B31" s="14">
        <v>45553</v>
      </c>
      <c r="C31" s="17">
        <v>643</v>
      </c>
      <c r="D31" s="15"/>
      <c r="E31" s="15"/>
      <c r="F31" s="15">
        <f>C31/(1+ 3.66/$I$1)</f>
        <v>470.96929824561403</v>
      </c>
      <c r="G31" s="12"/>
      <c r="H31" s="16"/>
      <c r="I31" s="12">
        <v>-1.0269999999999999</v>
      </c>
      <c r="J31" s="12"/>
      <c r="K31" s="12"/>
      <c r="L31" s="13">
        <f t="shared" si="0"/>
        <v>-6.3270074029286487</v>
      </c>
      <c r="M31" s="1">
        <v>-5</v>
      </c>
      <c r="N31" s="1" t="s">
        <v>40</v>
      </c>
    </row>
    <row r="32" spans="1:14" x14ac:dyDescent="0.2">
      <c r="B32" s="14"/>
      <c r="C32" s="12"/>
      <c r="D32" s="12"/>
      <c r="E32" s="12"/>
      <c r="F32" s="15"/>
      <c r="G32" s="12"/>
      <c r="H32" s="18"/>
    </row>
    <row r="33" spans="1:14" ht="15" x14ac:dyDescent="0.25">
      <c r="A33" s="168">
        <v>34489</v>
      </c>
      <c r="B33" s="10" t="s">
        <v>0</v>
      </c>
      <c r="C33" s="13" t="s">
        <v>8</v>
      </c>
      <c r="D33" s="10" t="s">
        <v>1</v>
      </c>
      <c r="E33" s="10" t="s">
        <v>2</v>
      </c>
      <c r="F33" s="15" t="s">
        <v>3</v>
      </c>
      <c r="G33" s="10" t="s">
        <v>1</v>
      </c>
      <c r="H33" s="10" t="s">
        <v>2</v>
      </c>
      <c r="I33" s="12" t="s">
        <v>4</v>
      </c>
      <c r="J33" s="12" t="s">
        <v>5</v>
      </c>
      <c r="K33" s="12" t="s">
        <v>2</v>
      </c>
      <c r="L33" s="13" t="s">
        <v>6</v>
      </c>
    </row>
    <row r="34" spans="1:14" x14ac:dyDescent="0.2">
      <c r="B34" s="14">
        <v>45338</v>
      </c>
      <c r="C34" s="17">
        <v>17700</v>
      </c>
      <c r="D34" s="15">
        <f>AVERAGE(C34:C37)</f>
        <v>9429.5</v>
      </c>
      <c r="E34" s="15">
        <f>STDEV(C34:C37)/SQRT(COUNT(C34:C37))</f>
        <v>2788.9248376390497</v>
      </c>
      <c r="F34" s="15">
        <f>C34/(1+ 3.7/$I$1)</f>
        <v>12926.676384839649</v>
      </c>
      <c r="G34" s="15">
        <f>AVERAGE(F34:F37)</f>
        <v>7110.3197851149162</v>
      </c>
      <c r="H34" s="15">
        <f>STDEV(F34:F37)/SQRT(COUNT(F34:F37))</f>
        <v>1980.4725439270912</v>
      </c>
      <c r="I34" s="12">
        <v>-1.079</v>
      </c>
      <c r="J34" s="12">
        <f>AVERAGE(I34:I37)</f>
        <v>-0.96693333333333342</v>
      </c>
      <c r="K34" s="12">
        <f>STDEV(I34:I37)/SQRT(COUNT(I34:I37))</f>
        <v>0.1980959475719892</v>
      </c>
      <c r="L34" s="13">
        <f>LOG(F34*0.000000001)</f>
        <v>-4.8885131234776997</v>
      </c>
      <c r="M34">
        <v>-5</v>
      </c>
      <c r="N34" t="s">
        <v>24</v>
      </c>
    </row>
    <row r="35" spans="1:14" x14ac:dyDescent="0.2">
      <c r="B35" s="14">
        <v>45369</v>
      </c>
      <c r="C35" s="17">
        <v>5894</v>
      </c>
      <c r="D35" s="15"/>
      <c r="E35" s="15"/>
      <c r="F35" s="15">
        <f>C35/(1+ 3.77/$I$1)</f>
        <v>4282.6598984771572</v>
      </c>
      <c r="G35" s="12"/>
      <c r="H35" s="12"/>
      <c r="I35" s="12">
        <v>-0.58179999999999998</v>
      </c>
      <c r="L35" s="13">
        <f>LOG(F35*0.000000001)</f>
        <v>-5.3682864131307166</v>
      </c>
      <c r="M35">
        <v>-5</v>
      </c>
      <c r="N35" t="s">
        <v>24</v>
      </c>
    </row>
    <row r="36" spans="1:14" ht="15" x14ac:dyDescent="0.2">
      <c r="A36" s="158"/>
      <c r="B36" s="14">
        <v>45513</v>
      </c>
      <c r="C36" s="17">
        <v>7845</v>
      </c>
      <c r="D36" s="15"/>
      <c r="E36" s="15"/>
      <c r="F36" s="15">
        <f>C36/(1+ 2.58/$I$1)</f>
        <v>6238.6428571428578</v>
      </c>
      <c r="G36" s="12"/>
      <c r="H36" s="98">
        <f>H34/G34</f>
        <v>0.27853494691942088</v>
      </c>
      <c r="I36" s="12">
        <v>-1.24</v>
      </c>
      <c r="L36" s="13">
        <f>LOG(F36*0.000000001)</f>
        <v>-5.2049098756633807</v>
      </c>
      <c r="M36">
        <v>-5</v>
      </c>
      <c r="N36" s="1" t="s">
        <v>40</v>
      </c>
    </row>
    <row r="37" spans="1:14" ht="15" x14ac:dyDescent="0.2">
      <c r="A37" s="158" t="s">
        <v>38</v>
      </c>
      <c r="B37" s="14">
        <v>45493</v>
      </c>
      <c r="C37" s="17">
        <v>6279</v>
      </c>
      <c r="D37" s="15"/>
      <c r="E37" s="15"/>
      <c r="F37" s="15">
        <f>C37/(1+ 2.58/$I$1)</f>
        <v>4993.3</v>
      </c>
      <c r="G37" s="12"/>
      <c r="H37" s="16"/>
      <c r="I37" s="131"/>
      <c r="M37">
        <v>-5</v>
      </c>
      <c r="N37" s="1" t="s">
        <v>40</v>
      </c>
    </row>
    <row r="38" spans="1:14" ht="15" x14ac:dyDescent="0.2">
      <c r="A38" s="158"/>
      <c r="B38" s="14"/>
      <c r="C38" s="17"/>
      <c r="D38" s="15"/>
      <c r="E38" s="15"/>
      <c r="F38" s="15"/>
      <c r="G38" s="12"/>
      <c r="H38" s="16"/>
    </row>
    <row r="39" spans="1:14" ht="15" x14ac:dyDescent="0.25">
      <c r="A39" s="168">
        <v>34490</v>
      </c>
      <c r="B39" s="10" t="s">
        <v>0</v>
      </c>
      <c r="C39" s="13" t="s">
        <v>8</v>
      </c>
      <c r="D39" s="10" t="s">
        <v>1</v>
      </c>
      <c r="E39" s="10" t="s">
        <v>2</v>
      </c>
      <c r="F39" s="15" t="s">
        <v>3</v>
      </c>
      <c r="G39" s="10" t="s">
        <v>1</v>
      </c>
      <c r="H39" s="10" t="s">
        <v>2</v>
      </c>
      <c r="I39" s="12" t="s">
        <v>4</v>
      </c>
      <c r="J39" s="12" t="s">
        <v>5</v>
      </c>
      <c r="K39" s="12" t="s">
        <v>2</v>
      </c>
      <c r="L39" s="13" t="s">
        <v>6</v>
      </c>
    </row>
    <row r="40" spans="1:14" x14ac:dyDescent="0.2">
      <c r="A40" s="161" t="s">
        <v>83</v>
      </c>
      <c r="B40" s="14">
        <v>45338</v>
      </c>
      <c r="C40" s="166">
        <v>1413</v>
      </c>
      <c r="D40" s="17">
        <f>AVERAGE(C40:C44)</f>
        <v>1147.6199999999999</v>
      </c>
      <c r="E40" s="17">
        <f>STDEV(C40:C44)/SQRT(COUNT(C40:C44))</f>
        <v>331.3829769315256</v>
      </c>
      <c r="F40" s="15">
        <f>C40/(1+ 3.7/$I$1)</f>
        <v>1031.9431486880467</v>
      </c>
      <c r="G40" s="13">
        <f>AVERAGE(F40:F44)</f>
        <v>814.23926857369793</v>
      </c>
      <c r="H40" s="13">
        <f>STDEV(F40:F44)/SQRT(COUNT(F40:F44))</f>
        <v>211.09378454720223</v>
      </c>
      <c r="I40" s="167">
        <v>-0.50449999999999995</v>
      </c>
      <c r="J40" s="12">
        <f>AVERAGE(I40:I44)</f>
        <v>-0.87004000000000004</v>
      </c>
      <c r="K40" s="12">
        <f>STDEV(I40:I44)/SQRT(COUNT(I40:I44))</f>
        <v>0.16553591936495224</v>
      </c>
      <c r="L40" s="13">
        <f>LOG(F40*0.000000001)</f>
        <v>-5.9863442279909469</v>
      </c>
      <c r="M40">
        <v>-5</v>
      </c>
      <c r="N40" t="s">
        <v>24</v>
      </c>
    </row>
    <row r="41" spans="1:14" x14ac:dyDescent="0.2">
      <c r="B41" s="14">
        <v>45369</v>
      </c>
      <c r="C41" s="17">
        <v>874.7</v>
      </c>
      <c r="D41" s="15"/>
      <c r="E41" s="15"/>
      <c r="F41" s="15">
        <f>C41/(1+ 3.77/$I$1)</f>
        <v>635.5688179840464</v>
      </c>
      <c r="G41" s="12"/>
      <c r="H41" s="12"/>
      <c r="I41" s="12">
        <v>-0.49159999999999998</v>
      </c>
      <c r="L41" s="13">
        <f>LOG(F41*0.000000001)</f>
        <v>-6.1968374181192489</v>
      </c>
      <c r="M41">
        <v>-5</v>
      </c>
      <c r="N41" t="s">
        <v>24</v>
      </c>
    </row>
    <row r="42" spans="1:14" ht="15" x14ac:dyDescent="0.2">
      <c r="A42" s="158"/>
      <c r="B42" s="14">
        <v>45493</v>
      </c>
      <c r="C42" s="17">
        <v>774.7</v>
      </c>
      <c r="D42" s="15"/>
      <c r="E42" s="15"/>
      <c r="F42" s="15">
        <f>C42/(1+ 2.58/$I$1)</f>
        <v>616.07095238095246</v>
      </c>
      <c r="G42" s="12"/>
      <c r="H42" s="98">
        <f>H40/G40</f>
        <v>0.25925276843620548</v>
      </c>
      <c r="I42" s="12">
        <v>-1.0529999999999999</v>
      </c>
      <c r="L42" s="13">
        <f>LOG(F42*0.000000001)</f>
        <v>-6.2103692676196118</v>
      </c>
      <c r="M42">
        <v>-5</v>
      </c>
      <c r="N42" s="1" t="s">
        <v>40</v>
      </c>
    </row>
    <row r="43" spans="1:14" ht="15" x14ac:dyDescent="0.2">
      <c r="A43" s="158"/>
      <c r="B43" s="14">
        <v>45533</v>
      </c>
      <c r="C43" s="17">
        <v>2297</v>
      </c>
      <c r="D43" s="15"/>
      <c r="E43" s="15"/>
      <c r="F43" s="15">
        <f>C43/(1+5.22 /$I$1)</f>
        <v>1510.232283464567</v>
      </c>
      <c r="G43" s="12"/>
      <c r="H43" s="16"/>
      <c r="I43" s="12">
        <v>-0.95009999999999994</v>
      </c>
      <c r="L43" s="13">
        <f>LOG(F43*0.000000001)</f>
        <v>-5.8209562502773284</v>
      </c>
      <c r="M43">
        <v>-5</v>
      </c>
      <c r="N43" s="1" t="s">
        <v>40</v>
      </c>
    </row>
    <row r="44" spans="1:14" ht="15" x14ac:dyDescent="0.2">
      <c r="A44" s="158" t="s">
        <v>96</v>
      </c>
      <c r="B44" s="14">
        <v>45553</v>
      </c>
      <c r="C44" s="17">
        <v>378.7</v>
      </c>
      <c r="D44" s="15"/>
      <c r="E44" s="15"/>
      <c r="F44" s="15">
        <f>C44/(1+ 3.66/$I$1)</f>
        <v>277.38114035087716</v>
      </c>
      <c r="G44" s="12"/>
      <c r="H44" s="16"/>
      <c r="I44" s="12">
        <v>-1.351</v>
      </c>
      <c r="L44" s="13">
        <f>LOG(F44*0.000000001)</f>
        <v>-6.5569230707320445</v>
      </c>
      <c r="M44">
        <v>-5</v>
      </c>
      <c r="N44" s="1" t="s">
        <v>40</v>
      </c>
    </row>
    <row r="45" spans="1:14" ht="15" x14ac:dyDescent="0.2">
      <c r="A45" s="158"/>
      <c r="B45" s="14"/>
      <c r="C45" s="17"/>
      <c r="D45" s="15"/>
      <c r="E45" s="15"/>
      <c r="F45" s="15"/>
      <c r="G45" s="12"/>
      <c r="H45" s="16"/>
    </row>
    <row r="46" spans="1:14" ht="15" x14ac:dyDescent="0.25">
      <c r="A46" s="168">
        <v>34491</v>
      </c>
      <c r="B46" s="10" t="s">
        <v>0</v>
      </c>
      <c r="C46" s="13" t="s">
        <v>8</v>
      </c>
      <c r="D46" s="10" t="s">
        <v>1</v>
      </c>
      <c r="E46" s="10" t="s">
        <v>2</v>
      </c>
      <c r="F46" s="15" t="s">
        <v>3</v>
      </c>
      <c r="G46" s="10" t="s">
        <v>1</v>
      </c>
      <c r="H46" s="10" t="s">
        <v>2</v>
      </c>
      <c r="I46" s="12" t="s">
        <v>4</v>
      </c>
      <c r="J46" s="12" t="s">
        <v>5</v>
      </c>
      <c r="K46" s="12" t="s">
        <v>2</v>
      </c>
      <c r="L46" s="13" t="s">
        <v>6</v>
      </c>
    </row>
    <row r="47" spans="1:14" x14ac:dyDescent="0.2">
      <c r="A47" s="161" t="s">
        <v>83</v>
      </c>
      <c r="B47" s="14">
        <v>45338</v>
      </c>
      <c r="C47" s="17">
        <v>4086</v>
      </c>
      <c r="D47" s="17">
        <f>AVERAGE(C47:C53)</f>
        <v>1876.1857142857145</v>
      </c>
      <c r="E47" s="17">
        <f>STDEV(C47:C53)/SQRT(COUNT(C47:C53))</f>
        <v>510.13827743940499</v>
      </c>
      <c r="F47" s="15">
        <f>C47/(1+ 3.7/$I$1)</f>
        <v>2984.0903790087464</v>
      </c>
      <c r="G47" s="13">
        <f>AVERAGE(F47:F53)</f>
        <v>1358.9197797219733</v>
      </c>
      <c r="H47" s="13">
        <f>STDEV(F47:F53)/SQRT(COUNT(F47:F53))</f>
        <v>365.94117782473012</v>
      </c>
      <c r="I47" s="12">
        <v>-0.67789999999999995</v>
      </c>
      <c r="J47" s="12">
        <f>AVERAGE(I47:I53)</f>
        <v>-0.72887142857142873</v>
      </c>
      <c r="K47" s="12">
        <f>STDEV(I47:I53)/SQRT(COUNT(I47:I53))</f>
        <v>3.105422074131475E-2</v>
      </c>
      <c r="L47" s="13">
        <f t="shared" ref="L47:L53" si="1">LOG(F47*0.000000001)</f>
        <v>-5.5251880275430771</v>
      </c>
      <c r="M47">
        <v>-5</v>
      </c>
      <c r="N47" t="s">
        <v>24</v>
      </c>
    </row>
    <row r="48" spans="1:14" x14ac:dyDescent="0.2">
      <c r="B48" s="14">
        <v>45369</v>
      </c>
      <c r="C48" s="17">
        <v>3135</v>
      </c>
      <c r="D48" s="15"/>
      <c r="E48" s="15"/>
      <c r="F48" s="15">
        <f>C48/(1+ 3.77/$I$1)</f>
        <v>2277.9332849891225</v>
      </c>
      <c r="G48" s="12"/>
      <c r="H48" s="12"/>
      <c r="I48" s="12">
        <v>-0.60870000000000002</v>
      </c>
      <c r="L48" s="13">
        <f t="shared" si="1"/>
        <v>-5.6424589994778875</v>
      </c>
      <c r="M48">
        <v>-5</v>
      </c>
      <c r="N48" t="s">
        <v>24</v>
      </c>
    </row>
    <row r="49" spans="1:15" ht="15" x14ac:dyDescent="0.2">
      <c r="A49" s="158"/>
      <c r="B49" s="14">
        <v>45513</v>
      </c>
      <c r="C49" s="17">
        <v>1229</v>
      </c>
      <c r="D49" s="15"/>
      <c r="E49" s="15"/>
      <c r="F49" s="15">
        <f>C49/(1+ 2.58/$I$1)</f>
        <v>977.34761904761911</v>
      </c>
      <c r="G49" s="12"/>
      <c r="H49" s="98">
        <f>H47/G47</f>
        <v>0.26928828565553697</v>
      </c>
      <c r="I49" s="12">
        <v>-0.75090000000000001</v>
      </c>
      <c r="L49" s="13">
        <f t="shared" si="1"/>
        <v>-6.0099509406998814</v>
      </c>
      <c r="M49">
        <v>-5</v>
      </c>
      <c r="N49" s="1" t="s">
        <v>40</v>
      </c>
    </row>
    <row r="50" spans="1:15" ht="15" x14ac:dyDescent="0.2">
      <c r="A50" s="158"/>
      <c r="B50" s="14">
        <v>45533</v>
      </c>
      <c r="C50" s="17">
        <v>2333</v>
      </c>
      <c r="D50" s="15"/>
      <c r="E50" s="15"/>
      <c r="F50" s="15">
        <f>C50/(1+5.22 /$I$1)</f>
        <v>1533.9015748031495</v>
      </c>
      <c r="G50" s="12"/>
      <c r="H50" s="16"/>
      <c r="I50" s="12">
        <v>-0.68189999999999995</v>
      </c>
      <c r="L50" s="13">
        <f t="shared" si="1"/>
        <v>-5.8142025066786021</v>
      </c>
      <c r="M50">
        <v>-5</v>
      </c>
      <c r="N50" s="1" t="s">
        <v>40</v>
      </c>
    </row>
    <row r="51" spans="1:15" ht="15" x14ac:dyDescent="0.2">
      <c r="A51" s="158"/>
      <c r="B51" s="14">
        <v>45553</v>
      </c>
      <c r="C51" s="17">
        <v>432.7</v>
      </c>
      <c r="D51" s="15"/>
      <c r="E51" s="15"/>
      <c r="F51" s="15">
        <f>C51/(1+ 3.66/$I$1)</f>
        <v>316.9337719298245</v>
      </c>
      <c r="G51" s="12"/>
      <c r="H51" s="16"/>
      <c r="I51" s="12">
        <v>-0.8669</v>
      </c>
      <c r="L51" s="13">
        <f t="shared" si="1"/>
        <v>-6.4990314806541463</v>
      </c>
      <c r="M51">
        <v>-5</v>
      </c>
      <c r="N51" s="1" t="s">
        <v>40</v>
      </c>
    </row>
    <row r="52" spans="1:15" ht="15" x14ac:dyDescent="0.2">
      <c r="A52" s="158"/>
      <c r="B52" s="14">
        <v>45557</v>
      </c>
      <c r="C52" s="17">
        <v>774.6</v>
      </c>
      <c r="D52" s="15"/>
      <c r="E52" s="15"/>
      <c r="F52" s="15">
        <f>C52/(1+ 3.49/$I$1)</f>
        <v>574.49977794226504</v>
      </c>
      <c r="G52" s="12"/>
      <c r="H52" s="16"/>
      <c r="I52" s="12">
        <v>-0.75370000000000004</v>
      </c>
      <c r="L52" s="13">
        <f t="shared" si="1"/>
        <v>-6.2407101348407394</v>
      </c>
      <c r="M52">
        <v>-5</v>
      </c>
      <c r="N52" s="1" t="s">
        <v>40</v>
      </c>
    </row>
    <row r="53" spans="1:15" ht="15" x14ac:dyDescent="0.2">
      <c r="A53" s="158" t="s">
        <v>97</v>
      </c>
      <c r="B53" s="14">
        <v>45557</v>
      </c>
      <c r="C53" s="17">
        <v>1143</v>
      </c>
      <c r="D53" s="15"/>
      <c r="E53" s="15"/>
      <c r="F53" s="15">
        <f>C53/(1+ 3.49/$I$1)</f>
        <v>847.73205033308659</v>
      </c>
      <c r="G53" s="12"/>
      <c r="H53" s="16"/>
      <c r="I53" s="12">
        <v>-0.7621</v>
      </c>
      <c r="L53" s="13">
        <f t="shared" si="1"/>
        <v>-6.0717413970955221</v>
      </c>
      <c r="M53">
        <v>-5</v>
      </c>
      <c r="N53" s="1" t="s">
        <v>40</v>
      </c>
    </row>
    <row r="54" spans="1:15" ht="15" x14ac:dyDescent="0.2">
      <c r="A54" s="158"/>
      <c r="B54" s="14"/>
      <c r="C54" s="17"/>
      <c r="D54" s="15"/>
      <c r="E54" s="15"/>
      <c r="F54" s="15"/>
      <c r="G54" s="12"/>
      <c r="H54" s="16"/>
    </row>
    <row r="55" spans="1:15" ht="15" x14ac:dyDescent="0.25">
      <c r="A55" s="168">
        <v>34492</v>
      </c>
      <c r="B55" s="10" t="s">
        <v>0</v>
      </c>
      <c r="C55" s="13" t="s">
        <v>8</v>
      </c>
      <c r="D55" s="10" t="s">
        <v>1</v>
      </c>
      <c r="E55" s="10" t="s">
        <v>2</v>
      </c>
      <c r="F55" s="15" t="s">
        <v>3</v>
      </c>
      <c r="G55" s="10" t="s">
        <v>1</v>
      </c>
      <c r="H55" s="10" t="s">
        <v>2</v>
      </c>
      <c r="I55" s="12" t="s">
        <v>4</v>
      </c>
      <c r="J55" s="12" t="s">
        <v>5</v>
      </c>
      <c r="K55" s="12" t="s">
        <v>2</v>
      </c>
      <c r="L55" s="13" t="s">
        <v>6</v>
      </c>
    </row>
    <row r="56" spans="1:15" x14ac:dyDescent="0.2">
      <c r="A56" s="161" t="s">
        <v>83</v>
      </c>
      <c r="B56" s="14">
        <v>45338</v>
      </c>
      <c r="C56" s="17" t="s">
        <v>89</v>
      </c>
      <c r="D56" s="17">
        <f>AVERAGE(C56:C62)</f>
        <v>1086.6666666666667</v>
      </c>
      <c r="E56" s="17">
        <f>STDEV(C56:C62)/SQRT(COUNT(C56:C62))</f>
        <v>179.475574320791</v>
      </c>
      <c r="F56" s="15"/>
      <c r="G56" s="13">
        <f>AVERAGE(F56:F62)</f>
        <v>788.12605527776952</v>
      </c>
      <c r="H56" s="13">
        <f>STDEV(F56:F62)/SQRT(COUNT(F56:F62))</f>
        <v>118.54906690753775</v>
      </c>
      <c r="I56" s="12">
        <v>-0.81950000000000001</v>
      </c>
      <c r="J56" s="12">
        <f>AVERAGE(I56:I62)</f>
        <v>-0.90335714285714275</v>
      </c>
      <c r="K56" s="12">
        <f>STDEV(I56:I62)/SQRT(COUNT(I56:I62))</f>
        <v>8.2325986342168603E-2</v>
      </c>
      <c r="M56">
        <v>-5</v>
      </c>
      <c r="N56" t="s">
        <v>24</v>
      </c>
      <c r="O56" s="102" t="s">
        <v>92</v>
      </c>
    </row>
    <row r="57" spans="1:15" x14ac:dyDescent="0.2">
      <c r="B57" s="14">
        <v>45369</v>
      </c>
      <c r="C57" s="17">
        <v>1373</v>
      </c>
      <c r="D57" s="15"/>
      <c r="E57" s="15"/>
      <c r="F57" s="15">
        <f>C57/(1+ 3.77/$I$1)</f>
        <v>997.64031907179105</v>
      </c>
      <c r="G57" s="12"/>
      <c r="H57" s="12"/>
      <c r="I57" s="12">
        <v>-0.57050000000000001</v>
      </c>
      <c r="L57" s="13">
        <f t="shared" ref="L57:L62" si="2">LOG(F57*0.000000001)</f>
        <v>-6.0010260074078676</v>
      </c>
      <c r="M57">
        <v>-5</v>
      </c>
      <c r="N57" t="s">
        <v>24</v>
      </c>
    </row>
    <row r="58" spans="1:15" ht="15" x14ac:dyDescent="0.2">
      <c r="A58" s="158"/>
      <c r="B58" s="14">
        <v>45513</v>
      </c>
      <c r="C58" s="166">
        <v>1221</v>
      </c>
      <c r="D58" s="15"/>
      <c r="E58" s="15"/>
      <c r="F58" s="15">
        <f>C58/(1+ 2.58/$I$1)</f>
        <v>970.98571428571438</v>
      </c>
      <c r="G58" s="12"/>
      <c r="H58" s="98">
        <f>H56/G56</f>
        <v>0.15041891600164894</v>
      </c>
      <c r="I58" s="12">
        <v>-1.014</v>
      </c>
      <c r="L58" s="13">
        <f t="shared" si="2"/>
        <v>-6.0127871596414533</v>
      </c>
      <c r="M58">
        <v>-5</v>
      </c>
      <c r="N58" s="1" t="s">
        <v>40</v>
      </c>
    </row>
    <row r="59" spans="1:15" ht="15" x14ac:dyDescent="0.2">
      <c r="A59" s="158"/>
      <c r="B59" s="14">
        <v>45533</v>
      </c>
      <c r="C59" s="17">
        <v>1742</v>
      </c>
      <c r="D59" s="15"/>
      <c r="E59" s="15"/>
      <c r="F59" s="15">
        <f>C59/(1+5.22 /$I$1)</f>
        <v>1145.3307086614172</v>
      </c>
      <c r="G59" s="12"/>
      <c r="H59" s="16"/>
      <c r="I59" s="12">
        <v>-0.94750000000000001</v>
      </c>
      <c r="L59" s="13">
        <f t="shared" si="2"/>
        <v>-5.9410690948007101</v>
      </c>
      <c r="M59">
        <v>-5</v>
      </c>
      <c r="N59" s="1" t="s">
        <v>40</v>
      </c>
    </row>
    <row r="60" spans="1:15" ht="15" x14ac:dyDescent="0.2">
      <c r="A60" s="158"/>
      <c r="B60" s="14">
        <v>45553</v>
      </c>
      <c r="C60" s="17">
        <v>544</v>
      </c>
      <c r="D60" s="15"/>
      <c r="E60" s="15"/>
      <c r="F60" s="15">
        <f>C60/(1+ 3.66/$I$1)</f>
        <v>398.45614035087715</v>
      </c>
      <c r="G60" s="12"/>
      <c r="H60" s="16"/>
      <c r="I60" s="12">
        <v>-1.097</v>
      </c>
      <c r="L60" s="13">
        <f t="shared" si="2"/>
        <v>-6.3996194761546903</v>
      </c>
      <c r="M60">
        <v>-5</v>
      </c>
      <c r="N60" s="1" t="s">
        <v>40</v>
      </c>
    </row>
    <row r="61" spans="1:15" ht="15" x14ac:dyDescent="0.2">
      <c r="A61" s="158"/>
      <c r="B61" s="14">
        <v>45557</v>
      </c>
      <c r="C61" s="17">
        <v>811.6</v>
      </c>
      <c r="D61" s="15"/>
      <c r="E61" s="15"/>
      <c r="F61" s="15">
        <f>C61/(1+ 3.49/$I$1)</f>
        <v>601.94167283493709</v>
      </c>
      <c r="G61" s="12"/>
      <c r="H61" s="16"/>
      <c r="I61" s="12">
        <v>-1.175</v>
      </c>
      <c r="L61" s="13">
        <f t="shared" si="2"/>
        <v>-6.2204455891294952</v>
      </c>
      <c r="M61">
        <v>-5</v>
      </c>
      <c r="N61" s="1" t="s">
        <v>40</v>
      </c>
    </row>
    <row r="62" spans="1:15" ht="15" x14ac:dyDescent="0.2">
      <c r="A62" s="158" t="s">
        <v>98</v>
      </c>
      <c r="B62" s="14">
        <v>45557</v>
      </c>
      <c r="C62" s="17">
        <v>828.4</v>
      </c>
      <c r="D62" s="15"/>
      <c r="E62" s="15"/>
      <c r="F62" s="15">
        <f>C62/(1+ 3.49/$I$1)</f>
        <v>614.4017764618801</v>
      </c>
      <c r="G62" s="12"/>
      <c r="H62" s="16"/>
      <c r="I62" s="12">
        <v>-0.7</v>
      </c>
      <c r="L62" s="13">
        <f t="shared" si="2"/>
        <v>-6.2115475372693885</v>
      </c>
      <c r="M62">
        <v>-5</v>
      </c>
      <c r="N62" s="1" t="s">
        <v>40</v>
      </c>
    </row>
    <row r="63" spans="1:15" ht="15" x14ac:dyDescent="0.2">
      <c r="A63" s="158"/>
      <c r="B63" s="14"/>
      <c r="C63" s="17"/>
      <c r="D63" s="15"/>
      <c r="E63" s="15"/>
      <c r="F63" s="15"/>
      <c r="G63" s="12"/>
      <c r="H63" s="16"/>
    </row>
    <row r="64" spans="1:15" ht="15" x14ac:dyDescent="0.25">
      <c r="A64" s="168">
        <v>34493</v>
      </c>
      <c r="B64" s="10" t="s">
        <v>0</v>
      </c>
      <c r="C64" s="13" t="s">
        <v>8</v>
      </c>
      <c r="D64" s="10" t="s">
        <v>1</v>
      </c>
      <c r="E64" s="10" t="s">
        <v>2</v>
      </c>
      <c r="F64" s="15" t="s">
        <v>3</v>
      </c>
      <c r="G64" s="10" t="s">
        <v>1</v>
      </c>
      <c r="H64" s="10" t="s">
        <v>2</v>
      </c>
      <c r="I64" s="12" t="s">
        <v>4</v>
      </c>
      <c r="J64" s="12" t="s">
        <v>5</v>
      </c>
      <c r="K64" s="12" t="s">
        <v>2</v>
      </c>
      <c r="L64" s="13" t="s">
        <v>6</v>
      </c>
    </row>
    <row r="65" spans="1:15" x14ac:dyDescent="0.2">
      <c r="A65" s="161" t="s">
        <v>83</v>
      </c>
      <c r="B65" s="14">
        <v>45338</v>
      </c>
      <c r="C65" s="17">
        <v>2483</v>
      </c>
      <c r="D65" s="17">
        <f>AVERAGE(C65:C68)</f>
        <v>1967.35</v>
      </c>
      <c r="E65" s="17">
        <f>STDEV(C65:C68)/SQRT(COUNT(C65:C68))</f>
        <v>370.65948771525245</v>
      </c>
      <c r="F65" s="15">
        <f>C65/(1+ 3.7/$I$1)</f>
        <v>1813.3862973760934</v>
      </c>
      <c r="G65" s="13">
        <f>AVERAGE(F65:F68)</f>
        <v>1465.3989904413734</v>
      </c>
      <c r="H65" s="13">
        <f>STDEV(F65:F68)/SQRT(COUNT(F65:F68))</f>
        <v>268.2924174183533</v>
      </c>
      <c r="I65" s="12">
        <v>-0.97299999999999998</v>
      </c>
      <c r="J65" s="12">
        <f>AVERAGE(I65:I68)</f>
        <v>-0.84427499999999989</v>
      </c>
      <c r="K65" s="12">
        <f>STDEV(I65:I68)/SQRT(COUNT(I65:I68))</f>
        <v>0.10621609557093205</v>
      </c>
      <c r="L65" s="13">
        <f>LOG(F65*0.000000001)</f>
        <v>-5.741509670284942</v>
      </c>
      <c r="M65">
        <v>-5</v>
      </c>
      <c r="N65" t="s">
        <v>24</v>
      </c>
    </row>
    <row r="66" spans="1:15" x14ac:dyDescent="0.2">
      <c r="B66" s="14">
        <v>45369</v>
      </c>
      <c r="C66" s="17">
        <v>2556</v>
      </c>
      <c r="D66" s="15"/>
      <c r="E66" s="15"/>
      <c r="F66" s="15">
        <f>C66/(1+ 3.77/$I$1)</f>
        <v>1857.2240754169688</v>
      </c>
      <c r="G66" s="12"/>
      <c r="H66" s="12"/>
      <c r="I66" s="12">
        <v>-0.56299999999999994</v>
      </c>
      <c r="L66" s="13">
        <f>LOG(F66*0.000000001)</f>
        <v>-5.7311356951582599</v>
      </c>
      <c r="M66">
        <v>-5</v>
      </c>
      <c r="N66" t="s">
        <v>24</v>
      </c>
    </row>
    <row r="67" spans="1:15" ht="15.75" x14ac:dyDescent="0.25">
      <c r="A67" s="35"/>
      <c r="B67" s="14">
        <v>45513</v>
      </c>
      <c r="C67" s="17">
        <v>1877</v>
      </c>
      <c r="D67" s="15"/>
      <c r="E67" s="15"/>
      <c r="F67" s="15">
        <f>C67/(1+ 2.58/$I$1)</f>
        <v>1492.6619047619049</v>
      </c>
      <c r="G67" s="12"/>
      <c r="H67" s="98">
        <f>H65/G65</f>
        <v>0.18308489303486178</v>
      </c>
      <c r="I67" s="26">
        <v>-0.80210000000000004</v>
      </c>
      <c r="L67" s="13">
        <f>LOG(F67*0.000000001)</f>
        <v>-5.8260385509649897</v>
      </c>
      <c r="M67">
        <v>-5</v>
      </c>
      <c r="N67" s="1" t="s">
        <v>40</v>
      </c>
    </row>
    <row r="68" spans="1:15" ht="15" x14ac:dyDescent="0.2">
      <c r="A68" s="158" t="s">
        <v>99</v>
      </c>
      <c r="B68" s="14">
        <v>45553</v>
      </c>
      <c r="C68" s="17">
        <v>953.4</v>
      </c>
      <c r="D68" s="15"/>
      <c r="E68" s="15"/>
      <c r="F68" s="15">
        <f>C68/(1+ 3.66/$I$1)</f>
        <v>698.32368421052627</v>
      </c>
      <c r="G68" s="12"/>
      <c r="H68" s="16"/>
      <c r="I68" s="12">
        <v>-1.0389999999999999</v>
      </c>
      <c r="L68" s="13">
        <f>LOG(F68*0.000000001)</f>
        <v>-6.1559432282618474</v>
      </c>
      <c r="M68">
        <v>-5</v>
      </c>
      <c r="N68" s="1" t="s">
        <v>40</v>
      </c>
    </row>
    <row r="69" spans="1:15" ht="15.75" x14ac:dyDescent="0.25">
      <c r="A69" s="35"/>
      <c r="B69" s="14"/>
      <c r="C69" s="17"/>
      <c r="D69" s="15"/>
      <c r="E69" s="15"/>
      <c r="F69" s="15"/>
      <c r="G69" s="12"/>
      <c r="H69" s="16"/>
    </row>
    <row r="70" spans="1:15" ht="15" x14ac:dyDescent="0.25">
      <c r="A70" s="168">
        <v>34494</v>
      </c>
      <c r="B70" s="10" t="s">
        <v>0</v>
      </c>
      <c r="C70" s="13" t="s">
        <v>8</v>
      </c>
      <c r="D70" s="10" t="s">
        <v>1</v>
      </c>
      <c r="E70" s="10" t="s">
        <v>2</v>
      </c>
      <c r="F70" s="15" t="s">
        <v>3</v>
      </c>
      <c r="G70" s="10" t="s">
        <v>1</v>
      </c>
      <c r="H70" s="10" t="s">
        <v>2</v>
      </c>
      <c r="I70" s="12" t="s">
        <v>4</v>
      </c>
      <c r="J70" s="12" t="s">
        <v>5</v>
      </c>
      <c r="K70" s="12" t="s">
        <v>2</v>
      </c>
      <c r="L70" s="13" t="s">
        <v>6</v>
      </c>
    </row>
    <row r="71" spans="1:15" x14ac:dyDescent="0.2">
      <c r="B71" s="14">
        <v>45338</v>
      </c>
      <c r="C71" s="180">
        <v>2056</v>
      </c>
      <c r="D71" s="17">
        <f>AVERAGE(C71:C74)</f>
        <v>1534.7750000000001</v>
      </c>
      <c r="E71" s="17">
        <f>STDEV(C71:C74)/SQRT(COUNT(C71:C74))</f>
        <v>355.68570015066194</v>
      </c>
      <c r="F71" s="15">
        <f>C71/(1+ 3.7/$I$1)</f>
        <v>1501.539358600583</v>
      </c>
      <c r="G71" s="13">
        <f>AVERAGE(F71:F74)</f>
        <v>1097.277063574249</v>
      </c>
      <c r="H71" s="13">
        <f>STDEV(F71:F74)/SQRT(COUNT(F71:F74))</f>
        <v>250.11543786636418</v>
      </c>
      <c r="I71" s="181">
        <v>-0.55110000000000003</v>
      </c>
      <c r="J71" s="12">
        <f>AVERAGE(I71:I74)</f>
        <v>-0.6175750000000001</v>
      </c>
      <c r="K71" s="12">
        <f>STDEV(I71:I74)/SQRT(COUNT(I71:I74))</f>
        <v>4.0958767376472263E-2</v>
      </c>
      <c r="L71" s="13">
        <f>LOG(F71*0.000000001)</f>
        <v>-5.8234632795162682</v>
      </c>
      <c r="M71">
        <v>-5</v>
      </c>
      <c r="N71" t="s">
        <v>24</v>
      </c>
    </row>
    <row r="72" spans="1:15" x14ac:dyDescent="0.2">
      <c r="B72" s="14">
        <v>45369</v>
      </c>
      <c r="C72" s="17">
        <v>1940</v>
      </c>
      <c r="D72" s="15"/>
      <c r="E72" s="15"/>
      <c r="F72" s="15">
        <f>C72/(1+ 3.77/$I$1)</f>
        <v>1409.6301667875271</v>
      </c>
      <c r="G72" s="12"/>
      <c r="H72" s="12"/>
      <c r="I72" s="12">
        <v>-0.54239999999999999</v>
      </c>
      <c r="L72" s="13">
        <f>LOG(F72*0.000000001)</f>
        <v>-5.8508948147143967</v>
      </c>
      <c r="M72">
        <v>-5</v>
      </c>
      <c r="N72" t="s">
        <v>24</v>
      </c>
    </row>
    <row r="73" spans="1:15" ht="15" x14ac:dyDescent="0.2">
      <c r="A73" s="158" t="s">
        <v>38</v>
      </c>
      <c r="B73" s="14">
        <v>45513</v>
      </c>
      <c r="C73" s="17">
        <v>500.1</v>
      </c>
      <c r="D73" s="15"/>
      <c r="E73" s="15"/>
      <c r="F73" s="15">
        <f>C73/(1+ 2.58/$I$1)</f>
        <v>397.69857142857148</v>
      </c>
      <c r="G73" s="12"/>
      <c r="H73" s="98">
        <f>H71/G71</f>
        <v>0.22794191746945205</v>
      </c>
      <c r="I73" s="131">
        <v>-0.68459999999999999</v>
      </c>
      <c r="L73" s="13">
        <f>LOG(F73*0.000000001)</f>
        <v>-6.4004459690386684</v>
      </c>
      <c r="M73">
        <v>-5</v>
      </c>
      <c r="N73" s="1" t="s">
        <v>40</v>
      </c>
    </row>
    <row r="74" spans="1:15" ht="15.75" x14ac:dyDescent="0.25">
      <c r="A74" s="35"/>
      <c r="B74" s="14">
        <v>45533</v>
      </c>
      <c r="C74" s="24">
        <v>1643</v>
      </c>
      <c r="D74" s="23"/>
      <c r="E74" s="23"/>
      <c r="F74" s="23">
        <f>C74/(1+5.22 /$I$1)</f>
        <v>1080.240157480315</v>
      </c>
      <c r="G74" s="26"/>
      <c r="H74" s="16"/>
      <c r="I74" s="12">
        <v>-0.69220000000000004</v>
      </c>
      <c r="L74" s="13">
        <f>LOG(F74*0.000000001)</f>
        <v>-5.966479682037293</v>
      </c>
      <c r="M74">
        <v>-5</v>
      </c>
      <c r="N74" s="1" t="s">
        <v>40</v>
      </c>
    </row>
    <row r="75" spans="1:15" x14ac:dyDescent="0.2">
      <c r="B75" s="14"/>
      <c r="C75" s="17"/>
      <c r="D75" s="12"/>
      <c r="E75" s="12"/>
      <c r="F75" s="17"/>
      <c r="G75" s="12"/>
      <c r="H75" s="18"/>
    </row>
    <row r="76" spans="1:15" x14ac:dyDescent="0.2">
      <c r="B76" s="14"/>
      <c r="C76" s="15"/>
      <c r="D76" s="15"/>
      <c r="E76" s="15"/>
      <c r="F76" s="15"/>
      <c r="G76" s="12"/>
      <c r="H76" s="16"/>
    </row>
    <row r="77" spans="1:15" ht="15" x14ac:dyDescent="0.25">
      <c r="A77" s="36" t="s">
        <v>9</v>
      </c>
      <c r="B77" s="27"/>
      <c r="C77" s="28"/>
      <c r="D77" s="28"/>
      <c r="E77" s="28"/>
      <c r="F77" s="28"/>
      <c r="G77" s="28"/>
      <c r="H77" s="30"/>
      <c r="I77" s="28"/>
      <c r="J77" s="28"/>
      <c r="K77" s="28"/>
      <c r="L77" s="183"/>
    </row>
    <row r="78" spans="1:15" x14ac:dyDescent="0.2">
      <c r="A78" s="7" t="s">
        <v>14</v>
      </c>
      <c r="B78" s="10" t="s">
        <v>0</v>
      </c>
      <c r="C78" s="13" t="s">
        <v>8</v>
      </c>
      <c r="D78" s="10" t="s">
        <v>1</v>
      </c>
      <c r="E78" s="10" t="s">
        <v>2</v>
      </c>
      <c r="F78" s="10" t="s">
        <v>3</v>
      </c>
      <c r="G78" s="10" t="s">
        <v>1</v>
      </c>
      <c r="H78" s="10" t="s">
        <v>2</v>
      </c>
      <c r="I78" s="12" t="s">
        <v>4</v>
      </c>
      <c r="J78" s="12" t="s">
        <v>5</v>
      </c>
      <c r="K78" s="12" t="s">
        <v>2</v>
      </c>
      <c r="L78" s="13" t="s">
        <v>6</v>
      </c>
      <c r="O78" s="1"/>
    </row>
    <row r="79" spans="1:15" x14ac:dyDescent="0.2">
      <c r="A79" s="4">
        <v>-7</v>
      </c>
      <c r="B79" s="14">
        <v>45338</v>
      </c>
      <c r="C79" s="167">
        <v>26.1</v>
      </c>
      <c r="D79" s="13">
        <f>AVERAGE(C79:C85)</f>
        <v>14.6196</v>
      </c>
      <c r="E79" s="13">
        <f>STDEV(C79:C85)/SQRT(COUNT(C79:C85))</f>
        <v>3.5558889268367198</v>
      </c>
      <c r="F79" s="13">
        <f>C79/(1+ 3.7/$I$1)</f>
        <v>19.061370262390671</v>
      </c>
      <c r="G79" s="13">
        <f>AVERAGE(F79:F85)</f>
        <v>10.922060704132651</v>
      </c>
      <c r="H79" s="13">
        <f>STDEV(F79:F85)/SQRT(COUNT(F79:F85))</f>
        <v>2.5220633365889933</v>
      </c>
      <c r="I79" s="167">
        <v>-1.26</v>
      </c>
      <c r="J79" s="13">
        <f>AVERAGE(I79:I85)</f>
        <v>-1.0502</v>
      </c>
      <c r="K79" s="13">
        <f>STDEV(I79:I85)/SQRT(COUNT(I79:I85))</f>
        <v>6.2047111133395436E-2</v>
      </c>
      <c r="L79" s="13">
        <f>LOG(F79*0.000000001)</f>
        <v>-7.7198458825012253</v>
      </c>
      <c r="M79" t="s">
        <v>24</v>
      </c>
      <c r="O79" s="1"/>
    </row>
    <row r="80" spans="1:15" ht="15" x14ac:dyDescent="0.2">
      <c r="B80" s="14">
        <v>45369</v>
      </c>
      <c r="C80" s="12">
        <v>8.7089999999999996</v>
      </c>
      <c r="D80" s="15"/>
      <c r="E80" s="15"/>
      <c r="F80" s="13">
        <f>C80/(1+ 3.77/$I$1)</f>
        <v>6.3280768672951409</v>
      </c>
      <c r="H80" s="16"/>
      <c r="I80" s="148">
        <v>-0.92420000000000002</v>
      </c>
      <c r="L80" s="13">
        <f>LOG(F80*0.000000001)</f>
        <v>-8.198728254093286</v>
      </c>
      <c r="M80" t="s">
        <v>24</v>
      </c>
      <c r="O80" s="1"/>
    </row>
    <row r="81" spans="1:14" ht="17.100000000000001" customHeight="1" x14ac:dyDescent="0.25">
      <c r="A81" s="35"/>
      <c r="B81" s="14">
        <v>45513</v>
      </c>
      <c r="C81" s="12">
        <v>7.56</v>
      </c>
      <c r="D81" s="15"/>
      <c r="E81" s="15"/>
      <c r="F81" s="13">
        <f>C81/(1+ 2.58/$I$1)</f>
        <v>6.0120000000000005</v>
      </c>
      <c r="H81" s="98">
        <f>H79/G79</f>
        <v>0.23091460530288976</v>
      </c>
      <c r="I81" s="12">
        <v>-1.0609999999999999</v>
      </c>
      <c r="L81" s="13">
        <f>LOG(F81*0.000000001)</f>
        <v>-8.220981028085129</v>
      </c>
      <c r="M81" s="1" t="s">
        <v>40</v>
      </c>
    </row>
    <row r="82" spans="1:14" ht="17.100000000000001" customHeight="1" x14ac:dyDescent="0.25">
      <c r="A82" s="35"/>
      <c r="B82" s="14">
        <v>45493</v>
      </c>
      <c r="C82" s="12">
        <v>11.169</v>
      </c>
      <c r="D82" s="15"/>
      <c r="E82" s="15"/>
      <c r="F82" s="13">
        <f>C82/(1+ 2.58/$I$1)</f>
        <v>8.8820142857142859</v>
      </c>
      <c r="H82" s="16"/>
      <c r="I82" s="12">
        <v>-0.92379999999999995</v>
      </c>
      <c r="L82" s="13">
        <f>LOG(F82*0.000000001)</f>
        <v>-8.0514885326482819</v>
      </c>
      <c r="M82" s="1" t="s">
        <v>40</v>
      </c>
    </row>
    <row r="83" spans="1:14" ht="17.100000000000001" customHeight="1" x14ac:dyDescent="0.2">
      <c r="A83" s="158" t="s">
        <v>94</v>
      </c>
      <c r="B83" s="14">
        <v>45553</v>
      </c>
      <c r="C83" s="12">
        <v>19.559999999999999</v>
      </c>
      <c r="D83" s="15"/>
      <c r="E83" s="15"/>
      <c r="F83" s="13">
        <f>C83/(1+ 3.66/$I$1)</f>
        <v>14.326842105263156</v>
      </c>
      <c r="H83" s="16"/>
      <c r="I83" s="12">
        <v>-1.0820000000000001</v>
      </c>
      <c r="L83" s="13">
        <f>LOG(F83*0.000000001)</f>
        <v>-7.8438495254012883</v>
      </c>
      <c r="M83" s="1" t="s">
        <v>40</v>
      </c>
    </row>
    <row r="84" spans="1:14" ht="17.100000000000001" customHeight="1" x14ac:dyDescent="0.25">
      <c r="A84" s="35"/>
      <c r="B84" s="14"/>
      <c r="C84" s="12"/>
      <c r="D84" s="15"/>
      <c r="E84" s="15"/>
      <c r="F84" s="12"/>
      <c r="H84" s="16"/>
      <c r="M84" s="2"/>
    </row>
    <row r="85" spans="1:14" x14ac:dyDescent="0.2">
      <c r="B85" s="14"/>
      <c r="C85" s="17"/>
      <c r="D85" s="15"/>
      <c r="E85" s="15"/>
      <c r="F85" s="17"/>
      <c r="H85" s="16"/>
      <c r="M85" s="2"/>
    </row>
    <row r="86" spans="1:14" s="1" customFormat="1" x14ac:dyDescent="0.2">
      <c r="A86" s="7" t="s">
        <v>19</v>
      </c>
      <c r="B86" s="10" t="s">
        <v>0</v>
      </c>
      <c r="C86" s="13" t="s">
        <v>8</v>
      </c>
      <c r="D86" s="10" t="s">
        <v>1</v>
      </c>
      <c r="E86" s="10" t="s">
        <v>2</v>
      </c>
      <c r="F86" s="10" t="s">
        <v>3</v>
      </c>
      <c r="G86" s="10" t="s">
        <v>1</v>
      </c>
      <c r="H86" s="10" t="s">
        <v>2</v>
      </c>
      <c r="I86" s="12" t="s">
        <v>4</v>
      </c>
      <c r="J86" s="12" t="s">
        <v>5</v>
      </c>
      <c r="K86" s="12" t="s">
        <v>2</v>
      </c>
      <c r="L86" s="13" t="s">
        <v>6</v>
      </c>
    </row>
    <row r="87" spans="1:14" s="1" customFormat="1" x14ac:dyDescent="0.2">
      <c r="A87" s="4">
        <v>-7</v>
      </c>
      <c r="B87" s="14">
        <v>45338</v>
      </c>
      <c r="C87" s="12" t="s">
        <v>84</v>
      </c>
      <c r="D87" s="12">
        <f>AVERAGE(C87:C91)</f>
        <v>2.6727749999999997</v>
      </c>
      <c r="E87" s="12">
        <f>STDEV(C87:C91)/SQRT(COUNT(C87:C91))</f>
        <v>0.97385843459149679</v>
      </c>
      <c r="F87" s="12"/>
      <c r="G87" s="12">
        <f>AVERAGE(F87:F91)</f>
        <v>2.0466850633881659</v>
      </c>
      <c r="H87" s="12">
        <f>STDEV(F87:F91)/SQRT(COUNT(F87:F91))</f>
        <v>0.72513320263519099</v>
      </c>
      <c r="J87" s="12">
        <f>AVERAGE(I87:I91)</f>
        <v>-1.392625</v>
      </c>
      <c r="K87" s="12">
        <f>STDEV(I87:I91)/SQRT(COUNT(I87:I91))</f>
        <v>0.45326442682500456</v>
      </c>
      <c r="L87" s="13" t="e">
        <f>LOG(F87*0.000000001)</f>
        <v>#NUM!</v>
      </c>
      <c r="M87" t="s">
        <v>24</v>
      </c>
      <c r="N87" s="12">
        <v>-0.21529999999999999</v>
      </c>
    </row>
    <row r="88" spans="1:14" s="1" customFormat="1" x14ac:dyDescent="0.2">
      <c r="A88" s="4"/>
      <c r="B88" s="14">
        <v>45369</v>
      </c>
      <c r="C88" s="12">
        <v>0.21410000000000001</v>
      </c>
      <c r="D88" s="15"/>
      <c r="E88" s="15"/>
      <c r="F88" s="12">
        <f>C88/(1+ 3.77/$I$1)</f>
        <v>0.15556794778825236</v>
      </c>
      <c r="G88" s="17"/>
      <c r="H88" s="10"/>
      <c r="I88" s="12">
        <v>-0.35749999999999998</v>
      </c>
      <c r="J88" s="12"/>
      <c r="K88" s="12"/>
      <c r="L88" s="13">
        <f>LOG(F88*0.000000001)</f>
        <v>-9.8080798773501847</v>
      </c>
      <c r="M88" t="s">
        <v>24</v>
      </c>
    </row>
    <row r="89" spans="1:14" s="1" customFormat="1" ht="15.75" x14ac:dyDescent="0.25">
      <c r="A89" s="35"/>
      <c r="B89" s="14">
        <v>45513</v>
      </c>
      <c r="C89" s="17">
        <v>2.21</v>
      </c>
      <c r="D89" s="15"/>
      <c r="E89" s="15"/>
      <c r="F89" s="12">
        <f>C89/(1+ 2.58/$I$1)</f>
        <v>1.7574761904761906</v>
      </c>
      <c r="G89" s="17"/>
      <c r="H89" s="98">
        <f>H87/G87</f>
        <v>0.3542964257699599</v>
      </c>
      <c r="I89" s="12">
        <v>-0.997</v>
      </c>
      <c r="J89" s="12"/>
      <c r="K89" s="12"/>
      <c r="L89" s="13">
        <f>LOG(F89*0.000000001)</f>
        <v>-8.7551105499012252</v>
      </c>
      <c r="M89" s="1" t="s">
        <v>40</v>
      </c>
    </row>
    <row r="90" spans="1:14" s="1" customFormat="1" x14ac:dyDescent="0.2">
      <c r="A90" s="4"/>
      <c r="B90" s="14">
        <v>45493</v>
      </c>
      <c r="C90" s="17">
        <v>3.48</v>
      </c>
      <c r="D90" s="17"/>
      <c r="E90" s="17"/>
      <c r="F90" s="12">
        <f>C90/(1+ 2.58/$I$1)</f>
        <v>2.7674285714285718</v>
      </c>
      <c r="G90" s="17"/>
      <c r="H90" s="17"/>
      <c r="I90" s="12">
        <v>-1.7809999999999999</v>
      </c>
      <c r="J90" s="12"/>
      <c r="K90" s="12"/>
      <c r="L90" s="13">
        <f>LOG(F90*0.000000001)</f>
        <v>-8.5579235796397555</v>
      </c>
      <c r="M90" s="1" t="s">
        <v>40</v>
      </c>
    </row>
    <row r="91" spans="1:14" s="186" customFormat="1" x14ac:dyDescent="0.2">
      <c r="A91" s="190" t="s">
        <v>99</v>
      </c>
      <c r="B91" s="184">
        <v>45553</v>
      </c>
      <c r="C91" s="25">
        <v>4.7869999999999999</v>
      </c>
      <c r="D91" s="22"/>
      <c r="E91" s="22"/>
      <c r="F91" s="26">
        <f>C91/(1+ 3.66/$I$1)</f>
        <v>3.5062675438596487</v>
      </c>
      <c r="G91" s="22"/>
      <c r="H91" s="22"/>
      <c r="I91" s="26">
        <v>-2.4350000000000001</v>
      </c>
      <c r="J91" s="26"/>
      <c r="K91" s="26"/>
      <c r="L91" s="25"/>
      <c r="M91" s="185" t="s">
        <v>40</v>
      </c>
    </row>
    <row r="92" spans="1:14" s="186" customFormat="1" x14ac:dyDescent="0.2">
      <c r="A92" s="91"/>
      <c r="B92" s="184"/>
      <c r="C92" s="24"/>
      <c r="D92" s="24"/>
      <c r="E92" s="24"/>
      <c r="F92" s="23"/>
      <c r="G92" s="25"/>
      <c r="H92" s="25"/>
      <c r="I92" s="26"/>
      <c r="J92" s="26"/>
      <c r="K92" s="26"/>
      <c r="L92" s="25"/>
      <c r="M92" s="185"/>
    </row>
    <row r="93" spans="1:14" x14ac:dyDescent="0.2">
      <c r="B93" s="14"/>
      <c r="C93" s="17"/>
      <c r="D93" s="17"/>
      <c r="E93" s="17"/>
      <c r="F93" s="15"/>
      <c r="G93" s="17"/>
      <c r="M93" s="2"/>
    </row>
    <row r="94" spans="1:14" ht="15.75" x14ac:dyDescent="0.25">
      <c r="A94" s="35"/>
      <c r="B94" s="14"/>
      <c r="C94" s="17"/>
      <c r="D94" s="15"/>
      <c r="E94" s="15"/>
      <c r="F94" s="15"/>
      <c r="G94" s="17"/>
      <c r="H94" s="16"/>
      <c r="M94" s="2"/>
    </row>
    <row r="95" spans="1:14" x14ac:dyDescent="0.2">
      <c r="B95" s="14"/>
      <c r="C95" s="17"/>
      <c r="D95" s="15"/>
      <c r="E95" s="15"/>
      <c r="F95" s="17"/>
      <c r="G95" s="17"/>
      <c r="H95" s="17"/>
      <c r="M95" s="2"/>
    </row>
    <row r="96" spans="1:14" s="1" customFormat="1" x14ac:dyDescent="0.2">
      <c r="A96" s="7"/>
      <c r="B96" s="10"/>
      <c r="C96" s="13"/>
      <c r="D96" s="10"/>
      <c r="E96" s="10"/>
      <c r="F96" s="10"/>
      <c r="G96" s="10"/>
      <c r="H96" s="10"/>
      <c r="I96" s="12"/>
      <c r="J96" s="12"/>
      <c r="K96" s="12"/>
      <c r="L96" s="13"/>
    </row>
    <row r="97" spans="1:13" s="1" customFormat="1" x14ac:dyDescent="0.2">
      <c r="A97" s="4"/>
      <c r="B97" s="14"/>
      <c r="C97" s="13"/>
      <c r="D97" s="12"/>
      <c r="E97" s="12"/>
      <c r="F97" s="13"/>
      <c r="G97" s="12"/>
      <c r="H97" s="12"/>
      <c r="I97" s="12"/>
      <c r="J97" s="12"/>
      <c r="K97" s="12"/>
      <c r="L97" s="13"/>
    </row>
    <row r="98" spans="1:13" s="1" customFormat="1" x14ac:dyDescent="0.2">
      <c r="A98" s="4"/>
      <c r="B98" s="14"/>
      <c r="C98" s="13"/>
      <c r="D98" s="15"/>
      <c r="E98" s="15"/>
      <c r="F98" s="13"/>
      <c r="G98" s="17"/>
      <c r="H98" s="17"/>
      <c r="I98" s="12"/>
      <c r="J98" s="12"/>
      <c r="K98" s="12"/>
      <c r="L98" s="13"/>
    </row>
    <row r="99" spans="1:13" s="1" customFormat="1" ht="15.75" x14ac:dyDescent="0.25">
      <c r="A99" s="35"/>
      <c r="B99" s="14"/>
      <c r="C99" s="13"/>
      <c r="D99" s="15"/>
      <c r="E99" s="15"/>
      <c r="F99" s="13"/>
      <c r="G99" s="10"/>
      <c r="H99" s="16"/>
      <c r="I99" s="19"/>
      <c r="J99" s="12"/>
      <c r="K99" s="12"/>
      <c r="L99" s="13"/>
    </row>
    <row r="100" spans="1:13" s="1" customFormat="1" x14ac:dyDescent="0.2">
      <c r="A100" s="4"/>
      <c r="B100" s="14"/>
      <c r="C100" s="12"/>
      <c r="D100" s="15"/>
      <c r="E100" s="15"/>
      <c r="F100" s="13"/>
      <c r="G100" s="10"/>
      <c r="H100" s="16"/>
      <c r="I100" s="19"/>
      <c r="J100" s="12"/>
      <c r="K100" s="12"/>
      <c r="L100" s="13"/>
    </row>
    <row r="101" spans="1:13" x14ac:dyDescent="0.2">
      <c r="B101" s="14"/>
      <c r="C101" s="12"/>
      <c r="D101" s="12"/>
      <c r="E101" s="12"/>
      <c r="F101" s="12"/>
      <c r="H101" s="16"/>
      <c r="M101" s="2"/>
    </row>
    <row r="102" spans="1:13" ht="15" x14ac:dyDescent="0.25">
      <c r="C102" s="11"/>
      <c r="M102" s="2"/>
    </row>
    <row r="103" spans="1:13" ht="15" x14ac:dyDescent="0.25">
      <c r="A103" s="3"/>
      <c r="C103" s="11"/>
    </row>
    <row r="104" spans="1:13" ht="15" x14ac:dyDescent="0.25">
      <c r="A104" s="5"/>
      <c r="B104" s="14"/>
      <c r="E104" s="13"/>
      <c r="F104" s="20"/>
      <c r="H104" s="16"/>
    </row>
    <row r="105" spans="1:13" x14ac:dyDescent="0.2">
      <c r="A105" s="169"/>
    </row>
    <row r="106" spans="1:13" x14ac:dyDescent="0.2">
      <c r="A106" s="6"/>
      <c r="B106" s="14"/>
      <c r="C106" s="15"/>
      <c r="D106" s="15"/>
      <c r="E106" s="15"/>
      <c r="F106" s="17"/>
      <c r="G106" s="17"/>
      <c r="H106" s="17"/>
    </row>
    <row r="107" spans="1:13" ht="15" x14ac:dyDescent="0.25">
      <c r="A107" s="5"/>
      <c r="B107" s="14"/>
      <c r="C107" s="15"/>
      <c r="D107" s="17"/>
      <c r="E107" s="17"/>
      <c r="F107" s="17"/>
      <c r="G107" s="17"/>
      <c r="H107" s="17"/>
    </row>
    <row r="108" spans="1:13" x14ac:dyDescent="0.2">
      <c r="B108" s="14"/>
      <c r="C108" s="15"/>
      <c r="D108" s="17"/>
      <c r="E108" s="17"/>
      <c r="F108" s="17"/>
      <c r="G108" s="17"/>
      <c r="H108" s="16"/>
    </row>
    <row r="109" spans="1:13" x14ac:dyDescent="0.2">
      <c r="B109" s="112"/>
      <c r="C109" s="113"/>
      <c r="D109" s="17"/>
      <c r="E109" s="17"/>
      <c r="F109" s="17"/>
      <c r="G109" s="17"/>
      <c r="H109" s="16"/>
    </row>
    <row r="110" spans="1:13" x14ac:dyDescent="0.2">
      <c r="A110" s="169"/>
    </row>
    <row r="111" spans="1:13" x14ac:dyDescent="0.2">
      <c r="B111" s="14"/>
      <c r="C111" s="17"/>
      <c r="D111" s="17"/>
      <c r="E111" s="17"/>
      <c r="F111" s="17"/>
      <c r="G111" s="17"/>
      <c r="H111" s="17"/>
    </row>
    <row r="112" spans="1:13" ht="15" x14ac:dyDescent="0.25">
      <c r="A112" s="5"/>
      <c r="B112" s="14"/>
      <c r="C112" s="17"/>
      <c r="D112" s="17"/>
      <c r="E112" s="17"/>
      <c r="F112" s="17"/>
      <c r="G112" s="17"/>
      <c r="H112" s="17"/>
    </row>
    <row r="113" spans="1:13" x14ac:dyDescent="0.2">
      <c r="B113" s="14"/>
      <c r="C113" s="17"/>
      <c r="D113" s="17"/>
      <c r="E113" s="17"/>
      <c r="F113" s="17"/>
      <c r="G113" s="17"/>
      <c r="H113" s="16"/>
    </row>
    <row r="114" spans="1:13" x14ac:dyDescent="0.2">
      <c r="B114" s="14"/>
      <c r="C114" s="15"/>
      <c r="D114" s="17"/>
      <c r="E114" s="17"/>
      <c r="F114" s="17"/>
      <c r="G114" s="17"/>
      <c r="H114" s="16"/>
    </row>
    <row r="115" spans="1:13" s="1" customFormat="1" x14ac:dyDescent="0.2">
      <c r="A115" s="7"/>
      <c r="B115" s="10"/>
      <c r="C115" s="13"/>
      <c r="D115" s="10"/>
      <c r="E115" s="10"/>
      <c r="F115" s="13"/>
      <c r="G115" s="10"/>
      <c r="H115" s="10"/>
      <c r="I115" s="12"/>
      <c r="J115" s="12"/>
      <c r="K115" s="12"/>
      <c r="L115" s="13"/>
    </row>
    <row r="116" spans="1:13" s="1" customFormat="1" x14ac:dyDescent="0.2">
      <c r="A116" s="4"/>
      <c r="B116" s="14"/>
      <c r="C116" s="17"/>
      <c r="D116" s="13"/>
      <c r="E116" s="13"/>
      <c r="F116" s="17"/>
      <c r="G116" s="13"/>
      <c r="H116" s="13"/>
      <c r="I116" s="12"/>
      <c r="J116" s="12"/>
      <c r="K116" s="12"/>
      <c r="L116" s="13"/>
    </row>
    <row r="117" spans="1:13" s="1" customFormat="1" ht="15" x14ac:dyDescent="0.25">
      <c r="A117" s="5"/>
      <c r="B117" s="14"/>
      <c r="C117" s="17"/>
      <c r="D117" s="17"/>
      <c r="E117" s="17"/>
      <c r="F117" s="17"/>
      <c r="G117" s="13"/>
      <c r="H117" s="13"/>
      <c r="I117" s="12"/>
      <c r="J117" s="12"/>
      <c r="K117" s="12"/>
      <c r="L117" s="13"/>
    </row>
    <row r="118" spans="1:13" s="1" customFormat="1" x14ac:dyDescent="0.2">
      <c r="A118" s="4"/>
      <c r="B118" s="14"/>
      <c r="C118" s="17"/>
      <c r="D118" s="17"/>
      <c r="E118" s="17"/>
      <c r="F118" s="17"/>
      <c r="G118" s="13"/>
      <c r="H118" s="16"/>
      <c r="I118" s="12"/>
      <c r="J118" s="12"/>
      <c r="K118" s="12"/>
      <c r="L118" s="13"/>
    </row>
    <row r="119" spans="1:13" ht="15" x14ac:dyDescent="0.2">
      <c r="A119" s="159"/>
      <c r="B119" s="14"/>
      <c r="D119" s="17"/>
      <c r="E119" s="17"/>
      <c r="F119" s="12"/>
      <c r="G119" s="13"/>
      <c r="H119" s="16"/>
      <c r="M119" s="2"/>
    </row>
    <row r="120" spans="1:13" s="1" customFormat="1" x14ac:dyDescent="0.2">
      <c r="A120" s="169"/>
      <c r="B120" s="10"/>
      <c r="C120" s="13"/>
      <c r="D120" s="10"/>
      <c r="E120" s="10"/>
      <c r="F120" s="13"/>
      <c r="G120" s="10"/>
      <c r="H120" s="10"/>
      <c r="I120" s="12"/>
      <c r="J120" s="12"/>
      <c r="K120" s="12"/>
      <c r="L120" s="13"/>
    </row>
    <row r="121" spans="1:13" s="1" customFormat="1" x14ac:dyDescent="0.2">
      <c r="A121" s="4"/>
      <c r="B121" s="14"/>
      <c r="C121" s="17"/>
      <c r="D121" s="13"/>
      <c r="E121" s="13"/>
      <c r="F121" s="17"/>
      <c r="G121" s="13"/>
      <c r="H121" s="13"/>
      <c r="I121" s="12"/>
      <c r="J121" s="12"/>
      <c r="K121" s="12"/>
      <c r="L121" s="13"/>
    </row>
    <row r="122" spans="1:13" s="1" customFormat="1" x14ac:dyDescent="0.2">
      <c r="A122" s="170"/>
      <c r="B122" s="14"/>
      <c r="C122" s="17"/>
      <c r="D122" s="17"/>
      <c r="E122" s="17"/>
      <c r="F122" s="17"/>
      <c r="G122" s="13"/>
      <c r="H122" s="13"/>
      <c r="I122" s="12"/>
      <c r="J122" s="12"/>
      <c r="K122" s="12"/>
      <c r="L122" s="13"/>
    </row>
    <row r="123" spans="1:13" s="1" customFormat="1" x14ac:dyDescent="0.2">
      <c r="A123" s="4"/>
      <c r="B123" s="14"/>
      <c r="C123" s="17"/>
      <c r="D123" s="17"/>
      <c r="E123" s="17"/>
      <c r="F123" s="17"/>
      <c r="G123" s="13"/>
      <c r="H123" s="16"/>
      <c r="I123" s="12"/>
      <c r="J123" s="12"/>
      <c r="K123" s="12"/>
      <c r="L123" s="13"/>
    </row>
    <row r="124" spans="1:13" ht="15" x14ac:dyDescent="0.25">
      <c r="A124" s="5"/>
      <c r="B124" s="14"/>
      <c r="C124" s="17"/>
      <c r="D124" s="17"/>
      <c r="E124" s="17"/>
      <c r="F124" s="17"/>
      <c r="G124" s="13"/>
      <c r="H124" s="16"/>
      <c r="M124" s="2"/>
    </row>
    <row r="125" spans="1:13" ht="15" x14ac:dyDescent="0.25">
      <c r="A125" s="5"/>
      <c r="B125" s="14"/>
      <c r="C125" s="17"/>
      <c r="D125" s="17"/>
      <c r="E125" s="17"/>
      <c r="F125" s="17"/>
      <c r="G125" s="13"/>
      <c r="H125" s="16"/>
      <c r="M125" s="2"/>
    </row>
    <row r="126" spans="1:13" x14ac:dyDescent="0.2">
      <c r="A126" s="169"/>
      <c r="F126" s="13"/>
      <c r="M126" s="2"/>
    </row>
    <row r="127" spans="1:13" x14ac:dyDescent="0.2">
      <c r="B127" s="14"/>
      <c r="D127" s="13"/>
      <c r="E127" s="13"/>
      <c r="F127" s="13"/>
      <c r="G127" s="13"/>
      <c r="H127" s="13"/>
      <c r="M127" s="2"/>
    </row>
    <row r="128" spans="1:13" x14ac:dyDescent="0.2">
      <c r="A128" s="170"/>
      <c r="B128" s="14"/>
      <c r="D128" s="17"/>
      <c r="E128" s="17"/>
      <c r="F128" s="13"/>
      <c r="G128" s="13"/>
      <c r="H128" s="13"/>
      <c r="M128" s="2"/>
    </row>
    <row r="129" spans="1:13" ht="15" x14ac:dyDescent="0.25">
      <c r="A129" s="5"/>
      <c r="B129" s="14"/>
      <c r="D129" s="17"/>
      <c r="E129" s="17"/>
      <c r="F129" s="13"/>
      <c r="G129" s="13"/>
      <c r="H129" s="16"/>
      <c r="M129" s="2"/>
    </row>
    <row r="130" spans="1:13" ht="15" x14ac:dyDescent="0.2">
      <c r="A130" s="159"/>
      <c r="B130" s="14"/>
      <c r="D130" s="17"/>
      <c r="E130" s="17"/>
      <c r="F130" s="12"/>
      <c r="G130" s="13"/>
      <c r="H130" s="16"/>
      <c r="M130" s="2"/>
    </row>
    <row r="131" spans="1:13" x14ac:dyDescent="0.2">
      <c r="A131" s="169"/>
      <c r="F131" s="13"/>
      <c r="M131" s="2"/>
    </row>
    <row r="132" spans="1:13" x14ac:dyDescent="0.2">
      <c r="B132" s="14"/>
      <c r="C132" s="15"/>
      <c r="D132" s="15"/>
      <c r="E132" s="15"/>
      <c r="F132" s="15"/>
      <c r="G132" s="15"/>
      <c r="H132" s="15"/>
      <c r="M132" s="2"/>
    </row>
    <row r="133" spans="1:13" x14ac:dyDescent="0.2">
      <c r="B133" s="14"/>
      <c r="C133" s="15"/>
      <c r="D133" s="17"/>
      <c r="E133" s="17"/>
      <c r="F133" s="15"/>
      <c r="G133" s="13"/>
      <c r="H133" s="13"/>
      <c r="M133" s="2"/>
    </row>
    <row r="134" spans="1:13" x14ac:dyDescent="0.2">
      <c r="B134" s="14"/>
      <c r="C134" s="15"/>
      <c r="D134" s="17"/>
      <c r="E134" s="17"/>
      <c r="F134" s="15"/>
      <c r="G134" s="13"/>
      <c r="H134" s="16"/>
      <c r="M134" s="2"/>
    </row>
    <row r="135" spans="1:13" x14ac:dyDescent="0.2">
      <c r="B135" s="14"/>
      <c r="C135" s="15"/>
      <c r="D135" s="17"/>
      <c r="E135" s="17"/>
      <c r="F135" s="15"/>
      <c r="G135" s="13"/>
      <c r="H135" s="16"/>
      <c r="M135" s="2"/>
    </row>
    <row r="136" spans="1:13" ht="15" x14ac:dyDescent="0.25">
      <c r="A136" s="5"/>
      <c r="B136" s="14"/>
      <c r="C136" s="15"/>
      <c r="D136" s="17"/>
      <c r="E136" s="17"/>
      <c r="F136" s="15"/>
      <c r="G136" s="13"/>
      <c r="H136" s="16"/>
      <c r="M136" s="2"/>
    </row>
    <row r="137" spans="1:13" x14ac:dyDescent="0.2">
      <c r="B137" s="14"/>
      <c r="C137" s="15"/>
      <c r="D137" s="17"/>
      <c r="E137" s="17"/>
      <c r="F137" s="15"/>
      <c r="G137" s="13"/>
      <c r="H137" s="16"/>
      <c r="M137" s="2"/>
    </row>
    <row r="138" spans="1:13" x14ac:dyDescent="0.2">
      <c r="B138" s="14"/>
      <c r="C138" s="15"/>
      <c r="D138" s="17"/>
      <c r="E138" s="17"/>
      <c r="F138" s="15"/>
      <c r="G138" s="13"/>
      <c r="H138" s="16"/>
      <c r="M138" s="2"/>
    </row>
    <row r="139" spans="1:13" x14ac:dyDescent="0.2">
      <c r="B139" s="14"/>
      <c r="C139" s="17"/>
      <c r="D139" s="17"/>
      <c r="E139" s="17"/>
      <c r="F139" s="17"/>
      <c r="G139" s="13"/>
      <c r="H139" s="16"/>
      <c r="M139" s="2"/>
    </row>
    <row r="140" spans="1:13" x14ac:dyDescent="0.2">
      <c r="A140" s="169"/>
      <c r="F140" s="13"/>
      <c r="M140" s="2"/>
    </row>
    <row r="141" spans="1:13" x14ac:dyDescent="0.2">
      <c r="B141" s="14"/>
      <c r="C141" s="17"/>
      <c r="D141" s="17"/>
      <c r="E141" s="17"/>
      <c r="F141" s="17"/>
      <c r="G141" s="17"/>
      <c r="H141" s="17"/>
      <c r="M141" s="2"/>
    </row>
    <row r="142" spans="1:13" ht="15" x14ac:dyDescent="0.25">
      <c r="A142" s="5"/>
      <c r="B142" s="14"/>
      <c r="C142" s="17"/>
      <c r="D142" s="17"/>
      <c r="E142" s="17"/>
      <c r="F142" s="17"/>
      <c r="G142" s="13"/>
      <c r="H142" s="13"/>
      <c r="M142" s="2"/>
    </row>
    <row r="143" spans="1:13" x14ac:dyDescent="0.2">
      <c r="B143" s="14"/>
      <c r="C143" s="17"/>
      <c r="D143" s="17"/>
      <c r="E143" s="17"/>
      <c r="F143" s="17"/>
      <c r="G143" s="13"/>
      <c r="H143" s="16"/>
      <c r="M143" s="2"/>
    </row>
    <row r="144" spans="1:13" x14ac:dyDescent="0.2">
      <c r="B144" s="14"/>
      <c r="C144" s="17"/>
      <c r="D144" s="17"/>
      <c r="E144" s="17"/>
      <c r="F144" s="17"/>
      <c r="G144" s="13"/>
      <c r="H144" s="16"/>
      <c r="M144" s="2"/>
    </row>
    <row r="145" spans="1:12" ht="15" x14ac:dyDescent="0.25">
      <c r="A145" s="168"/>
      <c r="F145" s="13"/>
    </row>
    <row r="146" spans="1:12" x14ac:dyDescent="0.2">
      <c r="B146" s="14"/>
      <c r="C146" s="12"/>
      <c r="D146" s="12"/>
      <c r="E146" s="12"/>
      <c r="F146" s="12"/>
      <c r="G146" s="12"/>
      <c r="H146" s="12"/>
    </row>
    <row r="147" spans="1:12" x14ac:dyDescent="0.2">
      <c r="B147" s="14"/>
      <c r="C147" s="12"/>
      <c r="D147" s="17"/>
      <c r="E147" s="17"/>
      <c r="F147" s="12"/>
      <c r="G147" s="12"/>
      <c r="H147" s="12"/>
    </row>
    <row r="148" spans="1:12" x14ac:dyDescent="0.2">
      <c r="B148" s="14"/>
      <c r="C148" s="12"/>
      <c r="D148" s="17"/>
      <c r="E148" s="17"/>
      <c r="F148" s="12"/>
      <c r="H148" s="16"/>
    </row>
    <row r="149" spans="1:12" ht="15" x14ac:dyDescent="0.25">
      <c r="A149" s="5"/>
      <c r="B149" s="14"/>
      <c r="C149" s="12"/>
      <c r="D149" s="17"/>
      <c r="E149" s="17"/>
      <c r="F149" s="12"/>
      <c r="H149" s="16"/>
    </row>
    <row r="150" spans="1:12" x14ac:dyDescent="0.2">
      <c r="B150" s="14"/>
      <c r="C150" s="12"/>
      <c r="D150" s="17"/>
      <c r="E150" s="17"/>
      <c r="F150" s="12"/>
      <c r="H150" s="16"/>
    </row>
    <row r="151" spans="1:12" ht="15" x14ac:dyDescent="0.25">
      <c r="A151" s="5"/>
      <c r="B151" s="114"/>
      <c r="C151" s="115"/>
      <c r="D151" s="116"/>
      <c r="E151" s="116"/>
      <c r="F151" s="115"/>
      <c r="G151" s="117"/>
      <c r="H151" s="118"/>
      <c r="I151" s="115"/>
      <c r="J151" s="115"/>
      <c r="K151" s="115"/>
      <c r="L151" s="11"/>
    </row>
    <row r="152" spans="1:12" x14ac:dyDescent="0.2">
      <c r="B152" s="14"/>
      <c r="C152" s="12"/>
      <c r="D152" s="17"/>
      <c r="E152" s="17"/>
      <c r="F152" s="12"/>
      <c r="H152" s="16"/>
    </row>
    <row r="153" spans="1:12" x14ac:dyDescent="0.2">
      <c r="A153" s="8"/>
    </row>
    <row r="154" spans="1:12" x14ac:dyDescent="0.2">
      <c r="A154" s="171"/>
      <c r="B154" s="14"/>
      <c r="C154" s="17"/>
      <c r="D154" s="17"/>
      <c r="E154" s="17"/>
      <c r="F154" s="17"/>
      <c r="G154" s="17"/>
      <c r="H154" s="17"/>
    </row>
    <row r="155" spans="1:12" ht="15" x14ac:dyDescent="0.25">
      <c r="A155" s="5"/>
      <c r="B155" s="14"/>
      <c r="C155" s="17"/>
      <c r="D155" s="17"/>
      <c r="E155" s="17"/>
      <c r="F155" s="17"/>
      <c r="G155" s="17"/>
      <c r="H155" s="17"/>
    </row>
    <row r="156" spans="1:12" x14ac:dyDescent="0.2">
      <c r="B156" s="14"/>
      <c r="C156" s="17"/>
      <c r="D156" s="17"/>
      <c r="E156" s="17"/>
      <c r="F156" s="17"/>
      <c r="H156" s="16"/>
    </row>
    <row r="157" spans="1:12" ht="15" x14ac:dyDescent="0.25">
      <c r="B157" s="114"/>
      <c r="C157" s="116"/>
      <c r="D157" s="116"/>
      <c r="E157" s="116"/>
      <c r="F157" s="17"/>
      <c r="H157" s="118"/>
    </row>
    <row r="159" spans="1:12" x14ac:dyDescent="0.2">
      <c r="B159" s="14"/>
      <c r="C159" s="17"/>
      <c r="D159" s="13"/>
      <c r="E159" s="13"/>
      <c r="F159" s="17"/>
      <c r="G159" s="13"/>
      <c r="H159" s="13"/>
    </row>
    <row r="160" spans="1:12" ht="15" x14ac:dyDescent="0.25">
      <c r="A160" s="5"/>
      <c r="B160" s="14"/>
      <c r="C160" s="17"/>
      <c r="D160" s="13"/>
      <c r="E160" s="13"/>
      <c r="F160" s="17"/>
      <c r="G160" s="13"/>
      <c r="H160" s="13"/>
    </row>
    <row r="161" spans="1:23" x14ac:dyDescent="0.2">
      <c r="B161" s="14"/>
      <c r="C161" s="17"/>
      <c r="D161" s="17"/>
      <c r="E161" s="17"/>
      <c r="F161" s="17"/>
      <c r="G161" s="13"/>
      <c r="H161" s="16"/>
    </row>
    <row r="162" spans="1:23" x14ac:dyDescent="0.2">
      <c r="B162" s="14"/>
      <c r="C162" s="17"/>
      <c r="D162" s="17"/>
      <c r="E162" s="17"/>
      <c r="F162" s="17"/>
      <c r="G162" s="13"/>
      <c r="H162" s="16"/>
    </row>
    <row r="163" spans="1:23" x14ac:dyDescent="0.2">
      <c r="B163" s="14"/>
      <c r="C163" s="17"/>
      <c r="D163" s="17"/>
      <c r="E163" s="17"/>
      <c r="F163" s="17"/>
      <c r="G163" s="13"/>
      <c r="H163" s="16"/>
    </row>
    <row r="164" spans="1:23" s="1" customFormat="1" x14ac:dyDescent="0.2">
      <c r="A164" s="171"/>
      <c r="B164" s="10"/>
      <c r="C164" s="13"/>
      <c r="D164" s="10"/>
      <c r="E164" s="10"/>
      <c r="F164" s="10"/>
      <c r="G164" s="10"/>
      <c r="H164" s="10"/>
      <c r="I164" s="12"/>
      <c r="J164" s="12"/>
      <c r="K164" s="12"/>
      <c r="L164" s="13"/>
    </row>
    <row r="165" spans="1:23" s="1" customFormat="1" x14ac:dyDescent="0.2">
      <c r="A165" s="171"/>
      <c r="B165" s="14"/>
      <c r="C165" s="12"/>
      <c r="D165" s="12"/>
      <c r="E165" s="12"/>
      <c r="F165" s="12"/>
      <c r="G165" s="12"/>
      <c r="H165" s="12"/>
      <c r="I165" s="12"/>
      <c r="J165" s="119"/>
      <c r="K165" s="119"/>
      <c r="L165" s="13"/>
      <c r="P165" s="120"/>
      <c r="Q165" s="121"/>
      <c r="R165" s="172"/>
      <c r="S165" s="172"/>
      <c r="T165" s="121"/>
      <c r="U165" s="172"/>
      <c r="V165" s="172"/>
      <c r="W165" s="173"/>
    </row>
    <row r="166" spans="1:23" s="1" customFormat="1" x14ac:dyDescent="0.2">
      <c r="A166" s="142"/>
      <c r="B166" s="14"/>
      <c r="C166" s="12"/>
      <c r="D166" s="17"/>
      <c r="E166" s="17"/>
      <c r="F166" s="12"/>
      <c r="G166" s="12"/>
      <c r="H166" s="12"/>
      <c r="I166" s="12"/>
      <c r="J166" s="119"/>
      <c r="K166" s="119"/>
      <c r="L166" s="13"/>
      <c r="P166" s="120"/>
      <c r="Q166" s="121"/>
      <c r="R166" s="172"/>
      <c r="S166" s="172"/>
      <c r="T166" s="121"/>
      <c r="U166" s="172"/>
      <c r="V166" s="174"/>
      <c r="W166" s="173"/>
    </row>
    <row r="167" spans="1:23" s="1" customFormat="1" x14ac:dyDescent="0.2">
      <c r="A167" s="171"/>
      <c r="B167" s="14"/>
      <c r="C167" s="12"/>
      <c r="D167" s="17"/>
      <c r="E167" s="17"/>
      <c r="F167" s="12"/>
      <c r="G167" s="12"/>
      <c r="H167" s="16"/>
      <c r="I167" s="12"/>
      <c r="J167" s="119"/>
      <c r="K167" s="119"/>
      <c r="L167" s="13"/>
    </row>
    <row r="168" spans="1:23" s="1" customFormat="1" ht="15" x14ac:dyDescent="0.25">
      <c r="A168" s="5"/>
      <c r="B168" s="14"/>
      <c r="C168" s="12"/>
      <c r="D168" s="17"/>
      <c r="E168" s="17"/>
      <c r="F168" s="12"/>
      <c r="G168" s="12"/>
      <c r="H168" s="16"/>
      <c r="I168" s="12"/>
      <c r="J168" s="119"/>
      <c r="K168" s="119"/>
      <c r="L168" s="13"/>
    </row>
    <row r="169" spans="1:23" x14ac:dyDescent="0.2">
      <c r="A169" s="171"/>
      <c r="B169" s="14"/>
      <c r="C169" s="12"/>
      <c r="D169" s="17"/>
      <c r="E169" s="17"/>
      <c r="F169" s="12"/>
      <c r="G169" s="12"/>
      <c r="H169" s="16"/>
      <c r="J169" s="119"/>
      <c r="K169" s="119"/>
    </row>
    <row r="170" spans="1:23" s="1" customFormat="1" x14ac:dyDescent="0.2">
      <c r="A170" s="171"/>
      <c r="B170" s="14"/>
      <c r="C170" s="12"/>
      <c r="D170" s="17"/>
      <c r="E170" s="17"/>
      <c r="F170" s="12"/>
      <c r="G170" s="12"/>
      <c r="H170" s="16"/>
      <c r="I170" s="12"/>
      <c r="J170" s="119"/>
      <c r="K170" s="119"/>
      <c r="L170" s="13"/>
    </row>
    <row r="171" spans="1:23" ht="15" x14ac:dyDescent="0.25">
      <c r="C171" s="11"/>
    </row>
    <row r="172" spans="1:23" ht="15" x14ac:dyDescent="0.25">
      <c r="A172" s="3"/>
      <c r="C172" s="11"/>
    </row>
    <row r="173" spans="1:23" ht="15" x14ac:dyDescent="0.25">
      <c r="A173" s="3"/>
      <c r="C173" s="11"/>
    </row>
    <row r="174" spans="1:23" s="1" customFormat="1" x14ac:dyDescent="0.2">
      <c r="A174" s="169"/>
      <c r="B174" s="10"/>
      <c r="C174" s="13"/>
      <c r="D174" s="10"/>
      <c r="E174" s="10"/>
      <c r="F174" s="10"/>
      <c r="G174" s="10"/>
      <c r="H174" s="10"/>
      <c r="I174" s="12"/>
      <c r="J174" s="12"/>
      <c r="K174" s="12"/>
      <c r="L174" s="13"/>
    </row>
    <row r="175" spans="1:23" s="1" customFormat="1" x14ac:dyDescent="0.2">
      <c r="A175" s="175"/>
      <c r="B175" s="14"/>
      <c r="C175" s="122"/>
      <c r="D175" s="17"/>
      <c r="E175" s="17"/>
      <c r="F175" s="13"/>
      <c r="G175" s="12"/>
      <c r="H175" s="12"/>
      <c r="I175" s="19"/>
      <c r="J175" s="12"/>
      <c r="K175" s="12"/>
      <c r="L175" s="13"/>
    </row>
    <row r="176" spans="1:23" s="1" customFormat="1" ht="15" x14ac:dyDescent="0.25">
      <c r="A176" s="5"/>
      <c r="B176" s="14"/>
      <c r="C176" s="17"/>
      <c r="D176" s="21"/>
      <c r="E176" s="21"/>
      <c r="F176" s="13"/>
      <c r="G176" s="106"/>
      <c r="H176" s="106"/>
      <c r="I176" s="12"/>
      <c r="J176" s="12"/>
      <c r="K176" s="12"/>
      <c r="L176" s="13"/>
    </row>
    <row r="177" spans="1:14" s="1" customFormat="1" x14ac:dyDescent="0.2">
      <c r="A177" s="6"/>
      <c r="B177" s="14"/>
      <c r="C177" s="17"/>
      <c r="D177" s="21"/>
      <c r="E177" s="21"/>
      <c r="F177" s="13"/>
      <c r="G177" s="106"/>
      <c r="H177" s="16"/>
      <c r="I177" s="12"/>
      <c r="J177" s="12"/>
      <c r="K177" s="12"/>
      <c r="L177" s="13"/>
    </row>
    <row r="178" spans="1:14" s="102" customFormat="1" x14ac:dyDescent="0.2">
      <c r="A178" s="4"/>
      <c r="B178" s="14"/>
      <c r="C178" s="17"/>
      <c r="D178" s="21"/>
      <c r="E178" s="21"/>
      <c r="F178" s="17"/>
      <c r="G178" s="106"/>
      <c r="H178" s="16"/>
      <c r="I178" s="12"/>
      <c r="J178" s="101"/>
      <c r="K178" s="101"/>
      <c r="L178" s="99"/>
      <c r="M178" s="1"/>
      <c r="N178" s="1"/>
    </row>
    <row r="179" spans="1:14" x14ac:dyDescent="0.2">
      <c r="A179" s="169"/>
      <c r="M179" s="102"/>
      <c r="N179" s="102"/>
    </row>
    <row r="180" spans="1:14" x14ac:dyDescent="0.2">
      <c r="A180" s="144"/>
      <c r="B180" s="14"/>
      <c r="C180" s="12"/>
      <c r="D180" s="12"/>
      <c r="E180" s="12"/>
      <c r="F180" s="12"/>
      <c r="G180" s="12"/>
      <c r="H180" s="12"/>
    </row>
    <row r="181" spans="1:14" x14ac:dyDescent="0.2">
      <c r="A181" s="170"/>
      <c r="B181" s="14"/>
      <c r="C181" s="12"/>
      <c r="D181" s="12"/>
      <c r="E181" s="12"/>
      <c r="F181" s="12"/>
      <c r="G181" s="12"/>
      <c r="H181" s="12"/>
    </row>
    <row r="182" spans="1:14" x14ac:dyDescent="0.2">
      <c r="B182" s="14"/>
      <c r="C182" s="12"/>
      <c r="D182" s="12"/>
      <c r="E182" s="12"/>
      <c r="F182" s="12"/>
      <c r="G182" s="12"/>
      <c r="H182" s="16"/>
    </row>
    <row r="183" spans="1:14" ht="15" x14ac:dyDescent="0.25">
      <c r="A183" s="5"/>
      <c r="B183" s="14"/>
      <c r="C183" s="12"/>
      <c r="D183" s="21"/>
      <c r="E183" s="21"/>
      <c r="F183" s="12"/>
      <c r="G183" s="16"/>
    </row>
    <row r="184" spans="1:14" x14ac:dyDescent="0.2">
      <c r="B184" s="14"/>
      <c r="C184" s="12"/>
      <c r="D184" s="21"/>
      <c r="E184" s="21"/>
      <c r="F184" s="12"/>
      <c r="G184" s="16"/>
    </row>
    <row r="185" spans="1:14" s="1" customFormat="1" x14ac:dyDescent="0.2">
      <c r="A185" s="7"/>
      <c r="B185" s="10"/>
      <c r="C185" s="13"/>
      <c r="D185" s="10"/>
      <c r="E185" s="10"/>
      <c r="F185" s="10"/>
      <c r="G185" s="10"/>
      <c r="H185" s="10"/>
      <c r="I185" s="12"/>
      <c r="J185" s="12"/>
      <c r="K185" s="12"/>
      <c r="L185" s="13"/>
    </row>
    <row r="186" spans="1:14" s="1" customFormat="1" x14ac:dyDescent="0.2">
      <c r="A186" s="144"/>
      <c r="B186" s="14"/>
      <c r="C186" s="12"/>
      <c r="D186" s="12"/>
      <c r="E186" s="12"/>
      <c r="F186" s="12"/>
      <c r="G186" s="12"/>
      <c r="H186" s="12"/>
      <c r="I186" s="12"/>
      <c r="J186" s="12"/>
      <c r="K186" s="12"/>
      <c r="L186" s="13"/>
    </row>
    <row r="187" spans="1:14" s="1" customFormat="1" x14ac:dyDescent="0.2">
      <c r="A187" s="142"/>
      <c r="B187" s="14"/>
      <c r="C187" s="12"/>
      <c r="D187" s="12"/>
      <c r="E187" s="12"/>
      <c r="F187" s="12"/>
      <c r="G187" s="20"/>
      <c r="H187" s="20"/>
      <c r="I187" s="12"/>
      <c r="J187" s="12"/>
      <c r="K187" s="12"/>
      <c r="L187" s="13"/>
    </row>
    <row r="188" spans="1:14" s="1" customFormat="1" x14ac:dyDescent="0.2">
      <c r="A188" s="4"/>
      <c r="B188" s="14"/>
      <c r="C188" s="12"/>
      <c r="D188" s="21"/>
      <c r="E188" s="21"/>
      <c r="F188" s="12"/>
      <c r="G188" s="20"/>
      <c r="H188" s="16"/>
      <c r="I188" s="12"/>
      <c r="J188" s="12"/>
      <c r="K188" s="12"/>
      <c r="L188" s="13"/>
    </row>
    <row r="189" spans="1:14" s="1" customFormat="1" x14ac:dyDescent="0.2">
      <c r="A189" s="4"/>
      <c r="B189" s="14"/>
      <c r="C189" s="12"/>
      <c r="D189" s="21"/>
      <c r="E189" s="21"/>
      <c r="F189" s="12"/>
      <c r="G189" s="20"/>
      <c r="H189" s="16"/>
      <c r="I189" s="12"/>
      <c r="J189" s="12"/>
      <c r="K189" s="12"/>
      <c r="L189" s="13"/>
    </row>
    <row r="190" spans="1:14" s="1" customFormat="1" ht="15" x14ac:dyDescent="0.25">
      <c r="A190" s="5"/>
      <c r="B190" s="14"/>
      <c r="C190" s="12"/>
      <c r="D190" s="21"/>
      <c r="E190" s="21"/>
      <c r="F190" s="12"/>
      <c r="G190" s="20"/>
      <c r="H190" s="16"/>
      <c r="J190" s="12"/>
      <c r="K190" s="12"/>
      <c r="L190" s="99"/>
    </row>
    <row r="191" spans="1:14" s="1" customFormat="1" x14ac:dyDescent="0.2">
      <c r="A191" s="4"/>
      <c r="B191" s="14"/>
      <c r="C191" s="12"/>
      <c r="D191" s="21"/>
      <c r="E191" s="21"/>
      <c r="F191" s="12"/>
      <c r="G191" s="20"/>
      <c r="H191" s="16"/>
      <c r="I191" s="12"/>
      <c r="J191" s="12"/>
      <c r="K191" s="12"/>
      <c r="L191" s="13"/>
    </row>
    <row r="192" spans="1:14" s="1" customFormat="1" x14ac:dyDescent="0.2">
      <c r="A192" s="4"/>
      <c r="B192" s="14"/>
      <c r="C192" s="12"/>
      <c r="D192" s="21"/>
      <c r="E192" s="21"/>
      <c r="F192" s="12"/>
      <c r="G192" s="20"/>
      <c r="H192" s="16"/>
      <c r="I192" s="12"/>
      <c r="J192" s="12"/>
      <c r="K192" s="12"/>
      <c r="L192" s="13"/>
    </row>
    <row r="193" spans="1:12" s="1" customFormat="1" x14ac:dyDescent="0.2">
      <c r="A193" s="4"/>
      <c r="B193" s="14"/>
      <c r="C193" s="12"/>
      <c r="D193" s="21"/>
      <c r="E193" s="21"/>
      <c r="F193" s="12"/>
      <c r="G193" s="20"/>
      <c r="H193" s="16"/>
      <c r="I193" s="12"/>
      <c r="J193" s="12"/>
      <c r="K193" s="12"/>
      <c r="L193" s="13"/>
    </row>
    <row r="194" spans="1:12" s="1" customFormat="1" x14ac:dyDescent="0.2">
      <c r="B194" s="14"/>
      <c r="C194" s="17"/>
      <c r="D194" s="21"/>
      <c r="E194" s="21"/>
      <c r="F194" s="12"/>
      <c r="G194" s="20"/>
      <c r="H194" s="16"/>
      <c r="I194" s="12"/>
      <c r="J194" s="12"/>
      <c r="K194" s="12"/>
      <c r="L194" s="13"/>
    </row>
    <row r="195" spans="1:12" s="1" customFormat="1" ht="15" x14ac:dyDescent="0.25">
      <c r="A195" s="168"/>
      <c r="B195" s="117"/>
      <c r="C195" s="11"/>
      <c r="D195" s="117"/>
      <c r="E195" s="117"/>
      <c r="F195" s="117"/>
      <c r="G195" s="117"/>
      <c r="H195" s="117"/>
      <c r="I195" s="115"/>
      <c r="J195" s="115"/>
      <c r="K195" s="115"/>
      <c r="L195" s="11"/>
    </row>
    <row r="196" spans="1:12" s="1" customFormat="1" ht="15" x14ac:dyDescent="0.25">
      <c r="A196" s="176"/>
      <c r="B196" s="114"/>
      <c r="C196" s="115"/>
      <c r="D196" s="123"/>
      <c r="E196" s="123"/>
      <c r="F196" s="115"/>
      <c r="G196" s="115"/>
      <c r="H196" s="115"/>
      <c r="I196" s="115"/>
      <c r="J196" s="115"/>
      <c r="K196" s="115"/>
      <c r="L196" s="11"/>
    </row>
    <row r="197" spans="1:12" s="1" customFormat="1" ht="15" x14ac:dyDescent="0.25">
      <c r="A197" s="145"/>
      <c r="B197" s="114"/>
      <c r="C197" s="115"/>
      <c r="D197" s="115"/>
      <c r="E197" s="115"/>
      <c r="F197" s="115"/>
      <c r="G197" s="123"/>
      <c r="H197" s="123"/>
      <c r="I197" s="115"/>
      <c r="J197" s="115"/>
      <c r="K197" s="115"/>
      <c r="L197" s="11"/>
    </row>
    <row r="198" spans="1:12" s="1" customFormat="1" ht="15" x14ac:dyDescent="0.25">
      <c r="A198" s="5"/>
      <c r="B198" s="114"/>
      <c r="C198" s="115"/>
      <c r="D198" s="124"/>
      <c r="E198" s="124"/>
      <c r="F198" s="115"/>
      <c r="G198" s="125"/>
      <c r="H198" s="118"/>
      <c r="I198" s="115"/>
      <c r="J198" s="115"/>
      <c r="K198" s="115"/>
      <c r="L198" s="11"/>
    </row>
    <row r="199" spans="1:12" s="1" customFormat="1" ht="15" x14ac:dyDescent="0.25">
      <c r="A199" s="5"/>
      <c r="B199" s="114"/>
      <c r="C199" s="115"/>
      <c r="D199" s="124"/>
      <c r="E199" s="124"/>
      <c r="F199" s="115"/>
      <c r="G199" s="125"/>
      <c r="H199" s="118"/>
      <c r="J199" s="115"/>
      <c r="K199" s="115"/>
      <c r="L199" s="99"/>
    </row>
    <row r="200" spans="1:12" s="1" customFormat="1" ht="15" x14ac:dyDescent="0.25">
      <c r="A200" s="5"/>
      <c r="B200" s="114"/>
      <c r="C200" s="115"/>
      <c r="D200" s="124"/>
      <c r="E200" s="124"/>
      <c r="F200" s="115"/>
      <c r="G200" s="125"/>
      <c r="H200" s="118"/>
      <c r="I200" s="115"/>
      <c r="J200" s="115"/>
      <c r="K200" s="115"/>
      <c r="L200" s="11"/>
    </row>
    <row r="201" spans="1:12" s="1" customFormat="1" ht="15" x14ac:dyDescent="0.25">
      <c r="A201" s="5"/>
      <c r="B201" s="114"/>
      <c r="C201" s="115"/>
      <c r="D201" s="124"/>
      <c r="E201" s="124"/>
      <c r="F201" s="115"/>
      <c r="G201" s="125"/>
      <c r="H201" s="118"/>
      <c r="I201" s="115"/>
      <c r="J201" s="115"/>
      <c r="K201" s="115"/>
      <c r="L201" s="11"/>
    </row>
    <row r="202" spans="1:12" s="1" customFormat="1" ht="15" x14ac:dyDescent="0.25">
      <c r="A202" s="5"/>
      <c r="B202" s="114"/>
      <c r="C202" s="115"/>
      <c r="D202" s="124"/>
      <c r="E202" s="124"/>
      <c r="F202" s="115"/>
      <c r="G202" s="125"/>
      <c r="H202" s="118"/>
      <c r="I202" s="115"/>
      <c r="J202" s="115"/>
      <c r="K202" s="115"/>
      <c r="L202" s="11"/>
    </row>
    <row r="203" spans="1:12" s="1" customFormat="1" ht="15" x14ac:dyDescent="0.25">
      <c r="A203" s="5"/>
      <c r="B203" s="114"/>
      <c r="C203" s="115"/>
      <c r="D203" s="21"/>
      <c r="E203" s="21"/>
      <c r="F203" s="115"/>
      <c r="G203" s="125"/>
      <c r="H203" s="118"/>
      <c r="I203" s="115"/>
      <c r="J203" s="12"/>
      <c r="K203" s="12"/>
      <c r="L203" s="13"/>
    </row>
    <row r="204" spans="1:12" ht="15" x14ac:dyDescent="0.25">
      <c r="B204" s="114"/>
      <c r="C204" s="115"/>
      <c r="D204" s="21"/>
      <c r="E204" s="21"/>
      <c r="F204" s="115"/>
      <c r="G204" s="15"/>
      <c r="H204" s="16"/>
      <c r="I204" s="115"/>
    </row>
    <row r="205" spans="1:12" x14ac:dyDescent="0.2">
      <c r="A205" s="169"/>
    </row>
    <row r="206" spans="1:12" x14ac:dyDescent="0.2">
      <c r="A206" s="177"/>
      <c r="B206" s="14"/>
      <c r="C206" s="12"/>
      <c r="D206" s="20"/>
      <c r="E206" s="20"/>
      <c r="F206" s="12"/>
      <c r="G206" s="12"/>
      <c r="H206" s="12"/>
    </row>
    <row r="207" spans="1:12" x14ac:dyDescent="0.2">
      <c r="A207" s="142"/>
      <c r="B207" s="14"/>
      <c r="C207" s="12"/>
      <c r="D207" s="12"/>
      <c r="E207" s="12"/>
      <c r="F207" s="12"/>
      <c r="G207" s="20"/>
      <c r="H207" s="20"/>
    </row>
    <row r="208" spans="1:12" x14ac:dyDescent="0.2">
      <c r="B208" s="14"/>
      <c r="C208" s="12"/>
      <c r="D208" s="21"/>
      <c r="E208" s="21"/>
      <c r="F208" s="12"/>
      <c r="G208" s="20"/>
      <c r="H208" s="16"/>
    </row>
    <row r="209" spans="1:8" x14ac:dyDescent="0.2">
      <c r="B209" s="14"/>
      <c r="C209" s="12"/>
      <c r="D209" s="21"/>
      <c r="E209" s="21"/>
      <c r="F209" s="12"/>
      <c r="G209" s="20"/>
      <c r="H209" s="16"/>
    </row>
    <row r="210" spans="1:8" ht="15" x14ac:dyDescent="0.25">
      <c r="A210" s="5"/>
      <c r="B210" s="14"/>
      <c r="C210" s="12"/>
      <c r="D210" s="21"/>
      <c r="E210" s="21"/>
      <c r="F210" s="12"/>
      <c r="G210" s="20"/>
      <c r="H210" s="16"/>
    </row>
    <row r="211" spans="1:8" x14ac:dyDescent="0.2">
      <c r="B211" s="14"/>
      <c r="C211" s="12"/>
      <c r="D211" s="21"/>
      <c r="E211" s="21"/>
      <c r="F211" s="12"/>
      <c r="G211" s="20"/>
      <c r="H211" s="16"/>
    </row>
    <row r="212" spans="1:8" x14ac:dyDescent="0.2">
      <c r="B212" s="14"/>
      <c r="C212" s="12"/>
      <c r="D212" s="21"/>
      <c r="E212" s="21"/>
      <c r="F212" s="12"/>
      <c r="G212" s="20"/>
      <c r="H212" s="16"/>
    </row>
    <row r="213" spans="1:8" x14ac:dyDescent="0.2">
      <c r="B213" s="14"/>
      <c r="C213" s="12"/>
      <c r="D213" s="21"/>
      <c r="E213" s="21"/>
      <c r="F213" s="12"/>
      <c r="G213" s="15"/>
      <c r="H213" s="16"/>
    </row>
    <row r="214" spans="1:8" x14ac:dyDescent="0.2">
      <c r="A214" s="169"/>
    </row>
    <row r="215" spans="1:8" x14ac:dyDescent="0.2">
      <c r="A215" s="177"/>
      <c r="B215" s="14"/>
      <c r="D215" s="13"/>
      <c r="E215" s="13"/>
      <c r="F215" s="13"/>
      <c r="G215" s="13"/>
      <c r="H215" s="13"/>
    </row>
    <row r="216" spans="1:8" x14ac:dyDescent="0.2">
      <c r="B216" s="14"/>
      <c r="D216" s="12"/>
      <c r="E216" s="12"/>
      <c r="F216" s="13"/>
      <c r="G216" s="20"/>
      <c r="H216" s="20"/>
    </row>
    <row r="217" spans="1:8" x14ac:dyDescent="0.2">
      <c r="B217" s="14"/>
      <c r="D217" s="21"/>
      <c r="E217" s="21"/>
      <c r="F217" s="13"/>
      <c r="G217" s="20"/>
      <c r="H217" s="16"/>
    </row>
    <row r="218" spans="1:8" ht="15" x14ac:dyDescent="0.25">
      <c r="A218" s="5"/>
      <c r="B218" s="14"/>
      <c r="C218" s="12"/>
      <c r="D218" s="21"/>
      <c r="E218" s="21"/>
      <c r="F218" s="12"/>
      <c r="G218" s="20"/>
      <c r="H218" s="16"/>
    </row>
    <row r="219" spans="1:8" x14ac:dyDescent="0.2">
      <c r="B219" s="14"/>
      <c r="C219" s="12"/>
      <c r="D219" s="21"/>
      <c r="E219" s="21"/>
      <c r="F219" s="12"/>
      <c r="G219" s="20"/>
      <c r="H219" s="16"/>
    </row>
    <row r="220" spans="1:8" x14ac:dyDescent="0.2">
      <c r="B220" s="14"/>
      <c r="C220" s="20"/>
      <c r="D220" s="21"/>
      <c r="E220" s="21"/>
      <c r="F220" s="13"/>
      <c r="G220" s="15"/>
      <c r="H220" s="16"/>
    </row>
    <row r="221" spans="1:8" x14ac:dyDescent="0.2">
      <c r="A221" s="169"/>
    </row>
    <row r="222" spans="1:8" x14ac:dyDescent="0.2">
      <c r="A222" s="177"/>
      <c r="B222" s="14"/>
      <c r="C222" s="12"/>
      <c r="D222" s="12"/>
      <c r="E222" s="12"/>
      <c r="F222" s="12"/>
      <c r="G222" s="12"/>
      <c r="H222" s="12"/>
    </row>
    <row r="223" spans="1:8" x14ac:dyDescent="0.2">
      <c r="B223" s="14"/>
      <c r="C223" s="12"/>
      <c r="D223" s="12"/>
      <c r="E223" s="12"/>
      <c r="F223" s="12"/>
      <c r="G223" s="20"/>
      <c r="H223" s="20"/>
    </row>
    <row r="224" spans="1:8" ht="15" x14ac:dyDescent="0.25">
      <c r="A224" s="5"/>
      <c r="B224" s="14"/>
      <c r="C224" s="12"/>
      <c r="D224" s="21"/>
      <c r="E224" s="21"/>
      <c r="F224" s="12"/>
      <c r="G224" s="20"/>
      <c r="H224" s="16"/>
    </row>
    <row r="225" spans="1:12" x14ac:dyDescent="0.2">
      <c r="B225" s="14"/>
      <c r="C225" s="20"/>
      <c r="D225" s="21"/>
      <c r="E225" s="21"/>
      <c r="F225" s="12"/>
      <c r="G225" s="15"/>
      <c r="H225" s="16"/>
    </row>
    <row r="227" spans="1:12" x14ac:dyDescent="0.2">
      <c r="B227" s="14"/>
      <c r="C227" s="12"/>
      <c r="D227" s="12"/>
      <c r="E227" s="12"/>
      <c r="F227" s="12"/>
      <c r="G227" s="12"/>
      <c r="H227" s="12"/>
    </row>
    <row r="228" spans="1:12" x14ac:dyDescent="0.2">
      <c r="B228" s="14"/>
      <c r="C228" s="12"/>
      <c r="D228" s="12"/>
      <c r="E228" s="12"/>
      <c r="F228" s="12"/>
      <c r="G228" s="12"/>
      <c r="H228" s="12"/>
    </row>
    <row r="229" spans="1:12" x14ac:dyDescent="0.2">
      <c r="A229" s="6"/>
      <c r="B229" s="14"/>
      <c r="C229" s="12"/>
      <c r="D229" s="21"/>
      <c r="E229" s="21"/>
      <c r="F229" s="12"/>
      <c r="H229" s="16"/>
    </row>
    <row r="230" spans="1:12" x14ac:dyDescent="0.2">
      <c r="B230" s="14"/>
      <c r="C230" s="12"/>
      <c r="D230" s="21"/>
      <c r="E230" s="21"/>
      <c r="F230" s="12"/>
      <c r="H230" s="16"/>
    </row>
    <row r="231" spans="1:12" x14ac:dyDescent="0.2">
      <c r="B231" s="14"/>
      <c r="C231" s="12"/>
      <c r="D231" s="21"/>
      <c r="E231" s="21"/>
      <c r="F231" s="12"/>
      <c r="H231" s="16"/>
    </row>
    <row r="232" spans="1:12" x14ac:dyDescent="0.2">
      <c r="B232" s="14"/>
      <c r="C232" s="20"/>
      <c r="D232" s="21"/>
      <c r="E232" s="21"/>
      <c r="F232" s="12"/>
      <c r="H232" s="16"/>
    </row>
    <row r="233" spans="1:12" s="1" customFormat="1" x14ac:dyDescent="0.2">
      <c r="A233" s="8"/>
      <c r="B233" s="10"/>
      <c r="C233" s="13"/>
      <c r="D233" s="10"/>
      <c r="E233" s="10"/>
      <c r="F233" s="10"/>
      <c r="G233" s="10"/>
      <c r="H233" s="10"/>
      <c r="I233" s="12"/>
      <c r="J233" s="12"/>
      <c r="K233" s="12"/>
      <c r="L233" s="13"/>
    </row>
    <row r="234" spans="1:12" s="1" customFormat="1" x14ac:dyDescent="0.2">
      <c r="A234" s="4"/>
      <c r="B234" s="14"/>
      <c r="C234" s="12"/>
      <c r="D234" s="12"/>
      <c r="E234" s="12"/>
      <c r="F234" s="12"/>
      <c r="G234" s="12"/>
      <c r="H234" s="12"/>
      <c r="I234" s="12"/>
      <c r="J234" s="12"/>
      <c r="K234" s="12"/>
      <c r="L234" s="13"/>
    </row>
    <row r="235" spans="1:12" s="1" customFormat="1" ht="15" x14ac:dyDescent="0.25">
      <c r="A235" s="5"/>
      <c r="B235" s="14"/>
      <c r="C235" s="12"/>
      <c r="D235" s="12"/>
      <c r="E235" s="12"/>
      <c r="F235" s="12"/>
      <c r="G235" s="12"/>
      <c r="H235" s="12"/>
      <c r="I235" s="12"/>
      <c r="J235" s="12"/>
      <c r="K235" s="12"/>
      <c r="L235" s="13"/>
    </row>
    <row r="236" spans="1:12" s="1" customFormat="1" x14ac:dyDescent="0.2">
      <c r="A236" s="4"/>
      <c r="B236" s="14"/>
      <c r="C236" s="12"/>
      <c r="D236" s="21"/>
      <c r="E236" s="21"/>
      <c r="F236" s="12"/>
      <c r="G236" s="10"/>
      <c r="H236" s="16"/>
      <c r="I236" s="12"/>
      <c r="J236" s="12"/>
      <c r="K236" s="12"/>
      <c r="L236" s="13"/>
    </row>
    <row r="237" spans="1:12" x14ac:dyDescent="0.2">
      <c r="B237" s="14"/>
      <c r="C237" s="12"/>
      <c r="D237" s="12"/>
      <c r="E237" s="12"/>
      <c r="F237" s="12"/>
      <c r="H237" s="16"/>
    </row>
    <row r="239" spans="1:12" x14ac:dyDescent="0.2">
      <c r="B239" s="14"/>
      <c r="C239" s="12"/>
      <c r="D239" s="12"/>
      <c r="E239" s="12"/>
      <c r="F239" s="17"/>
      <c r="G239" s="12"/>
      <c r="H239" s="12"/>
    </row>
    <row r="240" spans="1:12" ht="15" x14ac:dyDescent="0.25">
      <c r="A240" s="5"/>
      <c r="B240" s="14"/>
      <c r="C240" s="12"/>
      <c r="D240" s="12"/>
      <c r="E240" s="12"/>
      <c r="F240" s="17"/>
      <c r="G240" s="12"/>
      <c r="H240" s="12"/>
    </row>
    <row r="241" spans="1:12" x14ac:dyDescent="0.2">
      <c r="A241" s="8"/>
      <c r="B241" s="14"/>
      <c r="C241" s="12"/>
      <c r="D241" s="12"/>
      <c r="E241" s="12"/>
      <c r="F241" s="17"/>
      <c r="G241" s="12"/>
      <c r="H241" s="16"/>
    </row>
    <row r="242" spans="1:12" x14ac:dyDescent="0.2">
      <c r="A242" s="8"/>
      <c r="B242" s="14"/>
      <c r="C242" s="12"/>
      <c r="D242" s="12"/>
      <c r="E242" s="12"/>
      <c r="F242" s="12"/>
      <c r="G242" s="12"/>
      <c r="H242" s="16"/>
    </row>
    <row r="243" spans="1:12" s="1" customFormat="1" x14ac:dyDescent="0.2">
      <c r="A243" s="4"/>
      <c r="B243" s="10"/>
      <c r="C243" s="13"/>
      <c r="D243" s="10"/>
      <c r="E243" s="10"/>
      <c r="F243" s="10"/>
      <c r="G243" s="10"/>
      <c r="H243" s="10"/>
      <c r="I243" s="12"/>
      <c r="J243" s="12"/>
      <c r="K243" s="12"/>
      <c r="L243" s="13"/>
    </row>
    <row r="244" spans="1:12" s="1" customFormat="1" x14ac:dyDescent="0.2">
      <c r="A244" s="4"/>
      <c r="B244" s="14"/>
      <c r="C244" s="12"/>
      <c r="D244" s="12"/>
      <c r="E244" s="12"/>
      <c r="F244" s="12"/>
      <c r="G244" s="12"/>
      <c r="H244" s="12"/>
      <c r="I244" s="12"/>
      <c r="J244" s="12"/>
      <c r="K244" s="12"/>
      <c r="L244" s="13"/>
    </row>
    <row r="245" spans="1:12" s="1" customFormat="1" ht="15" x14ac:dyDescent="0.25">
      <c r="A245" s="5"/>
      <c r="B245" s="14"/>
      <c r="C245" s="12"/>
      <c r="D245" s="12"/>
      <c r="E245" s="12"/>
      <c r="F245" s="12"/>
      <c r="G245" s="12"/>
      <c r="H245" s="12"/>
      <c r="I245" s="12"/>
      <c r="J245" s="12"/>
      <c r="K245" s="12"/>
      <c r="L245" s="13"/>
    </row>
    <row r="246" spans="1:12" s="1" customFormat="1" x14ac:dyDescent="0.2">
      <c r="A246" s="4"/>
      <c r="B246" s="14"/>
      <c r="C246" s="12"/>
      <c r="D246" s="21"/>
      <c r="E246" s="21"/>
      <c r="F246" s="12"/>
      <c r="G246" s="10"/>
      <c r="H246" s="16"/>
      <c r="I246" s="12"/>
      <c r="J246" s="12"/>
      <c r="K246" s="12"/>
      <c r="L246" s="13"/>
    </row>
    <row r="247" spans="1:12" x14ac:dyDescent="0.2">
      <c r="B247" s="14"/>
      <c r="C247" s="12"/>
      <c r="D247" s="12"/>
      <c r="E247" s="12"/>
      <c r="F247" s="12"/>
    </row>
    <row r="248" spans="1:12" x14ac:dyDescent="0.2">
      <c r="F248" s="12"/>
    </row>
  </sheetData>
  <pageMargins left="0.25" right="0.25" top="0.75" bottom="0.75" header="0.3" footer="0.3"/>
  <pageSetup scale="95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AC21113D08CA4AA11B94D049CCA957" ma:contentTypeVersion="15" ma:contentTypeDescription="Create a new document." ma:contentTypeScope="" ma:versionID="5162a5de96b135813ee1897b46c91040">
  <xsd:schema xmlns:xsd="http://www.w3.org/2001/XMLSchema" xmlns:xs="http://www.w3.org/2001/XMLSchema" xmlns:p="http://schemas.microsoft.com/office/2006/metadata/properties" xmlns:ns2="1a253495-b0d9-40a4-8e1c-242bf5431677" xmlns:ns3="8cafe7d8-4bd4-4378-b54d-cfdec05ca8b5" targetNamespace="http://schemas.microsoft.com/office/2006/metadata/properties" ma:root="true" ma:fieldsID="bb0e9f5f971dd36718e546493f1efd59" ns2:_="" ns3:_="">
    <xsd:import namespace="1a253495-b0d9-40a4-8e1c-242bf5431677"/>
    <xsd:import namespace="8cafe7d8-4bd4-4378-b54d-cfdec05ca8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53495-b0d9-40a4-8e1c-242bf54316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f841b39-9e5f-4b0d-aa4b-9252280a9f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fe7d8-4bd4-4378-b54d-cfdec05ca8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7c2b24-8ad0-483f-a40b-c3025bba6f1f}" ma:internalName="TaxCatchAll" ma:showField="CatchAllData" ma:web="8cafe7d8-4bd4-4378-b54d-cfdec05ca8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cafe7d8-4bd4-4378-b54d-cfdec05ca8b5"/>
    <lcf76f155ced4ddcb4097134ff3c332f xmlns="1a253495-b0d9-40a4-8e1c-242bf54316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713C1-7AA9-4564-8ECA-CDEBFA5EF0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6F42D7-92AB-45B2-B738-32C9289A15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253495-b0d9-40a4-8e1c-242bf5431677"/>
    <ds:schemaRef ds:uri="8cafe7d8-4bd4-4378-b54d-cfdec05ca8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B6FA1-AFCF-42A0-8A1A-A9C101C08F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5HT1A</vt:lpstr>
      <vt:lpstr>5HT2A</vt:lpstr>
      <vt:lpstr>5HT2B</vt:lpstr>
      <vt:lpstr>5HT2C</vt:lpstr>
    </vt:vector>
  </TitlesOfParts>
  <Company>Oregon Health &amp;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OHSU</dc:creator>
  <cp:lastModifiedBy>Lowell Bartlett</cp:lastModifiedBy>
  <cp:lastPrinted>2024-10-15T16:55:15Z</cp:lastPrinted>
  <dcterms:created xsi:type="dcterms:W3CDTF">2005-01-03T23:28:54Z</dcterms:created>
  <dcterms:modified xsi:type="dcterms:W3CDTF">2025-02-21T23:52:42Z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0x010100AE50DEA2807158499EE67B236B723043</vt:lpwstr>
  </property>
</Properties>
</file>