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hsuitg.sharepoint.com/sites/SM.Janowsky-Lab/Shared Documents/General/X Drive/CONTRACTS/5th contract/Fiscal 2024/34485-94 DA 5HT Jan 2024/Data/"/>
    </mc:Choice>
  </mc:AlternateContent>
  <xr:revisionPtr revIDLastSave="763" documentId="8_{8BD13851-5F1B-479C-8EE2-78EC0705F847}" xr6:coauthVersionLast="47" xr6:coauthVersionMax="47" xr10:uidLastSave="{066D76A6-A047-4E6E-B8DD-A38570F8827B}"/>
  <bookViews>
    <workbookView xWindow="28680" yWindow="-120" windowWidth="29040" windowHeight="15840" activeTab="1" xr2:uid="{00000000-000D-0000-FFFF-FFFF00000000}"/>
  </bookViews>
  <sheets>
    <sheet name="5HT1A GTPgS Agonist" sheetId="1" r:id="rId1"/>
    <sheet name="5HT1A GTPgS Anta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D18" i="2"/>
  <c r="H18" i="2"/>
  <c r="G18" i="2"/>
  <c r="H12" i="2"/>
  <c r="G12" i="2"/>
  <c r="E12" i="2"/>
  <c r="D12" i="2"/>
  <c r="H5" i="2"/>
  <c r="G5" i="2"/>
  <c r="D5" i="2"/>
  <c r="D27" i="1" l="1"/>
  <c r="G42" i="1"/>
  <c r="D42" i="1"/>
  <c r="G56" i="1" l="1"/>
  <c r="H27" i="1"/>
  <c r="G27" i="1"/>
  <c r="I32" i="1"/>
  <c r="I29" i="1"/>
  <c r="G7" i="1" l="1"/>
  <c r="G81" i="1"/>
  <c r="G91" i="1"/>
  <c r="H91" i="1"/>
  <c r="E91" i="1"/>
  <c r="D91" i="1"/>
  <c r="D81" i="1"/>
  <c r="D74" i="1"/>
  <c r="D65" i="1"/>
  <c r="D56" i="1"/>
  <c r="G18" i="1"/>
  <c r="I20" i="2"/>
  <c r="I19" i="2"/>
  <c r="I18" i="2"/>
  <c r="I31" i="1"/>
  <c r="I33" i="1"/>
  <c r="I34" i="1"/>
  <c r="I27" i="1"/>
  <c r="I19" i="1"/>
  <c r="I20" i="1"/>
  <c r="I21" i="1"/>
  <c r="I23" i="1"/>
  <c r="I18" i="1"/>
  <c r="I10" i="1"/>
  <c r="I11" i="1"/>
  <c r="I12" i="1"/>
  <c r="I13" i="1"/>
  <c r="I14" i="1"/>
  <c r="I15" i="1"/>
  <c r="H7" i="1"/>
  <c r="E7" i="1"/>
  <c r="D7" i="1"/>
  <c r="H81" i="1"/>
  <c r="E81" i="1"/>
  <c r="H42" i="1"/>
  <c r="E42" i="1"/>
  <c r="I81" i="1"/>
  <c r="H74" i="1"/>
  <c r="G74" i="1"/>
  <c r="E74" i="1"/>
  <c r="H65" i="1"/>
  <c r="G65" i="1"/>
  <c r="E65" i="1"/>
  <c r="H56" i="1"/>
  <c r="E56" i="1"/>
  <c r="E20" i="2" l="1"/>
  <c r="E44" i="1"/>
  <c r="E83" i="1"/>
  <c r="E76" i="1"/>
  <c r="E58" i="1"/>
  <c r="E27" i="1"/>
  <c r="H18" i="1"/>
  <c r="E18" i="1"/>
  <c r="D18" i="1"/>
  <c r="E20" i="1" l="1"/>
  <c r="I93" i="1"/>
  <c r="I92" i="1"/>
  <c r="I91" i="1"/>
  <c r="I86" i="1"/>
  <c r="I82" i="1"/>
  <c r="I78" i="1"/>
  <c r="I75" i="1"/>
  <c r="I74" i="1"/>
  <c r="I67" i="1"/>
  <c r="I66" i="1"/>
  <c r="I65" i="1"/>
  <c r="E67" i="1" l="1"/>
  <c r="E93" i="1"/>
  <c r="I14" i="2"/>
  <c r="I13" i="2"/>
  <c r="I12" i="2"/>
  <c r="I8" i="2"/>
  <c r="I7" i="2"/>
  <c r="I6" i="2"/>
  <c r="I5" i="2"/>
  <c r="E5" i="2"/>
  <c r="E14" i="2" l="1"/>
  <c r="E7" i="2"/>
  <c r="H51" i="1" l="1"/>
  <c r="G51" i="1"/>
  <c r="E51" i="1"/>
  <c r="D51" i="1"/>
  <c r="D37" i="1"/>
  <c r="I58" i="1"/>
  <c r="I57" i="1"/>
  <c r="I56" i="1"/>
  <c r="I53" i="1"/>
  <c r="I52" i="1"/>
  <c r="I51" i="1"/>
  <c r="I44" i="1"/>
  <c r="I43" i="1"/>
  <c r="I42" i="1"/>
  <c r="I39" i="1"/>
  <c r="I38" i="1"/>
  <c r="I37" i="1"/>
  <c r="H37" i="1"/>
  <c r="G37" i="1"/>
  <c r="E37" i="1"/>
  <c r="I30" i="1"/>
  <c r="I28" i="1"/>
  <c r="I9" i="1"/>
  <c r="I8" i="1"/>
  <c r="I7" i="1"/>
  <c r="E53" i="1" l="1"/>
  <c r="E39" i="1"/>
  <c r="E30" i="1"/>
  <c r="E9" i="1"/>
</calcChain>
</file>

<file path=xl/sharedStrings.xml><?xml version="1.0" encoding="utf-8"?>
<sst xmlns="http://schemas.openxmlformats.org/spreadsheetml/2006/main" count="207" uniqueCount="48">
  <si>
    <t>Summary table for 5HT1A [35S]GTPgS assay</t>
  </si>
  <si>
    <t xml:space="preserve">passages </t>
  </si>
  <si>
    <t xml:space="preserve">Data checked </t>
  </si>
  <si>
    <t>34485-34494</t>
  </si>
  <si>
    <t xml:space="preserve">NIDA </t>
  </si>
  <si>
    <t>p17,18</t>
  </si>
  <si>
    <t xml:space="preserve">These drugs may be sticky. Run on 'tips' program next time </t>
  </si>
  <si>
    <t xml:space="preserve">actual values from tops of curve data </t>
  </si>
  <si>
    <t>I forgot to run on 'tips' program on 6/27/24</t>
  </si>
  <si>
    <t>Serotonin</t>
  </si>
  <si>
    <t>Date</t>
  </si>
  <si>
    <t>EC50</t>
  </si>
  <si>
    <t>ave</t>
  </si>
  <si>
    <t>sem</t>
  </si>
  <si>
    <t>5HT % max</t>
  </si>
  <si>
    <t>ave %</t>
  </si>
  <si>
    <t>log EC50</t>
  </si>
  <si>
    <t>DONE</t>
  </si>
  <si>
    <t>excluded</t>
  </si>
  <si>
    <t>-6</t>
  </si>
  <si>
    <t>-7</t>
  </si>
  <si>
    <t>KEEP -6</t>
  </si>
  <si>
    <t>no value</t>
  </si>
  <si>
    <t>done</t>
  </si>
  <si>
    <t>-5</t>
  </si>
  <si>
    <t>5        DONE</t>
  </si>
  <si>
    <t>6        DONE</t>
  </si>
  <si>
    <t>34489 - Antag?</t>
  </si>
  <si>
    <t>Keep -5</t>
  </si>
  <si>
    <t>flat</t>
  </si>
  <si>
    <t>flat no value</t>
  </si>
  <si>
    <t>-5   DO -5 &amp;-6</t>
  </si>
  <si>
    <t>outlier</t>
  </si>
  <si>
    <t>-6  KEEP -6</t>
  </si>
  <si>
    <t>WAY100,635</t>
  </si>
  <si>
    <t>% inhibition</t>
  </si>
  <si>
    <t>log IC50</t>
  </si>
  <si>
    <t>IC50</t>
  </si>
  <si>
    <t>forgot to run tips program</t>
  </si>
  <si>
    <t>Data checked 9/18/24</t>
  </si>
  <si>
    <t>Missed when adding to Table</t>
  </si>
  <si>
    <t>37.13*</t>
  </si>
  <si>
    <t>Significant outlier Grubbs (%max)</t>
  </si>
  <si>
    <t>p17</t>
  </si>
  <si>
    <r>
      <t>GTP</t>
    </r>
    <r>
      <rPr>
        <b/>
        <sz val="11"/>
        <color rgb="FFFF0000"/>
        <rFont val="Symbol"/>
        <family val="1"/>
        <charset val="2"/>
      </rPr>
      <t>g</t>
    </r>
    <r>
      <rPr>
        <b/>
        <sz val="11"/>
        <color rgb="FFFF0000"/>
        <rFont val="Calibri"/>
        <family val="2"/>
        <scheme val="minor"/>
      </rPr>
      <t>S IC50</t>
    </r>
  </si>
  <si>
    <t>Is this 34488</t>
  </si>
  <si>
    <t xml:space="preserve">no value </t>
  </si>
  <si>
    <t>7/15/24 - bad assay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</si>
</sst>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m/d/yy;@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rgb="FF494949"/>
      <name val="Helvetica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6"/>
      <name val="Arial"/>
      <family val="2"/>
    </font>
    <font>
      <sz val="11"/>
      <color rgb="FFFF0000"/>
      <name val="Calibri (Body)"/>
    </font>
    <font>
      <b/>
      <sz val="11"/>
      <color rgb="FFFF0000"/>
      <name val="Calibri"/>
      <family val="2"/>
      <scheme val="minor"/>
    </font>
    <font>
      <sz val="13"/>
      <name val="Helvetica"/>
      <family val="2"/>
    </font>
    <font>
      <sz val="8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name val="Arial"/>
      <family val="2"/>
    </font>
    <font>
      <b/>
      <sz val="11"/>
      <color rgb="FFFF0000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7" fontId="0" fillId="0" borderId="0" xfId="0" quotePrefix="1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0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66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14" fontId="6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165" fontId="0" fillId="0" borderId="0" xfId="0" applyNumberFormat="1" applyAlignment="1">
      <alignment horizontal="center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/>
    <xf numFmtId="165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0" xfId="0" applyFont="1"/>
    <xf numFmtId="0" fontId="10" fillId="0" borderId="0" xfId="0" applyFont="1"/>
    <xf numFmtId="0" fontId="11" fillId="0" borderId="0" xfId="0" quotePrefix="1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quotePrefix="1" applyFont="1" applyAlignment="1">
      <alignment horizontal="left"/>
    </xf>
    <xf numFmtId="0" fontId="13" fillId="0" borderId="0" xfId="0" applyFont="1" applyAlignment="1">
      <alignment horizontal="center"/>
    </xf>
    <xf numFmtId="10" fontId="14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10" fontId="1" fillId="2" borderId="0" xfId="0" applyNumberFormat="1" applyFont="1" applyFill="1" applyAlignment="1">
      <alignment horizontal="center"/>
    </xf>
    <xf numFmtId="14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8"/>
  <sheetViews>
    <sheetView workbookViewId="0">
      <selection activeCell="A57" sqref="A57"/>
    </sheetView>
  </sheetViews>
  <sheetFormatPr defaultColWidth="8.85546875" defaultRowHeight="15"/>
  <cols>
    <col min="1" max="1" width="15.7109375" style="1" customWidth="1"/>
    <col min="2" max="2" width="14.85546875" style="2" customWidth="1"/>
    <col min="3" max="3" width="10.7109375" style="2" customWidth="1"/>
    <col min="4" max="4" width="8.85546875" style="3"/>
    <col min="5" max="5" width="8.85546875" style="2"/>
    <col min="6" max="6" width="10.7109375" style="2" customWidth="1"/>
    <col min="7" max="7" width="8.7109375" style="2" customWidth="1"/>
    <col min="8" max="9" width="8.85546875" style="2"/>
    <col min="10" max="13" width="0" hidden="1" customWidth="1"/>
    <col min="15" max="15" width="12" style="16" customWidth="1"/>
    <col min="16" max="16" width="9.7109375" bestFit="1" customWidth="1"/>
    <col min="18" max="18" width="11.85546875" customWidth="1"/>
    <col min="19" max="19" width="10.5703125" customWidth="1"/>
  </cols>
  <sheetData>
    <row r="1" spans="1:19">
      <c r="A1" s="1" t="s">
        <v>0</v>
      </c>
      <c r="D1" s="3" t="s">
        <v>1</v>
      </c>
      <c r="F1" s="2" t="s">
        <v>39</v>
      </c>
      <c r="J1" s="21"/>
      <c r="S1" s="1" t="s">
        <v>2</v>
      </c>
    </row>
    <row r="2" spans="1:19">
      <c r="A2" s="4" t="s">
        <v>3</v>
      </c>
      <c r="B2" s="2" t="s">
        <v>4</v>
      </c>
      <c r="C2" s="2" t="s">
        <v>5</v>
      </c>
      <c r="R2" s="16"/>
      <c r="S2" s="50">
        <v>45419</v>
      </c>
    </row>
    <row r="3" spans="1:19">
      <c r="A3" s="4"/>
      <c r="S3" s="50">
        <v>45427</v>
      </c>
    </row>
    <row r="4" spans="1:19">
      <c r="A4" s="1" t="s">
        <v>6</v>
      </c>
      <c r="O4" s="19" t="s">
        <v>7</v>
      </c>
      <c r="S4" s="50">
        <v>45432</v>
      </c>
    </row>
    <row r="5" spans="1:19">
      <c r="A5" s="5" t="s">
        <v>8</v>
      </c>
      <c r="O5" s="19"/>
      <c r="S5" s="50">
        <v>45475</v>
      </c>
    </row>
    <row r="6" spans="1:19">
      <c r="A6" s="1" t="s">
        <v>9</v>
      </c>
      <c r="B6" s="2" t="s">
        <v>10</v>
      </c>
      <c r="C6" s="2" t="s">
        <v>11</v>
      </c>
      <c r="D6" s="3" t="s">
        <v>12</v>
      </c>
      <c r="E6" s="2" t="s">
        <v>13</v>
      </c>
      <c r="F6" s="2" t="s">
        <v>14</v>
      </c>
      <c r="G6" s="2" t="s">
        <v>15</v>
      </c>
      <c r="H6" s="2" t="s">
        <v>13</v>
      </c>
      <c r="I6" s="2" t="s">
        <v>16</v>
      </c>
      <c r="M6" s="20"/>
      <c r="N6" s="20"/>
      <c r="O6" s="22" t="s">
        <v>14</v>
      </c>
      <c r="S6" s="50">
        <v>45503</v>
      </c>
    </row>
    <row r="7" spans="1:19" ht="16.5">
      <c r="A7" s="6">
        <v>-7</v>
      </c>
      <c r="B7" s="7">
        <v>45419</v>
      </c>
      <c r="C7" s="8">
        <v>3.669</v>
      </c>
      <c r="D7" s="3">
        <f>AVERAGE(C7:C14)</f>
        <v>3.3045000000000009</v>
      </c>
      <c r="E7" s="8">
        <f>STDEV(C7:C14)/SQRT(COUNT(C7:C14))</f>
        <v>0.44917161849024007</v>
      </c>
      <c r="F7" s="2">
        <v>100</v>
      </c>
      <c r="G7" s="31">
        <f>AVERAGE(F7:F14)</f>
        <v>100</v>
      </c>
      <c r="H7" s="15">
        <f>STDEV(F7:F14)/SQRT(COUNT(F7:F14))</f>
        <v>0</v>
      </c>
      <c r="I7" s="2">
        <f t="shared" ref="I7:I8" si="0">LOG(C7*0.000000001)</f>
        <v>-8.4354522882440524</v>
      </c>
      <c r="J7" s="10"/>
      <c r="O7" s="16">
        <v>100</v>
      </c>
    </row>
    <row r="8" spans="1:19">
      <c r="A8" s="6"/>
      <c r="B8" s="7">
        <v>45419</v>
      </c>
      <c r="C8" s="37">
        <v>2.794</v>
      </c>
      <c r="F8" s="2">
        <v>100</v>
      </c>
      <c r="I8" s="2">
        <f t="shared" si="0"/>
        <v>-8.5537735982218361</v>
      </c>
      <c r="O8" s="16">
        <v>100</v>
      </c>
      <c r="S8" s="34" t="s">
        <v>47</v>
      </c>
    </row>
    <row r="9" spans="1:19">
      <c r="A9" s="6"/>
      <c r="B9" s="7">
        <v>45427</v>
      </c>
      <c r="C9" s="37">
        <v>4.2270000000000003</v>
      </c>
      <c r="E9" s="45">
        <f>E7/D7</f>
        <v>0.13592725631418973</v>
      </c>
      <c r="F9" s="2">
        <v>100</v>
      </c>
      <c r="I9" s="2">
        <f>LOG(C9*0.000000001)</f>
        <v>-8.3739677521709819</v>
      </c>
    </row>
    <row r="10" spans="1:19">
      <c r="A10" s="6"/>
      <c r="B10" s="12">
        <v>45427</v>
      </c>
      <c r="C10" s="37">
        <v>4.3460000000000001</v>
      </c>
      <c r="E10" s="11"/>
      <c r="F10" s="2">
        <v>100</v>
      </c>
      <c r="I10" s="2">
        <f t="shared" ref="I10:I15" si="1">LOG(C10*0.000000001)</f>
        <v>-8.361910278015495</v>
      </c>
    </row>
    <row r="11" spans="1:19">
      <c r="A11" s="42" t="s">
        <v>17</v>
      </c>
      <c r="B11" s="7">
        <v>45432</v>
      </c>
      <c r="C11" s="37">
        <v>5.242</v>
      </c>
      <c r="E11" s="31"/>
      <c r="F11" s="2">
        <v>100</v>
      </c>
      <c r="I11" s="2">
        <f t="shared" si="1"/>
        <v>-8.2805029833894181</v>
      </c>
    </row>
    <row r="12" spans="1:19">
      <c r="B12" s="7">
        <v>45475</v>
      </c>
      <c r="C12" s="37">
        <v>2.6379999999999999</v>
      </c>
      <c r="E12" s="31"/>
      <c r="F12" s="2">
        <v>100</v>
      </c>
      <c r="I12" s="2">
        <f t="shared" si="1"/>
        <v>-8.5787252087896526</v>
      </c>
    </row>
    <row r="13" spans="1:19">
      <c r="B13" s="7">
        <v>45503</v>
      </c>
      <c r="C13" s="37">
        <v>1.76</v>
      </c>
      <c r="E13" s="31"/>
      <c r="F13" s="2">
        <v>100</v>
      </c>
      <c r="G13" s="44"/>
      <c r="I13" s="2">
        <f t="shared" si="1"/>
        <v>-8.7544873321858496</v>
      </c>
    </row>
    <row r="14" spans="1:19">
      <c r="B14" s="7">
        <v>45503</v>
      </c>
      <c r="C14" s="37">
        <v>1.76</v>
      </c>
      <c r="E14" s="31"/>
      <c r="F14" s="2">
        <v>100</v>
      </c>
      <c r="I14" s="2">
        <f t="shared" si="1"/>
        <v>-8.7544873321858496</v>
      </c>
    </row>
    <row r="15" spans="1:19">
      <c r="A15" s="41" t="s">
        <v>38</v>
      </c>
      <c r="B15" s="24">
        <v>45470</v>
      </c>
      <c r="C15" s="16">
        <v>4.3310000000000004</v>
      </c>
      <c r="D15" s="33" t="s">
        <v>18</v>
      </c>
      <c r="E15" s="35"/>
      <c r="F15" s="16">
        <v>100</v>
      </c>
      <c r="I15" s="2">
        <f t="shared" si="1"/>
        <v>-8.3634118162701583</v>
      </c>
    </row>
    <row r="17" spans="1:16">
      <c r="A17" s="13">
        <v>34485</v>
      </c>
      <c r="B17" s="38" t="s">
        <v>10</v>
      </c>
      <c r="C17" s="9" t="s">
        <v>11</v>
      </c>
      <c r="D17" s="15" t="s">
        <v>12</v>
      </c>
      <c r="E17" s="9" t="s">
        <v>13</v>
      </c>
      <c r="F17" s="9" t="s">
        <v>14</v>
      </c>
      <c r="G17" s="9" t="s">
        <v>15</v>
      </c>
      <c r="H17" s="9" t="s">
        <v>13</v>
      </c>
      <c r="I17" s="9" t="s">
        <v>16</v>
      </c>
      <c r="J17" s="39"/>
      <c r="K17" s="39"/>
      <c r="L17" s="39"/>
      <c r="M17" s="39"/>
      <c r="N17" s="39"/>
      <c r="O17" s="9" t="s">
        <v>14</v>
      </c>
    </row>
    <row r="18" spans="1:16">
      <c r="A18" s="29" t="s">
        <v>19</v>
      </c>
      <c r="B18" s="12">
        <v>45427</v>
      </c>
      <c r="C18" s="15">
        <v>1.57</v>
      </c>
      <c r="D18" s="15">
        <f>AVERAGE(C18:C21)</f>
        <v>4.13</v>
      </c>
      <c r="E18" s="15">
        <f>STDEV(C18:C21)/SQRT(COUNT(C18:C21))</f>
        <v>1.125229532139999</v>
      </c>
      <c r="F18" s="9">
        <v>85.06</v>
      </c>
      <c r="G18" s="15">
        <f>AVERAGE(F18:F21)</f>
        <v>88.447499999999991</v>
      </c>
      <c r="H18" s="15">
        <f>STDEV(F18:F21)/SQRT(COUNT(F18:F21))</f>
        <v>2.4729414840091413</v>
      </c>
      <c r="I18" s="9">
        <f>LOG(C18*0.000000001)</f>
        <v>-8.8041003475907669</v>
      </c>
      <c r="J18" s="39"/>
      <c r="K18" s="39"/>
      <c r="L18" s="39"/>
      <c r="M18" s="39"/>
      <c r="N18" s="39"/>
      <c r="O18" s="9">
        <v>80.569999999999993</v>
      </c>
    </row>
    <row r="19" spans="1:16" ht="16.5">
      <c r="A19" s="29" t="s">
        <v>20</v>
      </c>
      <c r="B19" s="12">
        <v>45432</v>
      </c>
      <c r="C19" s="15">
        <v>4.0419999999999998</v>
      </c>
      <c r="D19" s="15"/>
      <c r="E19" s="28"/>
      <c r="F19" s="9">
        <v>83.39</v>
      </c>
      <c r="G19" s="9"/>
      <c r="H19" s="9"/>
      <c r="I19" s="9">
        <f t="shared" ref="I19:I23" si="2">LOG(C19*0.000000001)</f>
        <v>-8.3934036908207155</v>
      </c>
      <c r="J19" s="40"/>
      <c r="K19" s="39"/>
      <c r="L19" s="39"/>
      <c r="M19" s="9"/>
      <c r="N19" s="9"/>
      <c r="O19" s="9">
        <v>86.22</v>
      </c>
    </row>
    <row r="20" spans="1:16" ht="16.5">
      <c r="A20" s="29" t="s">
        <v>21</v>
      </c>
      <c r="B20" s="12">
        <v>45475</v>
      </c>
      <c r="C20" s="15">
        <v>3.8530000000000002</v>
      </c>
      <c r="D20" s="15"/>
      <c r="E20" s="45">
        <f>E18/D18</f>
        <v>0.27245267122033873</v>
      </c>
      <c r="F20" s="9">
        <v>92.09</v>
      </c>
      <c r="G20" s="9"/>
      <c r="H20" s="9"/>
      <c r="I20" s="9">
        <f t="shared" si="2"/>
        <v>-8.4142009909869984</v>
      </c>
      <c r="J20" s="40"/>
      <c r="K20" s="39"/>
      <c r="L20" s="39"/>
      <c r="M20" s="9"/>
      <c r="N20" s="9"/>
      <c r="O20" s="9"/>
    </row>
    <row r="21" spans="1:16" ht="16.5">
      <c r="A21" s="29"/>
      <c r="B21" s="12">
        <v>45475</v>
      </c>
      <c r="C21" s="15">
        <v>7.0549999999999997</v>
      </c>
      <c r="D21" s="15"/>
      <c r="E21" s="28"/>
      <c r="F21" s="9">
        <v>93.25</v>
      </c>
      <c r="G21" s="9"/>
      <c r="H21" s="9"/>
      <c r="I21" s="9">
        <f t="shared" si="2"/>
        <v>-8.1515029819096334</v>
      </c>
      <c r="J21" s="40"/>
      <c r="K21" s="39"/>
      <c r="L21" s="39"/>
      <c r="M21" s="9"/>
      <c r="N21" s="9"/>
      <c r="O21" s="9"/>
    </row>
    <row r="22" spans="1:16" ht="16.5">
      <c r="A22" s="42" t="s">
        <v>17</v>
      </c>
      <c r="B22" s="24">
        <v>45419</v>
      </c>
      <c r="C22" s="16" t="s">
        <v>22</v>
      </c>
      <c r="D22" s="33" t="s">
        <v>18</v>
      </c>
      <c r="E22" s="17"/>
      <c r="F22" s="9"/>
      <c r="G22" s="9"/>
      <c r="H22" s="9"/>
      <c r="I22" s="9"/>
      <c r="J22" s="40"/>
      <c r="K22" s="39"/>
      <c r="L22" s="39"/>
      <c r="M22" s="9"/>
      <c r="N22" s="9"/>
      <c r="O22" s="9"/>
    </row>
    <row r="23" spans="1:16">
      <c r="A23" s="41" t="s">
        <v>38</v>
      </c>
      <c r="B23" s="24">
        <v>45470</v>
      </c>
      <c r="C23" s="33">
        <v>34.19</v>
      </c>
      <c r="D23" s="15"/>
      <c r="E23" s="28"/>
      <c r="F23" s="9"/>
      <c r="G23" s="9"/>
      <c r="H23" s="9"/>
      <c r="I23" s="9">
        <f t="shared" si="2"/>
        <v>-7.466100899203405</v>
      </c>
      <c r="J23" s="39"/>
      <c r="K23" s="39"/>
      <c r="L23" s="39"/>
      <c r="M23" s="39"/>
      <c r="N23" s="39"/>
      <c r="O23" s="9"/>
    </row>
    <row r="24" spans="1:16">
      <c r="A24" s="23"/>
      <c r="B24" s="24"/>
      <c r="C24" s="33"/>
      <c r="D24" s="33"/>
      <c r="E24" s="35"/>
      <c r="F24" s="16"/>
      <c r="G24" s="16"/>
      <c r="H24" s="16"/>
      <c r="I24" s="16"/>
      <c r="J24" s="34"/>
      <c r="K24" s="34"/>
      <c r="L24" s="34"/>
      <c r="M24" s="34"/>
      <c r="N24" s="34"/>
    </row>
    <row r="25" spans="1:16">
      <c r="A25" s="32"/>
      <c r="B25" s="24"/>
      <c r="C25" s="16"/>
      <c r="E25" s="11"/>
    </row>
    <row r="26" spans="1:16">
      <c r="A26" s="13">
        <v>34486</v>
      </c>
      <c r="B26" s="38" t="s">
        <v>10</v>
      </c>
      <c r="C26" s="9" t="s">
        <v>11</v>
      </c>
      <c r="D26" s="15" t="s">
        <v>12</v>
      </c>
      <c r="E26" s="9" t="s">
        <v>13</v>
      </c>
      <c r="F26" s="9" t="s">
        <v>14</v>
      </c>
      <c r="G26" s="9" t="s">
        <v>15</v>
      </c>
      <c r="H26" s="9" t="s">
        <v>13</v>
      </c>
      <c r="I26" s="9" t="s">
        <v>16</v>
      </c>
      <c r="J26" s="9" t="s">
        <v>23</v>
      </c>
      <c r="K26" s="39"/>
      <c r="L26" s="39"/>
      <c r="M26" s="39"/>
      <c r="N26" s="39"/>
      <c r="O26" s="9" t="s">
        <v>14</v>
      </c>
    </row>
    <row r="27" spans="1:16">
      <c r="A27" s="29" t="s">
        <v>19</v>
      </c>
      <c r="B27" s="12">
        <v>45419</v>
      </c>
      <c r="C27" s="9">
        <v>8.9</v>
      </c>
      <c r="D27" s="15">
        <f>AVERAGE(C27:C31)</f>
        <v>33.299999999999997</v>
      </c>
      <c r="E27" s="15">
        <f>STDEV(C27:C31)/SQRT(COUNT(C27:C31))</f>
        <v>8.2282215575420636</v>
      </c>
      <c r="F27" s="16">
        <v>79.92</v>
      </c>
      <c r="G27" s="15">
        <f>AVERAGE(F27:F32)</f>
        <v>89.634</v>
      </c>
      <c r="H27" s="15">
        <f>STDEV(F27:F32)/SQRT(COUNT(F27:F32))</f>
        <v>3.0456634745158562</v>
      </c>
      <c r="I27" s="9">
        <f>LOG(C27*0.000000001)</f>
        <v>-8.0506099933550868</v>
      </c>
      <c r="J27" s="39"/>
      <c r="K27" s="39"/>
      <c r="L27" s="39"/>
      <c r="M27" s="39"/>
      <c r="N27" s="39"/>
      <c r="O27" s="9">
        <v>92.03</v>
      </c>
    </row>
    <row r="28" spans="1:16">
      <c r="A28" s="29" t="s">
        <v>24</v>
      </c>
      <c r="B28" s="12">
        <v>45427</v>
      </c>
      <c r="C28" s="9">
        <v>25.47</v>
      </c>
      <c r="D28" s="15"/>
      <c r="E28" s="9"/>
      <c r="F28" s="16">
        <v>90.27</v>
      </c>
      <c r="G28" s="9"/>
      <c r="H28" s="9"/>
      <c r="I28" s="9">
        <f t="shared" ref="I28:I34" si="3">LOG(C28*0.000000001)</f>
        <v>-7.593971055036385</v>
      </c>
      <c r="J28" s="39"/>
      <c r="K28" s="39"/>
      <c r="L28" s="39"/>
      <c r="M28" s="39"/>
      <c r="N28" s="39"/>
      <c r="O28" s="9">
        <v>73.13</v>
      </c>
    </row>
    <row r="29" spans="1:16">
      <c r="A29" s="29"/>
      <c r="B29" s="12">
        <v>45432</v>
      </c>
      <c r="C29" s="16">
        <v>57.07</v>
      </c>
      <c r="D29" s="15"/>
      <c r="E29" s="9"/>
      <c r="F29" s="16">
        <v>87.06</v>
      </c>
      <c r="G29" s="9"/>
      <c r="H29" s="9"/>
      <c r="I29" s="9">
        <f t="shared" si="3"/>
        <v>-7.2435921274510422</v>
      </c>
      <c r="J29" s="39"/>
      <c r="K29" s="39"/>
      <c r="L29" s="39"/>
      <c r="M29" s="39"/>
      <c r="N29" s="39"/>
      <c r="O29" s="9"/>
      <c r="P29" s="34" t="s">
        <v>40</v>
      </c>
    </row>
    <row r="30" spans="1:16">
      <c r="A30" s="30" t="s">
        <v>21</v>
      </c>
      <c r="B30" s="12">
        <v>45432</v>
      </c>
      <c r="C30" s="9">
        <v>44.48</v>
      </c>
      <c r="D30" s="15"/>
      <c r="E30" s="45">
        <f>E27/D27</f>
        <v>0.24709374046672866</v>
      </c>
      <c r="F30" s="16">
        <v>98.31</v>
      </c>
      <c r="G30" s="15"/>
      <c r="H30" s="15"/>
      <c r="I30" s="9">
        <f t="shared" si="3"/>
        <v>-7.3518352214259988</v>
      </c>
      <c r="J30" s="39"/>
      <c r="K30" s="39"/>
      <c r="L30" s="39"/>
      <c r="M30" s="39"/>
      <c r="N30" s="39"/>
      <c r="O30" s="9"/>
      <c r="P30" s="34"/>
    </row>
    <row r="31" spans="1:16">
      <c r="A31" s="42" t="s">
        <v>17</v>
      </c>
      <c r="B31" s="12">
        <v>45475</v>
      </c>
      <c r="C31" s="9">
        <v>30.58</v>
      </c>
      <c r="D31" s="15"/>
      <c r="E31" s="17"/>
      <c r="F31" s="9">
        <v>92.61</v>
      </c>
      <c r="G31" s="15"/>
      <c r="H31" s="15"/>
      <c r="I31" s="9">
        <f t="shared" si="3"/>
        <v>-7.5145625189236984</v>
      </c>
      <c r="J31" s="39"/>
      <c r="K31" s="39"/>
      <c r="L31" s="39"/>
      <c r="M31" s="39"/>
      <c r="N31" s="39"/>
      <c r="O31" s="9"/>
    </row>
    <row r="32" spans="1:16">
      <c r="A32" s="42"/>
      <c r="B32" s="24">
        <v>45475</v>
      </c>
      <c r="C32" s="16">
        <v>30.82</v>
      </c>
      <c r="D32" s="33"/>
      <c r="E32" s="36"/>
      <c r="F32" s="16" t="s">
        <v>41</v>
      </c>
      <c r="G32" s="33"/>
      <c r="H32" s="33"/>
      <c r="I32" s="16">
        <f t="shared" si="3"/>
        <v>-7.5111673656175997</v>
      </c>
      <c r="J32" s="34"/>
      <c r="K32" s="34"/>
      <c r="L32" s="34"/>
      <c r="M32" s="34"/>
      <c r="N32" s="34"/>
      <c r="O32" s="25" t="s">
        <v>45</v>
      </c>
      <c r="P32" s="34" t="s">
        <v>42</v>
      </c>
    </row>
    <row r="33" spans="1:15">
      <c r="A33" s="41" t="s">
        <v>38</v>
      </c>
      <c r="B33" s="24">
        <v>45470</v>
      </c>
      <c r="C33" s="16">
        <v>2.0369999999999999</v>
      </c>
      <c r="D33" s="33" t="s">
        <v>18</v>
      </c>
      <c r="E33" s="36"/>
      <c r="F33" s="16">
        <v>100</v>
      </c>
      <c r="G33" s="33"/>
      <c r="H33" s="33"/>
      <c r="I33" s="9">
        <f t="shared" si="3"/>
        <v>-8.6910089709998353</v>
      </c>
    </row>
    <row r="34" spans="1:15">
      <c r="A34" s="41" t="s">
        <v>38</v>
      </c>
      <c r="B34" s="24">
        <v>45470</v>
      </c>
      <c r="C34" s="16">
        <v>80.58</v>
      </c>
      <c r="D34" s="33"/>
      <c r="E34" s="36"/>
      <c r="F34" s="16">
        <v>100</v>
      </c>
      <c r="G34" s="3"/>
      <c r="H34" s="3"/>
      <c r="I34" s="9">
        <f t="shared" si="3"/>
        <v>-7.0937727369476411</v>
      </c>
    </row>
    <row r="35" spans="1:15">
      <c r="A35" s="6"/>
      <c r="B35" s="24"/>
      <c r="C35" s="16"/>
      <c r="D35" s="33"/>
      <c r="E35" s="36"/>
      <c r="F35" s="16"/>
      <c r="G35" s="3"/>
      <c r="H35" s="3"/>
    </row>
    <row r="36" spans="1:15">
      <c r="A36" s="13">
        <v>34487</v>
      </c>
      <c r="B36" s="14" t="s">
        <v>10</v>
      </c>
      <c r="C36" s="2" t="s">
        <v>11</v>
      </c>
      <c r="D36" s="3" t="s">
        <v>12</v>
      </c>
      <c r="E36" s="2" t="s">
        <v>13</v>
      </c>
      <c r="F36" s="2" t="s">
        <v>14</v>
      </c>
      <c r="G36" s="2" t="s">
        <v>15</v>
      </c>
      <c r="H36" s="2" t="s">
        <v>13</v>
      </c>
      <c r="I36" s="2" t="s">
        <v>16</v>
      </c>
      <c r="O36" s="16" t="s">
        <v>14</v>
      </c>
    </row>
    <row r="37" spans="1:15">
      <c r="A37" s="6" t="s">
        <v>19</v>
      </c>
      <c r="B37" s="7">
        <v>45419</v>
      </c>
      <c r="C37" s="28">
        <v>26.29</v>
      </c>
      <c r="D37" s="31">
        <f>AVERAGE(C37:C40)</f>
        <v>55.063333333333333</v>
      </c>
      <c r="E37" s="31">
        <f>STDEV(C37:C40)/SQRT(COUNT(C37:C40))</f>
        <v>15.049374664011056</v>
      </c>
      <c r="F37" s="2">
        <v>100</v>
      </c>
      <c r="G37" s="3">
        <f>AVERAGE(F37:F40)</f>
        <v>97.46</v>
      </c>
      <c r="H37" s="3">
        <f>STDEV(F37:F40)/SQRT(COUNT(F37:F40))</f>
        <v>2.5400000000000018</v>
      </c>
      <c r="I37" s="2">
        <f t="shared" ref="I37:I39" si="4">LOG(C37*0.000000001)</f>
        <v>-7.5802094138936376</v>
      </c>
      <c r="J37" t="s">
        <v>23</v>
      </c>
      <c r="O37" s="16">
        <v>78.67</v>
      </c>
    </row>
    <row r="38" spans="1:15">
      <c r="A38" s="6"/>
      <c r="B38" s="7">
        <v>45427</v>
      </c>
      <c r="C38" s="28">
        <v>61.8</v>
      </c>
      <c r="F38" s="2">
        <v>92.38</v>
      </c>
      <c r="I38" s="2">
        <f t="shared" si="4"/>
        <v>-7.2090115249111841</v>
      </c>
      <c r="O38" s="16">
        <v>69.94</v>
      </c>
    </row>
    <row r="39" spans="1:15">
      <c r="A39" s="43" t="s">
        <v>25</v>
      </c>
      <c r="B39" s="7">
        <v>45432</v>
      </c>
      <c r="C39" s="28">
        <v>77.099999999999994</v>
      </c>
      <c r="E39" s="45">
        <f>E37/D37</f>
        <v>0.27331027297071958</v>
      </c>
      <c r="F39" s="2">
        <v>100</v>
      </c>
      <c r="I39" s="2">
        <f t="shared" si="4"/>
        <v>-7.1129456219490432</v>
      </c>
    </row>
    <row r="40" spans="1:15">
      <c r="B40" s="7"/>
      <c r="C40" s="9"/>
      <c r="E40" s="31"/>
    </row>
    <row r="41" spans="1:15">
      <c r="A41" s="13">
        <v>34488</v>
      </c>
      <c r="B41" s="38" t="s">
        <v>10</v>
      </c>
      <c r="C41" s="9" t="s">
        <v>11</v>
      </c>
      <c r="D41" s="15" t="s">
        <v>12</v>
      </c>
      <c r="E41" s="9" t="s">
        <v>13</v>
      </c>
      <c r="F41" s="9" t="s">
        <v>14</v>
      </c>
      <c r="G41" s="9" t="s">
        <v>15</v>
      </c>
      <c r="H41" s="9" t="s">
        <v>13</v>
      </c>
      <c r="I41" s="9" t="s">
        <v>16</v>
      </c>
      <c r="J41" s="39"/>
      <c r="K41" s="39"/>
      <c r="L41" s="39"/>
      <c r="M41" s="39"/>
      <c r="N41" s="39"/>
      <c r="O41" s="9" t="s">
        <v>14</v>
      </c>
    </row>
    <row r="42" spans="1:15">
      <c r="A42" s="29" t="s">
        <v>19</v>
      </c>
      <c r="B42" s="12">
        <v>45419</v>
      </c>
      <c r="C42" s="9">
        <v>41.25</v>
      </c>
      <c r="D42" s="15">
        <f>AVERAGE(C42:C46)</f>
        <v>23.027200000000001</v>
      </c>
      <c r="E42" s="15">
        <f>STDEV(C42:C46)/SQRT(COUNT(C42:C46))</f>
        <v>6.9924823803853799</v>
      </c>
      <c r="F42" s="9">
        <v>55.2</v>
      </c>
      <c r="G42" s="33">
        <f>AVERAGE(F42:F46)</f>
        <v>45.786000000000001</v>
      </c>
      <c r="H42" s="15">
        <f>STDEV(F42:F46)/SQRT(COUNT(F42:F46))</f>
        <v>6.8825682706385081</v>
      </c>
      <c r="I42" s="9">
        <f t="shared" ref="I42:I43" si="5">LOG(C42*0.000000001)</f>
        <v>-7.3845760471140558</v>
      </c>
      <c r="J42" s="39"/>
      <c r="K42" s="39"/>
      <c r="L42" s="39"/>
      <c r="M42" s="39"/>
      <c r="N42" s="39"/>
      <c r="O42" s="9">
        <v>86.22</v>
      </c>
    </row>
    <row r="43" spans="1:15">
      <c r="A43" s="29"/>
      <c r="B43" s="12">
        <v>45427</v>
      </c>
      <c r="C43" s="9">
        <v>12.44</v>
      </c>
      <c r="D43" s="15"/>
      <c r="E43" s="28"/>
      <c r="F43" s="9">
        <v>36.58</v>
      </c>
      <c r="G43" s="9"/>
      <c r="H43" s="9"/>
      <c r="I43" s="9">
        <f t="shared" si="5"/>
        <v>-7.9051796196452004</v>
      </c>
      <c r="J43" s="39"/>
      <c r="K43" s="39"/>
      <c r="L43" s="39"/>
      <c r="M43" s="39"/>
      <c r="N43" s="39"/>
      <c r="O43" s="9">
        <v>80.680000000000007</v>
      </c>
    </row>
    <row r="44" spans="1:15">
      <c r="A44" s="29" t="s">
        <v>21</v>
      </c>
      <c r="B44" s="12">
        <v>45432</v>
      </c>
      <c r="C44" s="9">
        <v>14.08</v>
      </c>
      <c r="D44" s="15"/>
      <c r="E44" s="45">
        <f>E42/D42</f>
        <v>0.30366185990417333</v>
      </c>
      <c r="F44" s="9">
        <v>23.15</v>
      </c>
      <c r="G44" s="9"/>
      <c r="H44" s="9"/>
      <c r="I44" s="9">
        <f>LOG(C44*0.000000001)</f>
        <v>-7.8513973451939068</v>
      </c>
      <c r="J44" s="39"/>
      <c r="K44" s="39"/>
      <c r="L44" s="39"/>
      <c r="M44" s="39"/>
      <c r="N44" s="39"/>
      <c r="O44" s="9"/>
    </row>
    <row r="45" spans="1:15">
      <c r="A45" s="29"/>
      <c r="B45" s="12">
        <v>45503</v>
      </c>
      <c r="C45" s="9">
        <v>8.6359999999999992</v>
      </c>
      <c r="D45" s="15"/>
      <c r="E45" s="17"/>
      <c r="F45" s="9">
        <v>59.25</v>
      </c>
      <c r="G45" s="9"/>
      <c r="H45" s="9"/>
      <c r="I45" s="9"/>
      <c r="J45" s="39"/>
      <c r="K45" s="39"/>
      <c r="L45" s="39"/>
      <c r="M45" s="39"/>
      <c r="N45" s="39"/>
      <c r="O45" s="9"/>
    </row>
    <row r="46" spans="1:15">
      <c r="A46" s="29"/>
      <c r="B46" s="12">
        <v>45503</v>
      </c>
      <c r="C46" s="9">
        <v>38.729999999999997</v>
      </c>
      <c r="D46" s="15"/>
      <c r="E46" s="17"/>
      <c r="F46" s="9">
        <v>54.75</v>
      </c>
      <c r="G46" s="9"/>
      <c r="H46" s="9"/>
      <c r="I46" s="9"/>
      <c r="J46" s="39"/>
      <c r="K46" s="39"/>
      <c r="L46" s="39"/>
      <c r="M46" s="39"/>
      <c r="N46" s="39"/>
      <c r="O46" s="9"/>
    </row>
    <row r="47" spans="1:15">
      <c r="A47" s="43" t="s">
        <v>26</v>
      </c>
      <c r="B47" s="12">
        <v>45470</v>
      </c>
      <c r="C47" s="9" t="s">
        <v>46</v>
      </c>
      <c r="D47" s="33"/>
      <c r="E47" s="36"/>
      <c r="F47" s="16"/>
      <c r="G47" s="16"/>
      <c r="H47" s="16"/>
      <c r="I47" s="16"/>
    </row>
    <row r="48" spans="1:15">
      <c r="A48" s="29"/>
      <c r="B48" s="24"/>
      <c r="C48" s="16"/>
      <c r="D48" s="33"/>
      <c r="E48" s="36"/>
      <c r="F48" s="16"/>
      <c r="G48" s="16"/>
      <c r="H48" s="16"/>
      <c r="I48" s="16"/>
    </row>
    <row r="49" spans="1:15">
      <c r="A49" s="6"/>
      <c r="B49" s="7"/>
      <c r="C49" s="9"/>
      <c r="E49" s="11"/>
    </row>
    <row r="50" spans="1:15">
      <c r="A50" s="47" t="s">
        <v>27</v>
      </c>
      <c r="B50" s="14" t="s">
        <v>10</v>
      </c>
      <c r="C50" s="2" t="s">
        <v>11</v>
      </c>
      <c r="D50" s="3" t="s">
        <v>12</v>
      </c>
      <c r="E50" s="2" t="s">
        <v>13</v>
      </c>
      <c r="F50" s="2" t="s">
        <v>14</v>
      </c>
      <c r="G50" s="2" t="s">
        <v>15</v>
      </c>
      <c r="H50" s="2" t="s">
        <v>13</v>
      </c>
      <c r="I50" s="2" t="s">
        <v>16</v>
      </c>
      <c r="O50" s="16" t="s">
        <v>14</v>
      </c>
    </row>
    <row r="51" spans="1:15">
      <c r="A51" s="6" t="s">
        <v>24</v>
      </c>
      <c r="B51" s="7">
        <v>45419</v>
      </c>
      <c r="C51" s="9" t="s">
        <v>22</v>
      </c>
      <c r="D51" s="3" t="e">
        <f>AVERAGE(C51:C53)</f>
        <v>#DIV/0!</v>
      </c>
      <c r="E51" s="3" t="e">
        <f>STDEV(C51:C53)/SQRT(COUNT(C51:C53))</f>
        <v>#DIV/0!</v>
      </c>
      <c r="G51" s="33" t="e">
        <f>AVERAGE(F51:F53)</f>
        <v>#DIV/0!</v>
      </c>
      <c r="H51" s="3" t="e">
        <f>STDEV(F51:F53)/SQRT(COUNT(F51:F53))</f>
        <v>#DIV/0!</v>
      </c>
      <c r="I51" s="2" t="e">
        <f t="shared" ref="I51:I52" si="6">LOG(C51*0.000000001)</f>
        <v>#VALUE!</v>
      </c>
      <c r="O51" s="16">
        <v>86.95</v>
      </c>
    </row>
    <row r="52" spans="1:15">
      <c r="A52" s="29" t="s">
        <v>28</v>
      </c>
      <c r="B52" s="7">
        <v>45427</v>
      </c>
      <c r="C52" s="9" t="s">
        <v>29</v>
      </c>
      <c r="D52" s="15"/>
      <c r="E52" s="31"/>
      <c r="I52" s="2" t="e">
        <f t="shared" si="6"/>
        <v>#VALUE!</v>
      </c>
    </row>
    <row r="53" spans="1:15">
      <c r="A53" s="43" t="s">
        <v>25</v>
      </c>
      <c r="B53" s="7">
        <v>45432</v>
      </c>
      <c r="C53" s="9" t="s">
        <v>30</v>
      </c>
      <c r="E53" s="17" t="e">
        <f>E51/D51</f>
        <v>#DIV/0!</v>
      </c>
      <c r="I53" s="2" t="e">
        <f>LOG(C53*0.000000001)</f>
        <v>#VALUE!</v>
      </c>
    </row>
    <row r="54" spans="1:15">
      <c r="A54" s="13"/>
      <c r="B54" s="14"/>
    </row>
    <row r="55" spans="1:15">
      <c r="A55" s="48">
        <v>34490</v>
      </c>
      <c r="B55" s="38" t="s">
        <v>10</v>
      </c>
      <c r="C55" s="9" t="s">
        <v>11</v>
      </c>
      <c r="D55" s="15" t="s">
        <v>12</v>
      </c>
      <c r="E55" s="9" t="s">
        <v>13</v>
      </c>
      <c r="F55" s="9" t="s">
        <v>14</v>
      </c>
      <c r="G55" s="9" t="s">
        <v>15</v>
      </c>
      <c r="H55" s="9" t="s">
        <v>13</v>
      </c>
      <c r="I55" s="9" t="s">
        <v>16</v>
      </c>
      <c r="J55" s="39"/>
      <c r="K55" s="39"/>
      <c r="L55" s="39"/>
      <c r="M55" s="39"/>
      <c r="N55" s="39"/>
      <c r="O55" s="9" t="s">
        <v>14</v>
      </c>
    </row>
    <row r="56" spans="1:15">
      <c r="A56" s="29" t="s">
        <v>19</v>
      </c>
      <c r="B56" s="12">
        <v>45419</v>
      </c>
      <c r="C56" s="9">
        <v>15.33</v>
      </c>
      <c r="D56" s="15">
        <f>AVERAGE(C56:C59)</f>
        <v>41.99</v>
      </c>
      <c r="E56" s="15">
        <f>STDEV(C56:C59)/SQRT(COUNT(C56:C59))</f>
        <v>10.0601664996162</v>
      </c>
      <c r="F56" s="9">
        <v>100</v>
      </c>
      <c r="G56" s="15">
        <f>AVERAGE(F56:F59)</f>
        <v>94.710000000000008</v>
      </c>
      <c r="H56" s="15">
        <f>STDEV(F56:F59)/SQRT(COUNT(F56:F59))</f>
        <v>3.1293529682667622</v>
      </c>
      <c r="I56" s="9">
        <f t="shared" ref="I56:I57" si="7">LOG(C56*0.000000001)</f>
        <v>-7.8144578451456246</v>
      </c>
      <c r="J56" s="39" t="s">
        <v>23</v>
      </c>
      <c r="K56" s="39"/>
      <c r="L56" s="39"/>
      <c r="M56" s="39"/>
      <c r="N56" s="39"/>
      <c r="O56" s="9">
        <v>56.46</v>
      </c>
    </row>
    <row r="57" spans="1:15">
      <c r="A57" s="29"/>
      <c r="B57" s="12">
        <v>45427</v>
      </c>
      <c r="C57" s="9">
        <v>37.700000000000003</v>
      </c>
      <c r="D57" s="15"/>
      <c r="E57" s="28"/>
      <c r="F57" s="9">
        <v>87.75</v>
      </c>
      <c r="G57" s="9"/>
      <c r="H57" s="9"/>
      <c r="I57" s="9">
        <f t="shared" si="7"/>
        <v>-7.4236586497942074</v>
      </c>
      <c r="J57" s="39"/>
      <c r="K57" s="39"/>
      <c r="L57" s="39"/>
      <c r="M57" s="39"/>
      <c r="N57" s="39"/>
      <c r="O57" s="9"/>
    </row>
    <row r="58" spans="1:15">
      <c r="A58" s="29" t="s">
        <v>31</v>
      </c>
      <c r="B58" s="12">
        <v>45475</v>
      </c>
      <c r="C58" s="9">
        <v>55.68</v>
      </c>
      <c r="D58" s="15"/>
      <c r="E58" s="45">
        <f>E56/D56</f>
        <v>0.2395848178046249</v>
      </c>
      <c r="F58" s="9">
        <v>100</v>
      </c>
      <c r="G58" s="9"/>
      <c r="H58" s="9"/>
      <c r="I58" s="9">
        <f>LOG(C61*0.000000001)</f>
        <v>-6.7073009969560706</v>
      </c>
      <c r="J58" s="39"/>
      <c r="K58" s="39"/>
      <c r="L58" s="39"/>
      <c r="M58" s="39"/>
      <c r="N58" s="39"/>
      <c r="O58" s="9"/>
    </row>
    <row r="59" spans="1:15">
      <c r="A59" s="43" t="s">
        <v>25</v>
      </c>
      <c r="B59" s="12">
        <v>45475</v>
      </c>
      <c r="C59" s="9">
        <v>59.25</v>
      </c>
      <c r="D59" s="15"/>
      <c r="E59" s="17"/>
      <c r="F59" s="9">
        <v>91.09</v>
      </c>
      <c r="G59" s="9"/>
      <c r="H59" s="9"/>
      <c r="I59" s="9"/>
      <c r="J59" s="39"/>
      <c r="K59" s="39"/>
      <c r="L59" s="39"/>
      <c r="M59" s="39"/>
      <c r="N59" s="39"/>
      <c r="O59" s="9"/>
    </row>
    <row r="60" spans="1:15">
      <c r="A60" s="41" t="s">
        <v>38</v>
      </c>
      <c r="B60" s="24">
        <v>45470</v>
      </c>
      <c r="C60" s="16">
        <v>2.4740000000000002</v>
      </c>
      <c r="D60" s="33" t="s">
        <v>18</v>
      </c>
      <c r="E60" s="33"/>
      <c r="F60" s="16">
        <v>100</v>
      </c>
      <c r="G60" s="16"/>
      <c r="H60" s="16"/>
      <c r="I60" s="16"/>
      <c r="J60" s="34"/>
      <c r="K60" s="34"/>
      <c r="L60" s="34"/>
      <c r="M60" s="34"/>
      <c r="N60" s="34"/>
    </row>
    <row r="61" spans="1:15">
      <c r="A61" s="32" t="s">
        <v>32</v>
      </c>
      <c r="B61" s="24">
        <v>45432</v>
      </c>
      <c r="C61" s="16">
        <v>196.2</v>
      </c>
      <c r="D61" s="33"/>
      <c r="E61" s="33"/>
      <c r="F61" s="16">
        <v>107</v>
      </c>
      <c r="G61" s="33"/>
      <c r="H61" s="33"/>
      <c r="I61" s="16"/>
      <c r="J61" s="34"/>
      <c r="K61" s="34"/>
      <c r="L61" s="34"/>
      <c r="M61" s="34"/>
      <c r="N61" s="34"/>
    </row>
    <row r="62" spans="1:15">
      <c r="A62" s="23"/>
      <c r="G62" s="33"/>
      <c r="H62" s="33"/>
      <c r="I62" s="16"/>
      <c r="J62" s="34"/>
      <c r="K62" s="34"/>
      <c r="L62" s="34"/>
      <c r="M62" s="34"/>
      <c r="N62" s="34"/>
    </row>
    <row r="63" spans="1:15">
      <c r="A63" s="6"/>
      <c r="B63" s="7"/>
      <c r="C63" s="9"/>
      <c r="E63" s="3"/>
      <c r="G63" s="3"/>
      <c r="H63" s="3"/>
    </row>
    <row r="64" spans="1:15">
      <c r="A64" s="13">
        <v>34491</v>
      </c>
      <c r="B64" s="38" t="s">
        <v>10</v>
      </c>
      <c r="C64" s="9" t="s">
        <v>11</v>
      </c>
      <c r="D64" s="15" t="s">
        <v>12</v>
      </c>
      <c r="E64" s="9" t="s">
        <v>13</v>
      </c>
      <c r="F64" s="9" t="s">
        <v>14</v>
      </c>
      <c r="G64" s="9" t="s">
        <v>15</v>
      </c>
      <c r="H64" s="9" t="s">
        <v>13</v>
      </c>
      <c r="I64" s="9" t="s">
        <v>16</v>
      </c>
      <c r="J64" s="39"/>
      <c r="K64" s="39"/>
      <c r="L64" s="39"/>
      <c r="M64" s="39"/>
      <c r="N64" s="39"/>
      <c r="O64" s="9" t="s">
        <v>14</v>
      </c>
    </row>
    <row r="65" spans="1:17">
      <c r="A65" s="29" t="s">
        <v>19</v>
      </c>
      <c r="B65" s="12">
        <v>45419</v>
      </c>
      <c r="C65" s="15">
        <v>2.2989999999999999</v>
      </c>
      <c r="D65" s="15">
        <f>AVERAGE(C65:C69)</f>
        <v>17.3538</v>
      </c>
      <c r="E65" s="15">
        <f>STDEV(C65:C69)/SQRT(COUNT(C65:C69))</f>
        <v>4.8842319191455257</v>
      </c>
      <c r="F65" s="9">
        <v>100</v>
      </c>
      <c r="G65" s="15">
        <f>AVERAGE(F65:F69)</f>
        <v>97.453999999999994</v>
      </c>
      <c r="H65" s="15">
        <f>STDEV(F65:F69)/SQRT(COUNT(F65:F69))</f>
        <v>1.5620806637302704</v>
      </c>
      <c r="I65" s="9">
        <f t="shared" ref="I65:I66" si="8">LOG(C65*0.000000001)</f>
        <v>-8.6384610287307204</v>
      </c>
      <c r="J65" s="39" t="s">
        <v>23</v>
      </c>
      <c r="K65" s="39"/>
      <c r="L65" s="39"/>
      <c r="M65" s="39"/>
      <c r="N65" s="39"/>
      <c r="O65" s="9">
        <v>56.46</v>
      </c>
    </row>
    <row r="66" spans="1:17" ht="20.25">
      <c r="A66" s="29" t="s">
        <v>19</v>
      </c>
      <c r="B66" s="12">
        <v>45427</v>
      </c>
      <c r="C66" s="15">
        <v>11.36</v>
      </c>
      <c r="D66" s="15"/>
      <c r="E66" s="28"/>
      <c r="F66" s="9">
        <v>93.94</v>
      </c>
      <c r="G66" s="9"/>
      <c r="H66" s="9"/>
      <c r="I66" s="9">
        <f t="shared" si="8"/>
        <v>-7.9446216686249995</v>
      </c>
      <c r="J66" s="39"/>
      <c r="K66" s="39"/>
      <c r="L66" s="39"/>
      <c r="M66" s="39"/>
      <c r="N66" s="39"/>
      <c r="O66" s="9"/>
      <c r="P66" s="18"/>
      <c r="Q66" s="18"/>
    </row>
    <row r="67" spans="1:17">
      <c r="A67" s="29" t="s">
        <v>33</v>
      </c>
      <c r="B67" s="12">
        <v>45432</v>
      </c>
      <c r="C67" s="15">
        <v>22.6</v>
      </c>
      <c r="D67" s="15"/>
      <c r="E67" s="45">
        <f>E65/D65</f>
        <v>0.28145028288591117</v>
      </c>
      <c r="F67" s="9">
        <v>93.33</v>
      </c>
      <c r="G67" s="9"/>
      <c r="H67" s="9"/>
      <c r="I67" s="9">
        <f>LOG(C67*0.000000001)</f>
        <v>-7.6458915608525988</v>
      </c>
      <c r="J67" s="39"/>
      <c r="K67" s="39"/>
      <c r="L67" s="39"/>
      <c r="M67" s="39"/>
      <c r="N67" s="39"/>
      <c r="O67" s="9"/>
    </row>
    <row r="68" spans="1:17">
      <c r="A68" s="43" t="s">
        <v>26</v>
      </c>
      <c r="B68" s="12">
        <v>45475</v>
      </c>
      <c r="C68" s="15">
        <v>19.68</v>
      </c>
      <c r="D68" s="15"/>
      <c r="E68" s="17"/>
      <c r="F68" s="9">
        <v>100</v>
      </c>
      <c r="G68" s="9"/>
      <c r="H68" s="9"/>
      <c r="I68" s="9"/>
      <c r="J68" s="39"/>
      <c r="K68" s="39"/>
      <c r="L68" s="39"/>
      <c r="M68" s="39"/>
      <c r="N68" s="39"/>
      <c r="O68" s="9"/>
    </row>
    <row r="69" spans="1:17">
      <c r="A69" s="29"/>
      <c r="B69" s="12">
        <v>45475</v>
      </c>
      <c r="C69" s="15">
        <v>30.83</v>
      </c>
      <c r="D69" s="15"/>
      <c r="E69" s="17"/>
      <c r="F69" s="9">
        <v>100</v>
      </c>
      <c r="G69" s="9"/>
      <c r="H69" s="9"/>
      <c r="I69" s="9"/>
      <c r="J69" s="39"/>
      <c r="K69" s="39"/>
      <c r="L69" s="39"/>
      <c r="M69" s="39"/>
      <c r="N69" s="39"/>
      <c r="O69" s="9"/>
    </row>
    <row r="70" spans="1:17">
      <c r="A70" s="41" t="s">
        <v>38</v>
      </c>
      <c r="B70" s="24">
        <v>45470</v>
      </c>
      <c r="C70" s="33">
        <v>5.306</v>
      </c>
      <c r="D70" s="33" t="s">
        <v>18</v>
      </c>
      <c r="E70" s="36"/>
      <c r="F70" s="16">
        <v>100</v>
      </c>
      <c r="G70" s="16"/>
      <c r="H70" s="16"/>
      <c r="I70" s="16"/>
    </row>
    <row r="71" spans="1:17">
      <c r="A71" s="6"/>
      <c r="B71" s="24"/>
      <c r="C71" s="33"/>
      <c r="D71" s="33"/>
      <c r="E71" s="36"/>
      <c r="F71" s="16"/>
      <c r="G71" s="16"/>
      <c r="H71" s="16"/>
      <c r="I71" s="16"/>
    </row>
    <row r="72" spans="1:17">
      <c r="A72" s="6"/>
      <c r="B72" s="12"/>
      <c r="C72" s="9"/>
      <c r="E72" s="3"/>
      <c r="G72" s="3"/>
      <c r="H72" s="3"/>
    </row>
    <row r="73" spans="1:17">
      <c r="A73" s="13">
        <v>34492</v>
      </c>
      <c r="B73" s="38" t="s">
        <v>10</v>
      </c>
      <c r="C73" s="9" t="s">
        <v>11</v>
      </c>
      <c r="D73" s="15" t="s">
        <v>12</v>
      </c>
      <c r="E73" s="9" t="s">
        <v>13</v>
      </c>
      <c r="F73" s="9" t="s">
        <v>14</v>
      </c>
      <c r="G73" s="9" t="s">
        <v>15</v>
      </c>
      <c r="H73" s="9" t="s">
        <v>13</v>
      </c>
      <c r="I73" s="9" t="s">
        <v>16</v>
      </c>
      <c r="J73" s="39"/>
      <c r="K73" s="39"/>
      <c r="L73" s="39"/>
      <c r="M73" s="39"/>
      <c r="N73" s="39"/>
      <c r="O73" s="9" t="s">
        <v>14</v>
      </c>
    </row>
    <row r="74" spans="1:17">
      <c r="A74" s="29" t="s">
        <v>19</v>
      </c>
      <c r="B74" s="12">
        <v>45427</v>
      </c>
      <c r="C74" s="37">
        <v>4.4240000000000004</v>
      </c>
      <c r="D74" s="37">
        <f>AVERAGE(C74:C77)</f>
        <v>6.4747500000000002</v>
      </c>
      <c r="E74" s="37">
        <f>STDEV(C74:C77)/SQRT(COUNT(C74:C77))</f>
        <v>1.0960043624456972</v>
      </c>
      <c r="F74" s="9">
        <v>100</v>
      </c>
      <c r="G74" s="15">
        <f>AVERAGE(F74:F77)</f>
        <v>97.41</v>
      </c>
      <c r="H74" s="15">
        <f>STDEV(F74:F77)/SQRT(COUNT(F74:F77))</f>
        <v>2.0154528027220073</v>
      </c>
      <c r="I74" s="9" t="e">
        <f>LOG(C78*0.000000001)</f>
        <v>#VALUE!</v>
      </c>
      <c r="J74" s="39" t="s">
        <v>23</v>
      </c>
      <c r="K74" s="39"/>
      <c r="L74" s="39"/>
      <c r="M74" s="39"/>
      <c r="N74" s="39"/>
      <c r="O74" s="9">
        <v>56.46</v>
      </c>
    </row>
    <row r="75" spans="1:17">
      <c r="A75" s="29" t="s">
        <v>24</v>
      </c>
      <c r="B75" s="12">
        <v>45432</v>
      </c>
      <c r="C75" s="37">
        <v>7.4660000000000002</v>
      </c>
      <c r="D75" s="15"/>
      <c r="E75" s="28"/>
      <c r="F75" s="9">
        <v>100</v>
      </c>
      <c r="G75" s="9"/>
      <c r="H75" s="9"/>
      <c r="I75" s="9">
        <f t="shared" ref="I75" si="9">LOG(C75*0.000000001)</f>
        <v>-8.1269120144097151</v>
      </c>
      <c r="J75" s="39"/>
      <c r="K75" s="39"/>
      <c r="L75" s="39"/>
      <c r="M75" s="39"/>
      <c r="N75" s="39"/>
      <c r="O75" s="9"/>
    </row>
    <row r="76" spans="1:17">
      <c r="A76" s="29" t="s">
        <v>20</v>
      </c>
      <c r="B76" s="12">
        <v>45475</v>
      </c>
      <c r="C76" s="37">
        <v>9.0860000000000003</v>
      </c>
      <c r="D76" s="15"/>
      <c r="E76" s="45">
        <f>E74/D74</f>
        <v>0.16927361866414875</v>
      </c>
      <c r="F76" s="9">
        <v>91.51</v>
      </c>
      <c r="G76" s="9"/>
      <c r="H76" s="9"/>
      <c r="I76" s="9"/>
      <c r="J76" s="39"/>
      <c r="K76" s="39"/>
      <c r="L76" s="39"/>
      <c r="M76" s="39"/>
      <c r="N76" s="39"/>
      <c r="O76" s="9"/>
    </row>
    <row r="77" spans="1:17">
      <c r="A77" s="43" t="s">
        <v>26</v>
      </c>
      <c r="B77" s="12">
        <v>45475</v>
      </c>
      <c r="C77" s="37">
        <v>4.923</v>
      </c>
      <c r="D77" s="15"/>
      <c r="E77" s="28"/>
      <c r="F77" s="9">
        <v>98.13</v>
      </c>
      <c r="G77" s="9"/>
      <c r="H77" s="9"/>
      <c r="I77" s="9"/>
      <c r="J77" s="39"/>
      <c r="K77" s="39"/>
      <c r="L77" s="39"/>
      <c r="M77" s="39"/>
      <c r="N77" s="39"/>
      <c r="O77" s="9"/>
    </row>
    <row r="78" spans="1:17">
      <c r="A78" s="6"/>
      <c r="B78" s="24">
        <v>45419</v>
      </c>
      <c r="C78" s="16" t="s">
        <v>22</v>
      </c>
      <c r="D78" s="33" t="s">
        <v>18</v>
      </c>
      <c r="E78" s="11"/>
      <c r="I78" s="2" t="e">
        <f>LOG(#REF!*0.000000001)</f>
        <v>#REF!</v>
      </c>
    </row>
    <row r="79" spans="1:17" s="2" customFormat="1">
      <c r="A79" s="1"/>
      <c r="B79" s="7"/>
      <c r="C79" s="9"/>
      <c r="D79" s="3"/>
      <c r="J79"/>
      <c r="K79"/>
      <c r="L79"/>
      <c r="M79"/>
      <c r="N79"/>
      <c r="O79" s="16"/>
    </row>
    <row r="80" spans="1:17" s="2" customFormat="1">
      <c r="A80" s="13">
        <v>34493</v>
      </c>
      <c r="B80" s="38" t="s">
        <v>10</v>
      </c>
      <c r="C80" s="9" t="s">
        <v>11</v>
      </c>
      <c r="D80" s="15" t="s">
        <v>12</v>
      </c>
      <c r="E80" s="9" t="s">
        <v>13</v>
      </c>
      <c r="F80" s="9" t="s">
        <v>14</v>
      </c>
      <c r="G80" s="9" t="s">
        <v>15</v>
      </c>
      <c r="H80" s="9" t="s">
        <v>13</v>
      </c>
      <c r="I80" s="9" t="s">
        <v>16</v>
      </c>
      <c r="J80" s="39"/>
      <c r="K80" s="39"/>
      <c r="L80" s="39"/>
      <c r="M80" s="39"/>
      <c r="N80" s="39"/>
      <c r="O80" s="9" t="s">
        <v>14</v>
      </c>
    </row>
    <row r="81" spans="1:15" s="2" customFormat="1">
      <c r="A81" s="29" t="s">
        <v>19</v>
      </c>
      <c r="B81" s="12">
        <v>45427</v>
      </c>
      <c r="C81" s="9">
        <v>5.9130000000000003</v>
      </c>
      <c r="D81" s="15">
        <f>AVERAGE(C81:C85)</f>
        <v>12.285600000000001</v>
      </c>
      <c r="E81" s="15">
        <f>STDEV(C81:C85)/SQRT(COUNT(C81:C85))</f>
        <v>4.209436335187883</v>
      </c>
      <c r="F81" s="28">
        <v>99.01</v>
      </c>
      <c r="G81" s="15">
        <f>AVERAGE(F81:F85)</f>
        <v>94.067999999999998</v>
      </c>
      <c r="H81" s="15">
        <f>STDEV(F81:F85)/SQRT(COUNT(F81:F85))</f>
        <v>3.5311887516812241</v>
      </c>
      <c r="I81" s="9">
        <f>LOG(C81*0.000000001)</f>
        <v>-8.2281921210008946</v>
      </c>
      <c r="J81" s="39" t="s">
        <v>23</v>
      </c>
      <c r="K81" s="39"/>
      <c r="L81" s="39"/>
      <c r="M81" s="39"/>
      <c r="N81" s="39"/>
      <c r="O81" s="9">
        <v>56.46</v>
      </c>
    </row>
    <row r="82" spans="1:15" s="2" customFormat="1">
      <c r="A82" s="29" t="s">
        <v>20</v>
      </c>
      <c r="B82" s="12">
        <v>45432</v>
      </c>
      <c r="C82" s="9">
        <v>15.43</v>
      </c>
      <c r="D82" s="15"/>
      <c r="E82" s="28"/>
      <c r="F82" s="28">
        <v>88.25</v>
      </c>
      <c r="G82" s="9"/>
      <c r="H82" s="9"/>
      <c r="I82" s="9">
        <f>LOG(C81*0.000000001)</f>
        <v>-8.2281921210008946</v>
      </c>
      <c r="J82" s="39"/>
      <c r="K82" s="39"/>
      <c r="L82" s="39"/>
      <c r="M82" s="39"/>
      <c r="N82" s="39"/>
      <c r="O82" s="9"/>
    </row>
    <row r="83" spans="1:15" s="2" customFormat="1">
      <c r="A83" s="29" t="s">
        <v>19</v>
      </c>
      <c r="B83" s="12">
        <v>45475</v>
      </c>
      <c r="C83" s="9">
        <v>27.25</v>
      </c>
      <c r="D83" s="15"/>
      <c r="E83" s="45">
        <f>E81/D81</f>
        <v>0.34263172618251309</v>
      </c>
      <c r="F83" s="28">
        <v>83.08</v>
      </c>
      <c r="G83" s="9"/>
      <c r="H83" s="9"/>
      <c r="I83" s="9"/>
      <c r="J83" s="39"/>
      <c r="K83" s="39"/>
      <c r="L83" s="39"/>
      <c r="M83" s="39"/>
      <c r="N83" s="39"/>
      <c r="O83" s="9"/>
    </row>
    <row r="84" spans="1:15" s="2" customFormat="1">
      <c r="A84" s="29">
        <v>-6</v>
      </c>
      <c r="B84" s="12">
        <v>45503</v>
      </c>
      <c r="C84" s="9">
        <v>4.0629999999999997</v>
      </c>
      <c r="D84" s="15"/>
      <c r="E84" s="17"/>
      <c r="F84" s="28">
        <v>100</v>
      </c>
      <c r="G84" s="9"/>
      <c r="H84" s="9"/>
      <c r="I84" s="9"/>
      <c r="J84" s="39"/>
      <c r="K84" s="39"/>
      <c r="L84" s="39"/>
      <c r="M84" s="39"/>
      <c r="N84" s="39"/>
      <c r="O84" s="9"/>
    </row>
    <row r="85" spans="1:15" s="2" customFormat="1">
      <c r="A85" s="29">
        <v>-6</v>
      </c>
      <c r="B85" s="12">
        <v>45503</v>
      </c>
      <c r="C85" s="9">
        <v>8.7720000000000002</v>
      </c>
      <c r="D85" s="15"/>
      <c r="E85" s="17"/>
      <c r="F85" s="28">
        <v>100</v>
      </c>
      <c r="G85" s="9"/>
      <c r="H85" s="9"/>
      <c r="I85" s="9"/>
      <c r="J85" s="39"/>
      <c r="K85" s="39"/>
      <c r="L85" s="39"/>
      <c r="M85" s="39"/>
      <c r="N85" s="39"/>
      <c r="O85" s="9"/>
    </row>
    <row r="86" spans="1:15" s="2" customFormat="1">
      <c r="A86" s="43" t="s">
        <v>26</v>
      </c>
      <c r="B86" s="12">
        <v>45419</v>
      </c>
      <c r="C86" s="16" t="s">
        <v>22</v>
      </c>
      <c r="D86" s="15"/>
      <c r="E86" s="17"/>
      <c r="F86" s="9"/>
      <c r="G86" s="9"/>
      <c r="H86" s="9"/>
      <c r="I86" s="9" t="e">
        <f>LOG(#REF!*0.000000001)</f>
        <v>#REF!</v>
      </c>
      <c r="J86" s="39"/>
      <c r="K86" s="39"/>
      <c r="L86" s="39"/>
      <c r="M86" s="39"/>
      <c r="N86" s="39"/>
      <c r="O86" s="9"/>
    </row>
    <row r="87" spans="1:15" s="2" customFormat="1">
      <c r="A87" s="6"/>
      <c r="B87" s="24"/>
      <c r="C87" s="16"/>
      <c r="D87" s="33"/>
      <c r="E87" s="36"/>
      <c r="F87" s="16"/>
      <c r="G87" s="16"/>
      <c r="H87" s="16"/>
      <c r="I87" s="16"/>
      <c r="J87"/>
      <c r="K87"/>
      <c r="L87"/>
      <c r="M87"/>
      <c r="N87"/>
      <c r="O87" s="16"/>
    </row>
    <row r="88" spans="1:15" s="2" customFormat="1">
      <c r="A88" s="6"/>
      <c r="D88" s="3"/>
      <c r="E88" s="11"/>
      <c r="J88"/>
      <c r="K88"/>
      <c r="L88"/>
      <c r="M88"/>
      <c r="N88"/>
      <c r="O88" s="16"/>
    </row>
    <row r="89" spans="1:15" s="2" customFormat="1">
      <c r="A89" s="6"/>
      <c r="B89" s="7"/>
      <c r="C89" s="9"/>
      <c r="D89" s="3"/>
      <c r="E89" s="11"/>
      <c r="J89"/>
      <c r="K89"/>
      <c r="L89"/>
      <c r="M89"/>
      <c r="N89"/>
      <c r="O89" s="16"/>
    </row>
    <row r="90" spans="1:15" s="2" customFormat="1">
      <c r="A90" s="13">
        <v>34494</v>
      </c>
      <c r="B90" s="14" t="s">
        <v>10</v>
      </c>
      <c r="C90" s="2" t="s">
        <v>11</v>
      </c>
      <c r="D90" s="3" t="s">
        <v>12</v>
      </c>
      <c r="E90" s="2" t="s">
        <v>13</v>
      </c>
      <c r="F90" s="2" t="s">
        <v>14</v>
      </c>
      <c r="G90" s="2" t="s">
        <v>15</v>
      </c>
      <c r="H90" s="2" t="s">
        <v>13</v>
      </c>
      <c r="I90" s="2" t="s">
        <v>16</v>
      </c>
      <c r="J90"/>
      <c r="K90"/>
      <c r="L90"/>
      <c r="M90"/>
      <c r="N90"/>
      <c r="O90" s="16" t="s">
        <v>14</v>
      </c>
    </row>
    <row r="91" spans="1:15" s="2" customFormat="1">
      <c r="A91" s="6" t="s">
        <v>19</v>
      </c>
      <c r="B91" s="7">
        <v>45419</v>
      </c>
      <c r="C91" s="9">
        <v>21.51</v>
      </c>
      <c r="D91" s="3">
        <f>AVERAGE(C91:C93)</f>
        <v>24.040000000000003</v>
      </c>
      <c r="E91" s="3">
        <f>STDEV(C91:C93)/SQRT(COUNT(C91:C93))</f>
        <v>3.5014140000862484</v>
      </c>
      <c r="F91" s="2">
        <v>99.79</v>
      </c>
      <c r="G91" s="3">
        <f>AVERAGE(F91:F93)</f>
        <v>89.050000000000011</v>
      </c>
      <c r="H91" s="3">
        <f>STDEV(F91:F93)/SQRT(COUNT(F91:F93))</f>
        <v>6.63508854500071</v>
      </c>
      <c r="I91" s="2">
        <f t="shared" ref="I91:I92" si="10">LOG(C91*0.000000001)</f>
        <v>-7.6673595896125377</v>
      </c>
      <c r="J91" t="s">
        <v>23</v>
      </c>
      <c r="K91"/>
      <c r="L91"/>
      <c r="M91"/>
      <c r="N91"/>
      <c r="O91" s="16">
        <v>56.46</v>
      </c>
    </row>
    <row r="92" spans="1:15">
      <c r="A92" s="23">
        <v>-6</v>
      </c>
      <c r="B92" s="7">
        <v>45427</v>
      </c>
      <c r="C92" s="9">
        <v>19.649999999999999</v>
      </c>
      <c r="D92" s="15"/>
      <c r="E92" s="31"/>
      <c r="F92" s="2">
        <v>90.43</v>
      </c>
      <c r="I92" s="2">
        <f t="shared" si="10"/>
        <v>-7.7066374452885542</v>
      </c>
    </row>
    <row r="93" spans="1:15" s="2" customFormat="1">
      <c r="A93" s="43" t="s">
        <v>26</v>
      </c>
      <c r="B93" s="7">
        <v>45432</v>
      </c>
      <c r="C93" s="9">
        <v>30.96</v>
      </c>
      <c r="D93" s="3"/>
      <c r="E93" s="49">
        <f>E91/D91</f>
        <v>0.14564950083553443</v>
      </c>
      <c r="F93" s="2">
        <v>76.930000000000007</v>
      </c>
      <c r="I93" s="2">
        <f>LOG(C93*0.000000001)</f>
        <v>-7.5091990479891448</v>
      </c>
      <c r="J93"/>
      <c r="K93"/>
      <c r="L93"/>
      <c r="M93"/>
      <c r="N93"/>
      <c r="O93" s="16"/>
    </row>
    <row r="94" spans="1:15" s="2" customFormat="1">
      <c r="A94" s="1"/>
      <c r="B94" s="7"/>
      <c r="D94" s="3"/>
      <c r="E94" s="3"/>
      <c r="G94" s="3"/>
      <c r="H94" s="3"/>
      <c r="J94"/>
      <c r="K94"/>
      <c r="L94"/>
      <c r="M94"/>
      <c r="N94"/>
      <c r="O94" s="16"/>
    </row>
    <row r="95" spans="1:15" s="2" customFormat="1">
      <c r="A95" s="1"/>
      <c r="B95" s="7"/>
      <c r="D95" s="3"/>
      <c r="J95"/>
      <c r="K95"/>
      <c r="L95"/>
      <c r="M95"/>
      <c r="N95"/>
      <c r="O95" s="16"/>
    </row>
    <row r="96" spans="1:15" s="2" customFormat="1">
      <c r="A96" s="1"/>
      <c r="B96" s="7"/>
      <c r="D96" s="3"/>
      <c r="E96" s="31"/>
      <c r="J96"/>
      <c r="K96"/>
      <c r="L96"/>
      <c r="M96"/>
      <c r="N96"/>
      <c r="O96" s="16"/>
    </row>
    <row r="97" spans="1:15" s="2" customFormat="1">
      <c r="A97" s="1"/>
      <c r="B97" s="7"/>
      <c r="D97" s="3"/>
      <c r="J97"/>
      <c r="K97"/>
      <c r="L97"/>
      <c r="M97"/>
      <c r="N97"/>
      <c r="O97" s="16"/>
    </row>
    <row r="99" spans="1:15" s="2" customFormat="1">
      <c r="A99" s="1"/>
      <c r="B99" s="7"/>
      <c r="D99" s="3"/>
      <c r="J99"/>
      <c r="K99"/>
      <c r="L99"/>
      <c r="M99"/>
      <c r="N99"/>
      <c r="O99" s="16"/>
    </row>
    <row r="101" spans="1:15" s="2" customFormat="1">
      <c r="A101" s="1"/>
      <c r="B101" s="14"/>
      <c r="D101" s="3"/>
      <c r="J101"/>
      <c r="K101"/>
      <c r="L101"/>
      <c r="M101"/>
      <c r="N101"/>
      <c r="O101" s="16"/>
    </row>
    <row r="102" spans="1:15" s="2" customFormat="1">
      <c r="A102" s="1"/>
      <c r="B102" s="7"/>
      <c r="D102" s="3"/>
      <c r="E102" s="3"/>
      <c r="J102"/>
      <c r="K102"/>
      <c r="L102"/>
      <c r="M102"/>
      <c r="N102"/>
      <c r="O102" s="16"/>
    </row>
    <row r="103" spans="1:15" s="2" customFormat="1">
      <c r="A103" s="1"/>
      <c r="B103" s="7"/>
      <c r="D103" s="3"/>
      <c r="J103"/>
      <c r="K103"/>
      <c r="L103"/>
      <c r="M103"/>
      <c r="N103"/>
      <c r="O103" s="16"/>
    </row>
    <row r="104" spans="1:15" s="2" customFormat="1">
      <c r="A104" s="1"/>
      <c r="B104" s="7"/>
      <c r="D104" s="3"/>
      <c r="E104" s="31"/>
      <c r="J104"/>
      <c r="K104"/>
      <c r="L104"/>
      <c r="M104"/>
      <c r="N104"/>
      <c r="O104" s="16"/>
    </row>
    <row r="106" spans="1:15" s="2" customFormat="1">
      <c r="A106" s="1"/>
      <c r="B106" s="14"/>
      <c r="D106" s="3"/>
      <c r="J106"/>
      <c r="K106"/>
      <c r="L106"/>
      <c r="M106"/>
      <c r="N106"/>
      <c r="O106" s="16"/>
    </row>
    <row r="107" spans="1:15" s="2" customFormat="1">
      <c r="A107" s="1"/>
      <c r="B107" s="7"/>
      <c r="D107" s="3"/>
      <c r="E107" s="3"/>
      <c r="J107"/>
      <c r="K107"/>
      <c r="L107"/>
      <c r="M107"/>
      <c r="N107"/>
      <c r="O107" s="16"/>
    </row>
    <row r="108" spans="1:15" s="2" customFormat="1">
      <c r="A108" s="1"/>
      <c r="B108" s="7"/>
      <c r="D108" s="3"/>
      <c r="J108"/>
      <c r="K108"/>
      <c r="L108"/>
      <c r="M108"/>
      <c r="N108"/>
      <c r="O108" s="16"/>
    </row>
    <row r="109" spans="1:15" s="2" customFormat="1">
      <c r="A109" s="1"/>
      <c r="B109" s="7"/>
      <c r="D109" s="3"/>
      <c r="E109" s="31"/>
      <c r="J109"/>
      <c r="K109"/>
      <c r="L109"/>
      <c r="M109"/>
      <c r="N109"/>
      <c r="O109" s="16"/>
    </row>
    <row r="110" spans="1:15" s="2" customFormat="1">
      <c r="A110" s="1"/>
      <c r="B110" s="7"/>
      <c r="D110" s="3"/>
      <c r="J110"/>
      <c r="K110"/>
      <c r="L110"/>
      <c r="M110"/>
      <c r="N110"/>
      <c r="O110" s="16"/>
    </row>
    <row r="111" spans="1:15" s="2" customFormat="1">
      <c r="A111" s="1"/>
      <c r="B111" s="14"/>
      <c r="D111" s="3"/>
      <c r="J111"/>
      <c r="K111"/>
      <c r="L111"/>
      <c r="M111"/>
      <c r="N111"/>
      <c r="O111" s="16"/>
    </row>
    <row r="112" spans="1:15" s="2" customFormat="1">
      <c r="A112" s="1"/>
      <c r="B112" s="7"/>
      <c r="D112" s="3"/>
      <c r="J112"/>
      <c r="K112"/>
      <c r="L112"/>
      <c r="M112"/>
      <c r="N112"/>
      <c r="O112" s="16"/>
    </row>
    <row r="113" spans="1:15" s="2" customFormat="1">
      <c r="A113" s="1"/>
      <c r="B113" s="7"/>
      <c r="D113" s="3"/>
      <c r="J113"/>
      <c r="K113"/>
      <c r="L113"/>
      <c r="M113"/>
      <c r="N113"/>
      <c r="O113" s="16"/>
    </row>
    <row r="116" spans="1:15" s="2" customFormat="1">
      <c r="A116" s="1"/>
      <c r="B116" s="14"/>
      <c r="D116" s="3"/>
      <c r="J116"/>
      <c r="K116"/>
      <c r="L116"/>
      <c r="M116"/>
      <c r="N116"/>
      <c r="O116" s="16"/>
    </row>
    <row r="117" spans="1:15" s="2" customFormat="1">
      <c r="A117" s="1"/>
      <c r="B117" s="7"/>
      <c r="D117" s="3"/>
      <c r="J117"/>
      <c r="K117"/>
      <c r="L117"/>
      <c r="M117"/>
      <c r="N117"/>
      <c r="O117" s="16"/>
    </row>
    <row r="118" spans="1:15" s="2" customFormat="1">
      <c r="A118" s="1"/>
      <c r="B118" s="7"/>
      <c r="D118" s="3"/>
      <c r="J118"/>
      <c r="K118"/>
      <c r="L118"/>
      <c r="M118"/>
      <c r="N118"/>
      <c r="O118" s="16"/>
    </row>
    <row r="121" spans="1:15" s="2" customFormat="1">
      <c r="A121" s="1"/>
      <c r="B121" s="14"/>
      <c r="D121" s="3"/>
      <c r="J121"/>
      <c r="K121"/>
      <c r="L121"/>
      <c r="M121"/>
      <c r="N121"/>
      <c r="O121" s="16"/>
    </row>
    <row r="122" spans="1:15" s="2" customFormat="1">
      <c r="A122" s="1"/>
      <c r="B122" s="7"/>
      <c r="D122" s="3"/>
      <c r="J122"/>
      <c r="K122"/>
      <c r="L122"/>
      <c r="M122"/>
      <c r="N122"/>
      <c r="O122" s="16"/>
    </row>
    <row r="123" spans="1:15" s="2" customFormat="1">
      <c r="A123" s="1"/>
      <c r="B123" s="7"/>
      <c r="D123" s="3"/>
      <c r="J123"/>
      <c r="K123"/>
      <c r="L123"/>
      <c r="M123"/>
      <c r="N123"/>
      <c r="O123" s="16"/>
    </row>
    <row r="126" spans="1:15" s="2" customFormat="1">
      <c r="A126" s="1"/>
      <c r="B126" s="14"/>
      <c r="D126" s="3"/>
      <c r="J126"/>
      <c r="K126"/>
      <c r="L126"/>
      <c r="M126"/>
      <c r="N126"/>
      <c r="O126" s="16"/>
    </row>
    <row r="127" spans="1:15" s="2" customFormat="1">
      <c r="A127" s="1"/>
      <c r="B127" s="7"/>
      <c r="D127" s="3"/>
      <c r="J127"/>
      <c r="K127"/>
      <c r="L127"/>
      <c r="M127"/>
      <c r="N127"/>
      <c r="O127" s="16"/>
    </row>
    <row r="128" spans="1:15" s="2" customFormat="1">
      <c r="A128" s="1"/>
      <c r="B128" s="7"/>
      <c r="D128" s="3"/>
      <c r="J128"/>
      <c r="K128"/>
      <c r="L128"/>
      <c r="M128"/>
      <c r="N128"/>
      <c r="O128" s="16"/>
    </row>
    <row r="131" spans="1:15" s="2" customFormat="1">
      <c r="A131" s="1"/>
      <c r="B131" s="14"/>
      <c r="D131" s="3"/>
      <c r="J131"/>
      <c r="K131"/>
      <c r="L131"/>
      <c r="M131"/>
      <c r="N131"/>
      <c r="O131" s="16"/>
    </row>
    <row r="132" spans="1:15" s="2" customFormat="1">
      <c r="A132" s="1"/>
      <c r="B132" s="7"/>
      <c r="D132" s="3"/>
      <c r="J132"/>
      <c r="K132"/>
      <c r="L132"/>
      <c r="M132"/>
      <c r="N132"/>
      <c r="O132" s="16"/>
    </row>
    <row r="133" spans="1:15" s="2" customFormat="1">
      <c r="A133" s="1"/>
      <c r="B133" s="7"/>
      <c r="D133" s="3"/>
      <c r="J133"/>
      <c r="K133"/>
      <c r="L133"/>
      <c r="M133"/>
      <c r="N133"/>
      <c r="O133" s="16"/>
    </row>
    <row r="137" spans="1:15" s="2" customFormat="1">
      <c r="A137" s="1"/>
      <c r="B137" s="14"/>
      <c r="D137" s="3"/>
      <c r="J137"/>
      <c r="K137"/>
      <c r="L137"/>
      <c r="M137"/>
      <c r="N137"/>
      <c r="O137" s="16"/>
    </row>
    <row r="138" spans="1:15" s="2" customFormat="1">
      <c r="A138" s="1"/>
      <c r="B138" s="7"/>
      <c r="D138" s="3"/>
      <c r="J138"/>
      <c r="K138"/>
      <c r="L138"/>
      <c r="M138"/>
      <c r="N138"/>
      <c r="O138" s="16"/>
    </row>
    <row r="139" spans="1:15" s="2" customFormat="1">
      <c r="A139" s="1"/>
      <c r="B139" s="7"/>
      <c r="D139" s="3"/>
      <c r="J139"/>
      <c r="K139"/>
      <c r="L139"/>
      <c r="M139"/>
      <c r="N139"/>
      <c r="O139" s="16"/>
    </row>
    <row r="142" spans="1:15" s="2" customFormat="1">
      <c r="A142" s="1"/>
      <c r="B142" s="14"/>
      <c r="D142" s="3"/>
      <c r="J142"/>
      <c r="K142"/>
      <c r="L142"/>
      <c r="M142"/>
      <c r="N142"/>
      <c r="O142" s="16"/>
    </row>
    <row r="143" spans="1:15" s="2" customFormat="1">
      <c r="A143" s="1"/>
      <c r="B143" s="7"/>
      <c r="D143" s="3"/>
      <c r="J143"/>
      <c r="K143"/>
      <c r="L143"/>
      <c r="M143"/>
      <c r="N143"/>
      <c r="O143" s="16"/>
    </row>
    <row r="147" spans="1:15" s="2" customFormat="1">
      <c r="A147" s="1"/>
      <c r="B147" s="14"/>
      <c r="D147" s="3"/>
      <c r="J147"/>
      <c r="K147"/>
      <c r="L147"/>
      <c r="M147"/>
      <c r="N147"/>
      <c r="O147" s="16"/>
    </row>
    <row r="148" spans="1:15" s="2" customFormat="1">
      <c r="A148" s="1"/>
      <c r="B148" s="7"/>
      <c r="D148" s="3"/>
      <c r="J148"/>
      <c r="K148"/>
      <c r="L148"/>
      <c r="M148"/>
      <c r="N148"/>
      <c r="O148" s="16"/>
    </row>
    <row r="152" spans="1:15" s="2" customFormat="1">
      <c r="A152" s="1"/>
      <c r="B152" s="14"/>
      <c r="D152" s="3"/>
      <c r="J152"/>
      <c r="K152"/>
      <c r="L152"/>
      <c r="M152"/>
      <c r="N152"/>
      <c r="O152" s="16"/>
    </row>
    <row r="153" spans="1:15" s="2" customFormat="1">
      <c r="A153" s="1"/>
      <c r="B153" s="7"/>
      <c r="D153" s="3"/>
      <c r="J153"/>
      <c r="K153"/>
      <c r="L153"/>
      <c r="M153"/>
      <c r="N153"/>
      <c r="O153" s="16"/>
    </row>
    <row r="157" spans="1:15" s="2" customFormat="1">
      <c r="A157" s="1"/>
      <c r="B157" s="14"/>
      <c r="D157" s="3"/>
      <c r="J157"/>
      <c r="K157"/>
      <c r="L157"/>
      <c r="M157"/>
      <c r="N157"/>
      <c r="O157" s="16"/>
    </row>
    <row r="158" spans="1:15" s="2" customFormat="1">
      <c r="A158" s="1"/>
      <c r="B158" s="7"/>
      <c r="D158" s="3"/>
      <c r="J158"/>
      <c r="K158"/>
      <c r="L158"/>
      <c r="M158"/>
      <c r="N158"/>
      <c r="O158" s="16"/>
    </row>
  </sheetData>
  <pageMargins left="0.7" right="0.7" top="0.75" bottom="0.75" header="0.3" footer="0.3"/>
  <pageSetup scale="9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"/>
  <sheetViews>
    <sheetView tabSelected="1" workbookViewId="0">
      <selection activeCell="I30" sqref="I30"/>
    </sheetView>
  </sheetViews>
  <sheetFormatPr defaultColWidth="8.85546875" defaultRowHeight="15"/>
  <cols>
    <col min="1" max="1" width="12.85546875" style="1" customWidth="1"/>
    <col min="2" max="2" width="14.85546875" style="2" customWidth="1"/>
    <col min="3" max="3" width="10.7109375" style="2" customWidth="1"/>
    <col min="4" max="4" width="8.85546875" style="3"/>
    <col min="5" max="5" width="8.85546875" style="2"/>
    <col min="6" max="6" width="12" style="2" customWidth="1"/>
    <col min="7" max="9" width="8.85546875" style="2"/>
    <col min="10" max="13" width="0" hidden="1" customWidth="1"/>
    <col min="15" max="15" width="12" style="16" customWidth="1"/>
  </cols>
  <sheetData>
    <row r="1" spans="1:15">
      <c r="A1" s="1" t="s">
        <v>0</v>
      </c>
      <c r="D1" s="3" t="s">
        <v>1</v>
      </c>
      <c r="E1" s="27" t="s">
        <v>43</v>
      </c>
      <c r="J1" s="21"/>
      <c r="O1" s="1"/>
    </row>
    <row r="2" spans="1:15">
      <c r="A2" s="4">
        <v>45536</v>
      </c>
    </row>
    <row r="3" spans="1:15">
      <c r="O3" s="19"/>
    </row>
    <row r="4" spans="1:15">
      <c r="A4" s="5" t="s">
        <v>34</v>
      </c>
      <c r="B4" s="2" t="s">
        <v>10</v>
      </c>
      <c r="C4" s="25" t="s">
        <v>44</v>
      </c>
      <c r="D4" s="3" t="s">
        <v>12</v>
      </c>
      <c r="E4" s="2" t="s">
        <v>13</v>
      </c>
      <c r="F4" s="2" t="s">
        <v>35</v>
      </c>
      <c r="G4" s="2" t="s">
        <v>15</v>
      </c>
      <c r="H4" s="2" t="s">
        <v>13</v>
      </c>
      <c r="I4" s="2" t="s">
        <v>36</v>
      </c>
      <c r="M4" s="20"/>
      <c r="N4" s="20"/>
      <c r="O4" s="22"/>
    </row>
    <row r="5" spans="1:15" ht="16.5">
      <c r="A5" s="6"/>
      <c r="B5" s="7">
        <v>45553</v>
      </c>
      <c r="C5" s="31">
        <v>16.52</v>
      </c>
      <c r="D5" s="3">
        <f>AVERAGE(C5:C9)</f>
        <v>15.307499999999997</v>
      </c>
      <c r="E5" s="3">
        <f>STDEV(C5:C9)/SQRT(COUNT(C5:C9))</f>
        <v>1.3848789056568673</v>
      </c>
      <c r="F5" s="2">
        <v>37.6</v>
      </c>
      <c r="G5" s="3">
        <f>AVERAGE(F5:F9)</f>
        <v>40.625</v>
      </c>
      <c r="H5" s="3">
        <f>STDEV(F5:F9)/SQRT(COUNT(F5:F9))</f>
        <v>1.5892215075312817</v>
      </c>
      <c r="I5" s="2">
        <f t="shared" ref="I5:I6" si="0">LOG(C5*0.000000001)</f>
        <v>-7.7819899570156368</v>
      </c>
      <c r="J5" s="10"/>
    </row>
    <row r="6" spans="1:15">
      <c r="A6" s="6"/>
      <c r="B6" s="7">
        <v>45553</v>
      </c>
      <c r="C6" s="28">
        <v>18.64</v>
      </c>
      <c r="F6" s="2">
        <v>39.700000000000003</v>
      </c>
      <c r="I6" s="2">
        <f t="shared" si="0"/>
        <v>-7.7295540919820374</v>
      </c>
    </row>
    <row r="7" spans="1:15">
      <c r="A7" s="6"/>
      <c r="B7" s="7">
        <v>45555</v>
      </c>
      <c r="C7" s="28">
        <v>12.8</v>
      </c>
      <c r="E7" s="11">
        <f>E5/D5</f>
        <v>9.0470612814428711E-2</v>
      </c>
      <c r="F7" s="2">
        <v>40.1</v>
      </c>
      <c r="I7" s="2">
        <f>LOG(C7*0.000000001)</f>
        <v>-7.8927900303521312</v>
      </c>
    </row>
    <row r="8" spans="1:15">
      <c r="A8" s="6"/>
      <c r="B8" s="7">
        <v>45555</v>
      </c>
      <c r="C8" s="28">
        <v>13.27</v>
      </c>
      <c r="F8" s="2">
        <v>45.1</v>
      </c>
      <c r="I8" s="2">
        <f>LOG(C8*0.000000001)</f>
        <v>-7.8771290771355646</v>
      </c>
    </row>
    <row r="9" spans="1:15">
      <c r="A9" s="6"/>
      <c r="B9" s="7"/>
      <c r="C9" s="9"/>
    </row>
    <row r="10" spans="1:15">
      <c r="B10" s="7"/>
    </row>
    <row r="11" spans="1:15">
      <c r="A11" s="46">
        <v>34488</v>
      </c>
      <c r="B11" s="14" t="s">
        <v>10</v>
      </c>
      <c r="C11" s="2" t="s">
        <v>37</v>
      </c>
      <c r="D11" s="3" t="s">
        <v>12</v>
      </c>
      <c r="E11" s="2" t="s">
        <v>13</v>
      </c>
      <c r="F11" s="2" t="s">
        <v>14</v>
      </c>
      <c r="G11" s="2" t="s">
        <v>15</v>
      </c>
      <c r="H11" s="2" t="s">
        <v>13</v>
      </c>
      <c r="I11" s="2" t="s">
        <v>16</v>
      </c>
    </row>
    <row r="12" spans="1:15">
      <c r="A12" s="6"/>
      <c r="B12" s="7">
        <v>45553</v>
      </c>
      <c r="C12" s="9">
        <v>1205</v>
      </c>
      <c r="D12" s="51">
        <f>AVERAGE(C12:C16)</f>
        <v>706</v>
      </c>
      <c r="E12" s="51">
        <f>STDEV(C12:C16)/SQRT(COUNT(C12:C16))</f>
        <v>184.16025629869219</v>
      </c>
      <c r="F12" s="2">
        <v>29.9</v>
      </c>
      <c r="G12" s="31">
        <f>AVERAGE(F12:F16)</f>
        <v>29.5</v>
      </c>
      <c r="H12" s="3">
        <f>STDEV(F12:F16)/SQRT(COUNT(F12:F16))</f>
        <v>1.5529541740394877</v>
      </c>
      <c r="I12" s="2">
        <f>LOG(C12*0.000000001)</f>
        <v>-5.9190129530891129</v>
      </c>
    </row>
    <row r="13" spans="1:15">
      <c r="A13" s="6"/>
      <c r="B13" s="7">
        <v>45553</v>
      </c>
      <c r="C13" s="9">
        <v>763</v>
      </c>
      <c r="F13" s="31">
        <v>25</v>
      </c>
      <c r="I13" s="2">
        <f t="shared" ref="I13:I14" si="1">LOG(C13*0.000000001)</f>
        <v>-6.1174754620451193</v>
      </c>
    </row>
    <row r="14" spans="1:15">
      <c r="A14" s="6"/>
      <c r="B14" s="7">
        <v>45555</v>
      </c>
      <c r="C14" s="9">
        <v>419</v>
      </c>
      <c r="E14" s="11">
        <f>E12/D12</f>
        <v>0.26085022138624958</v>
      </c>
      <c r="F14" s="31">
        <v>31.3</v>
      </c>
      <c r="I14" s="2">
        <f t="shared" si="1"/>
        <v>-6.3777859770337049</v>
      </c>
    </row>
    <row r="15" spans="1:15">
      <c r="A15" s="26" t="s">
        <v>17</v>
      </c>
      <c r="B15" s="7">
        <v>45555</v>
      </c>
      <c r="C15" s="9">
        <v>437</v>
      </c>
      <c r="F15" s="31">
        <v>31.8</v>
      </c>
    </row>
    <row r="16" spans="1:15">
      <c r="A16" s="6"/>
      <c r="B16" s="7"/>
      <c r="C16" s="9"/>
    </row>
    <row r="17" spans="1:15">
      <c r="A17" s="46">
        <v>34489</v>
      </c>
      <c r="B17" s="14" t="s">
        <v>10</v>
      </c>
      <c r="C17" s="2" t="s">
        <v>37</v>
      </c>
      <c r="D17" s="3" t="s">
        <v>12</v>
      </c>
      <c r="E17" s="2" t="s">
        <v>13</v>
      </c>
      <c r="F17" s="2" t="s">
        <v>14</v>
      </c>
      <c r="G17" s="2" t="s">
        <v>15</v>
      </c>
      <c r="H17" s="2" t="s">
        <v>13</v>
      </c>
      <c r="I17" s="2" t="s">
        <v>16</v>
      </c>
    </row>
    <row r="18" spans="1:15">
      <c r="A18" s="6"/>
      <c r="B18" s="7">
        <v>45553</v>
      </c>
      <c r="C18" s="9">
        <v>988.6</v>
      </c>
      <c r="D18" s="31">
        <f>AVERAGE(C18:C22)</f>
        <v>886.95</v>
      </c>
      <c r="E18" s="31">
        <f>STDEV(C18:C22)/SQRT(COUNT(C18:C22))</f>
        <v>54.402152224582238</v>
      </c>
      <c r="F18" s="31">
        <v>54</v>
      </c>
      <c r="G18" s="3">
        <f>AVERAGE(F18:F22)</f>
        <v>53.3</v>
      </c>
      <c r="H18" s="3">
        <f>STDEV(F18:F22)/SQRT(COUNT(F18:F22))</f>
        <v>0.74049532971743459</v>
      </c>
      <c r="I18" s="2">
        <f>LOG(C18*0.000000001)</f>
        <v>-6.0049793938752423</v>
      </c>
    </row>
    <row r="19" spans="1:15">
      <c r="A19" s="6"/>
      <c r="B19" s="7">
        <v>45553</v>
      </c>
      <c r="C19" s="9">
        <v>919.4</v>
      </c>
      <c r="F19" s="31">
        <v>54.3</v>
      </c>
      <c r="I19" s="2">
        <f t="shared" ref="I19:I20" si="2">LOG(C19*0.000000001)</f>
        <v>-6.0364955005857093</v>
      </c>
    </row>
    <row r="20" spans="1:15">
      <c r="A20" s="6"/>
      <c r="B20" s="7">
        <v>45555</v>
      </c>
      <c r="C20" s="9">
        <v>906.9</v>
      </c>
      <c r="E20" s="11">
        <f>E18/D18</f>
        <v>6.1336210862599057E-2</v>
      </c>
      <c r="F20" s="31">
        <v>51.1</v>
      </c>
      <c r="I20" s="2">
        <f t="shared" si="2"/>
        <v>-6.0424405981025204</v>
      </c>
    </row>
    <row r="21" spans="1:15">
      <c r="A21" s="26" t="s">
        <v>17</v>
      </c>
      <c r="B21" s="7">
        <v>45555</v>
      </c>
      <c r="C21" s="9">
        <v>732.9</v>
      </c>
      <c r="F21" s="31">
        <v>53.8</v>
      </c>
    </row>
    <row r="22" spans="1:15" s="2" customFormat="1">
      <c r="A22" s="1"/>
      <c r="B22" s="14"/>
      <c r="D22" s="3"/>
      <c r="J22"/>
      <c r="K22"/>
      <c r="L22"/>
      <c r="M22"/>
      <c r="N22"/>
      <c r="O22" s="16"/>
    </row>
    <row r="23" spans="1:15" s="2" customFormat="1">
      <c r="A23" s="1"/>
      <c r="B23" s="7"/>
      <c r="D23" s="3"/>
      <c r="J23"/>
      <c r="K23"/>
      <c r="L23"/>
      <c r="M23"/>
      <c r="N23"/>
      <c r="O23" s="16"/>
    </row>
    <row r="27" spans="1:15" s="2" customFormat="1">
      <c r="A27" s="1"/>
      <c r="B27" s="14"/>
      <c r="D27" s="3"/>
      <c r="J27"/>
      <c r="K27"/>
      <c r="L27"/>
      <c r="M27"/>
      <c r="N27"/>
      <c r="O27" s="16"/>
    </row>
    <row r="28" spans="1:15" s="2" customFormat="1">
      <c r="A28" s="1"/>
      <c r="B28" s="7"/>
      <c r="D28" s="3"/>
      <c r="J28"/>
      <c r="K28"/>
      <c r="L28"/>
      <c r="M28"/>
      <c r="N28"/>
      <c r="O28" s="16"/>
    </row>
    <row r="32" spans="1:15" s="2" customFormat="1">
      <c r="A32" s="1"/>
      <c r="B32" s="14"/>
      <c r="D32" s="3"/>
      <c r="J32"/>
      <c r="K32"/>
      <c r="L32"/>
      <c r="M32"/>
      <c r="N32"/>
      <c r="O32" s="16"/>
    </row>
    <row r="33" spans="1:15" s="2" customFormat="1">
      <c r="A33" s="1"/>
      <c r="B33" s="7"/>
      <c r="D33" s="3"/>
      <c r="J33"/>
      <c r="K33"/>
      <c r="L33"/>
      <c r="M33"/>
      <c r="N33"/>
      <c r="O33" s="16"/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AC21113D08CA4AA11B94D049CCA957" ma:contentTypeVersion="15" ma:contentTypeDescription="Create a new document." ma:contentTypeScope="" ma:versionID="5162a5de96b135813ee1897b46c91040">
  <xsd:schema xmlns:xsd="http://www.w3.org/2001/XMLSchema" xmlns:xs="http://www.w3.org/2001/XMLSchema" xmlns:p="http://schemas.microsoft.com/office/2006/metadata/properties" xmlns:ns2="1a253495-b0d9-40a4-8e1c-242bf5431677" xmlns:ns3="8cafe7d8-4bd4-4378-b54d-cfdec05ca8b5" targetNamespace="http://schemas.microsoft.com/office/2006/metadata/properties" ma:root="true" ma:fieldsID="bb0e9f5f971dd36718e546493f1efd59" ns2:_="" ns3:_="">
    <xsd:import namespace="1a253495-b0d9-40a4-8e1c-242bf5431677"/>
    <xsd:import namespace="8cafe7d8-4bd4-4378-b54d-cfdec05ca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53495-b0d9-40a4-8e1c-242bf5431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841b39-9e5f-4b0d-aa4b-9252280a9f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fe7d8-4bd4-4378-b54d-cfdec05ca8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7c2b24-8ad0-483f-a40b-c3025bba6f1f}" ma:internalName="TaxCatchAll" ma:showField="CatchAllData" ma:web="8cafe7d8-4bd4-4378-b54d-cfdec05ca8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afe7d8-4bd4-4378-b54d-cfdec05ca8b5" xsi:nil="true"/>
    <lcf76f155ced4ddcb4097134ff3c332f xmlns="1a253495-b0d9-40a4-8e1c-242bf54316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0BB628-F41F-4649-BB07-1B4652E158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253495-b0d9-40a4-8e1c-242bf5431677"/>
    <ds:schemaRef ds:uri="8cafe7d8-4bd4-4378-b54d-cfdec05ca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FF9074-50ED-44AB-8224-A7F911C300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60F14A-953D-487C-A4EE-4F202D43C7C9}">
  <ds:schemaRefs>
    <ds:schemaRef ds:uri="8cafe7d8-4bd4-4378-b54d-cfdec05ca8b5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1a253495-b0d9-40a4-8e1c-242bf543167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5HT1A GTPgS Agonist</vt:lpstr>
      <vt:lpstr>5HT1A GTPgS Antag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Laura Kozell</cp:lastModifiedBy>
  <cp:revision/>
  <cp:lastPrinted>2024-10-12T00:23:05Z</cp:lastPrinted>
  <dcterms:created xsi:type="dcterms:W3CDTF">2022-03-09T19:39:31Z</dcterms:created>
  <dcterms:modified xsi:type="dcterms:W3CDTF">2024-10-12T00:25:24Z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0x010100D7AC21113D08CA4AA11B94D049CCA957</vt:lpwstr>
  </property>
  <property fmtid="{D5CDD505-2E9C-101B-9397-08002B2CF9AE}" pid="3" name="Order">
    <vt:r8>5900</vt:r8>
  </property>
  <property fmtid="{D5CDD505-2E9C-101B-9397-08002B2CF9AE}" pid="4" name="MediaServiceImageTags">
    <vt:lpwstr/>
  </property>
</Properties>
</file>