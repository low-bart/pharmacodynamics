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hsuitg.sharepoint.com/sites/SM.Janowsky-Lab/Shared Documents/General/X Drive/FDA CB Project/Data for Neil Adjacent/Binding Analysis/d9THC/"/>
    </mc:Choice>
  </mc:AlternateContent>
  <xr:revisionPtr revIDLastSave="78" documentId="8_{25F9416D-7574-4D95-A98A-318B67D8BAB4}" xr6:coauthVersionLast="47" xr6:coauthVersionMax="47" xr10:uidLastSave="{9D3E0A19-F8B7-4AB5-8CBE-C26BE5B47EFF}"/>
  <bookViews>
    <workbookView xWindow="25695" yWindow="0" windowWidth="26010" windowHeight="20985" xr2:uid="{840A1A76-7902-44DA-A2B6-690EA8727842}"/>
  </bookViews>
  <sheets>
    <sheet name=" Delta-9-TH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17" i="1"/>
  <c r="D16" i="1"/>
  <c r="D15" i="1"/>
  <c r="D14" i="1"/>
  <c r="D8" i="1"/>
  <c r="H8" i="1"/>
  <c r="H7" i="1"/>
  <c r="G24" i="1"/>
  <c r="F24" i="1"/>
  <c r="B24" i="1"/>
  <c r="C24" i="1"/>
  <c r="H12" i="1"/>
  <c r="H13" i="1"/>
  <c r="H14" i="1"/>
  <c r="H15" i="1"/>
  <c r="H16" i="1"/>
  <c r="H17" i="1"/>
  <c r="H18" i="1"/>
  <c r="H19" i="1"/>
  <c r="D19" i="1"/>
  <c r="D18" i="1"/>
  <c r="D13" i="1"/>
  <c r="D12" i="1"/>
  <c r="E10" i="1"/>
  <c r="E11" i="1"/>
  <c r="E9" i="1"/>
  <c r="D6" i="1"/>
  <c r="E24" i="1" l="1"/>
  <c r="D24" i="1"/>
  <c r="C22" i="1" l="1"/>
  <c r="I9" i="1"/>
  <c r="I10" i="1"/>
  <c r="I11" i="1"/>
  <c r="H6" i="1"/>
  <c r="A24" i="1"/>
  <c r="I24" i="1" l="1"/>
  <c r="H24" i="1"/>
  <c r="J24" i="1"/>
</calcChain>
</file>

<file path=xl/sharedStrings.xml><?xml version="1.0" encoding="utf-8"?>
<sst xmlns="http://schemas.openxmlformats.org/spreadsheetml/2006/main" count="27" uniqueCount="22">
  <si>
    <t>Hill slope</t>
  </si>
  <si>
    <t>Excluded IC50s</t>
  </si>
  <si>
    <t>Excluded Kis</t>
  </si>
  <si>
    <t>log Ki</t>
  </si>
  <si>
    <t>Notes:</t>
  </si>
  <si>
    <t xml:space="preserve">Hill  slope constrained </t>
  </si>
  <si>
    <t>IC50 (nM)</t>
  </si>
  <si>
    <t>Ki (nM)</t>
  </si>
  <si>
    <t>% error (Ki)</t>
  </si>
  <si>
    <t>Excluded Hill slope</t>
  </si>
  <si>
    <t>Date</t>
  </si>
  <si>
    <t>[3H]CP55940 Kd (nM)</t>
  </si>
  <si>
    <t># Expts</t>
  </si>
  <si>
    <t>Ave IC50 ± sem</t>
  </si>
  <si>
    <t>Ave Ki ± sem</t>
  </si>
  <si>
    <t>Ave Hill Slope ± sem</t>
  </si>
  <si>
    <t>Excluded log Ki</t>
  </si>
  <si>
    <t>Ave log Ki ± sem</t>
  </si>
  <si>
    <t>HEK-CB1 Cells [3H]CP55940 Competition Binding Results</t>
  </si>
  <si>
    <t>Summary Statistics</t>
  </si>
  <si>
    <t xml:space="preserve"> Delta-9-THC</t>
  </si>
  <si>
    <t>Excluded: experimental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</si>
</sst>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36">
    <xf numFmtId="0" fontId="0" fillId="0" borderId="0" xfId="0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2" fontId="5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65" fontId="3" fillId="0" borderId="0" xfId="1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2" fontId="5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0" borderId="0" xfId="0" applyFont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center" vertical="center"/>
    </xf>
    <xf numFmtId="165" fontId="9" fillId="0" borderId="0" xfId="1" applyNumberFormat="1" applyFont="1" applyFill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 wrapText="1"/>
    </xf>
    <xf numFmtId="166" fontId="5" fillId="2" borderId="0" xfId="0" applyNumberFormat="1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 wrapText="1"/>
    </xf>
  </cellXfs>
  <cellStyles count="3">
    <cellStyle name="Normal" xfId="0" builtinId="0"/>
    <cellStyle name="Normal 2" xfId="2" xr:uid="{BCFD873E-822D-4C05-8369-2E1945B1FFA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C948-C527-4B3E-8814-581D7EF41DF8}">
  <dimension ref="A1:M26"/>
  <sheetViews>
    <sheetView tabSelected="1" zoomScale="130" zoomScaleNormal="130" workbookViewId="0">
      <selection activeCell="J8" sqref="J8"/>
    </sheetView>
  </sheetViews>
  <sheetFormatPr defaultColWidth="8.85546875" defaultRowHeight="18" customHeight="1" x14ac:dyDescent="0.25"/>
  <cols>
    <col min="1" max="1" width="13" style="3" customWidth="1"/>
    <col min="2" max="2" width="8.42578125" style="30" customWidth="1"/>
    <col min="3" max="3" width="10.85546875" style="3" customWidth="1"/>
    <col min="4" max="4" width="7.85546875" style="3" customWidth="1"/>
    <col min="5" max="5" width="10.7109375" style="3" customWidth="1"/>
    <col min="6" max="6" width="10.85546875" style="3" customWidth="1"/>
    <col min="7" max="7" width="10.28515625" style="3" customWidth="1"/>
    <col min="8" max="8" width="8.7109375" style="4" customWidth="1"/>
    <col min="9" max="9" width="10.42578125" style="2" customWidth="1"/>
    <col min="10" max="10" width="19.7109375" style="2" customWidth="1"/>
    <col min="11" max="14" width="8.85546875" style="2"/>
    <col min="15" max="15" width="22.42578125" style="2" customWidth="1"/>
    <col min="16" max="19" width="6.7109375" style="2" customWidth="1"/>
    <col min="20" max="21" width="7.140625" style="2" customWidth="1"/>
    <col min="22" max="22" width="4.140625" style="2" customWidth="1"/>
    <col min="23" max="16384" width="8.85546875" style="2"/>
  </cols>
  <sheetData>
    <row r="1" spans="1:13" ht="18" customHeight="1" x14ac:dyDescent="0.25">
      <c r="A1" s="33" t="s">
        <v>20</v>
      </c>
      <c r="B1" s="33"/>
      <c r="C1" s="33"/>
      <c r="D1" s="33"/>
      <c r="E1" s="33"/>
      <c r="F1" s="33"/>
      <c r="G1" s="33"/>
      <c r="H1" s="33"/>
      <c r="I1" s="33"/>
      <c r="J1" s="33"/>
    </row>
    <row r="2" spans="1:13" ht="18" customHeight="1" x14ac:dyDescent="0.25">
      <c r="A2" s="1" t="s">
        <v>18</v>
      </c>
      <c r="D2" s="4"/>
      <c r="F2" s="5"/>
      <c r="G2" s="6"/>
      <c r="H2" s="7"/>
    </row>
    <row r="3" spans="1:13" ht="18" customHeight="1" x14ac:dyDescent="0.25">
      <c r="A3" s="8"/>
      <c r="B3" s="35" t="s">
        <v>11</v>
      </c>
      <c r="C3" s="35"/>
      <c r="D3" s="35"/>
      <c r="E3" s="9">
        <v>1.5429999999999999</v>
      </c>
      <c r="F3" s="10"/>
      <c r="G3" s="6"/>
    </row>
    <row r="5" spans="1:13" ht="33.950000000000003" customHeight="1" x14ac:dyDescent="0.25">
      <c r="A5" s="22" t="s">
        <v>10</v>
      </c>
      <c r="B5" s="31" t="s">
        <v>6</v>
      </c>
      <c r="C5" s="22" t="s">
        <v>1</v>
      </c>
      <c r="D5" s="23" t="s">
        <v>7</v>
      </c>
      <c r="E5" s="22" t="s">
        <v>2</v>
      </c>
      <c r="F5" s="24" t="s">
        <v>0</v>
      </c>
      <c r="G5" s="25" t="s">
        <v>9</v>
      </c>
      <c r="H5" s="23" t="s">
        <v>3</v>
      </c>
      <c r="I5" s="25" t="s">
        <v>16</v>
      </c>
      <c r="J5" s="26" t="s">
        <v>4</v>
      </c>
      <c r="K5" s="11"/>
      <c r="L5" s="11"/>
      <c r="M5" s="11"/>
    </row>
    <row r="6" spans="1:13" ht="18" customHeight="1" x14ac:dyDescent="0.25">
      <c r="A6" s="12">
        <v>45264</v>
      </c>
      <c r="B6" s="29">
        <v>51.78</v>
      </c>
      <c r="D6" s="29">
        <f>B6/(1+(0.27/$E$3))</f>
        <v>44.068692774407062</v>
      </c>
      <c r="F6" s="14">
        <v>-1.028</v>
      </c>
      <c r="H6" s="14">
        <f>LOG(B6*0.000000001)</f>
        <v>-7.2858379539011464</v>
      </c>
      <c r="L6" s="11"/>
      <c r="M6" s="11"/>
    </row>
    <row r="7" spans="1:13" ht="18" customHeight="1" x14ac:dyDescent="0.25">
      <c r="A7" s="12">
        <v>45265</v>
      </c>
      <c r="B7" s="29">
        <v>137.5</v>
      </c>
      <c r="D7" s="29">
        <f>B7/(1+(0.65/$E$3))</f>
        <v>96.745326037391706</v>
      </c>
      <c r="F7" s="14">
        <v>-1.0740000000000001</v>
      </c>
      <c r="G7" s="4"/>
      <c r="H7" s="14">
        <f>LOG(B7*0.000000001)</f>
        <v>-6.8616973018337184</v>
      </c>
      <c r="K7" s="11"/>
      <c r="L7" s="11"/>
      <c r="M7" s="11"/>
    </row>
    <row r="8" spans="1:13" ht="18" customHeight="1" x14ac:dyDescent="0.25">
      <c r="A8" s="12">
        <v>45266</v>
      </c>
      <c r="B8" s="29">
        <v>81.53</v>
      </c>
      <c r="C8" s="15"/>
      <c r="D8" s="29">
        <f>B8/(1+(0.47/$E$3))</f>
        <v>62.494182811723796</v>
      </c>
      <c r="F8" s="14">
        <v>-0.98340000000000005</v>
      </c>
      <c r="G8" s="14"/>
      <c r="H8" s="14">
        <f t="shared" ref="H8:H19" si="0">LOG(B8*0.000000001)</f>
        <v>-7.0886825576759698</v>
      </c>
      <c r="I8" s="14"/>
      <c r="J8" s="11"/>
      <c r="K8" s="11"/>
      <c r="L8" s="11"/>
      <c r="M8" s="11"/>
    </row>
    <row r="9" spans="1:13" ht="18" customHeight="1" x14ac:dyDescent="0.25">
      <c r="A9" s="12">
        <v>45303</v>
      </c>
      <c r="C9" s="29">
        <v>29.63</v>
      </c>
      <c r="E9" s="29">
        <f>C9/(1+(0.79/$E$3))</f>
        <v>19.596695242177454</v>
      </c>
      <c r="G9" s="14">
        <v>-1</v>
      </c>
      <c r="I9" s="14">
        <f>LOG(C9*0.000000001)</f>
        <v>-7.5282683485199486</v>
      </c>
      <c r="J9" s="2" t="s">
        <v>21</v>
      </c>
      <c r="K9" s="11"/>
      <c r="L9" s="11"/>
      <c r="M9" s="11"/>
    </row>
    <row r="10" spans="1:13" ht="18" customHeight="1" x14ac:dyDescent="0.25">
      <c r="A10" s="12">
        <v>45303</v>
      </c>
      <c r="B10" s="2"/>
      <c r="C10" s="30">
        <v>178.8</v>
      </c>
      <c r="D10" s="2"/>
      <c r="E10" s="29">
        <f>C10/(1+(0.79/$E$3))</f>
        <v>118.25477925417917</v>
      </c>
      <c r="F10" s="2"/>
      <c r="G10" s="14">
        <v>-1</v>
      </c>
      <c r="H10" s="2"/>
      <c r="I10" s="14">
        <f>LOG(C10*0.000000001)</f>
        <v>-6.7476324855401009</v>
      </c>
      <c r="J10" s="2" t="s">
        <v>21</v>
      </c>
      <c r="K10" s="11"/>
      <c r="L10" s="11"/>
      <c r="M10" s="11"/>
    </row>
    <row r="11" spans="1:13" ht="18" customHeight="1" x14ac:dyDescent="0.25">
      <c r="A11" s="12">
        <v>45303</v>
      </c>
      <c r="B11" s="2"/>
      <c r="C11" s="30">
        <v>182.8</v>
      </c>
      <c r="D11" s="2"/>
      <c r="E11" s="29">
        <f>C11/(1+(0.79/$E$3))</f>
        <v>120.90030004286328</v>
      </c>
      <c r="F11" s="2"/>
      <c r="G11" s="14">
        <v>-1</v>
      </c>
      <c r="H11" s="2"/>
      <c r="I11" s="14">
        <f>LOG(C11*0.000000001)</f>
        <v>-6.7380238086021871</v>
      </c>
      <c r="J11" s="2" t="s">
        <v>21</v>
      </c>
      <c r="K11" s="11"/>
      <c r="L11" s="11"/>
      <c r="M11" s="11"/>
    </row>
    <row r="12" spans="1:13" ht="18" customHeight="1" x14ac:dyDescent="0.25">
      <c r="A12" s="12">
        <v>45314</v>
      </c>
      <c r="B12" s="29">
        <v>81.56</v>
      </c>
      <c r="D12" s="29">
        <f>B12/(1+(0.71/$E$3))</f>
        <v>55.85755881047492</v>
      </c>
      <c r="F12" s="14">
        <v>-1</v>
      </c>
      <c r="G12" s="14"/>
      <c r="H12" s="14">
        <f t="shared" si="0"/>
        <v>-7.0885227828938975</v>
      </c>
      <c r="J12" s="2" t="s">
        <v>5</v>
      </c>
      <c r="K12" s="11"/>
      <c r="L12" s="11"/>
      <c r="M12" s="11"/>
    </row>
    <row r="13" spans="1:13" ht="18" customHeight="1" x14ac:dyDescent="0.25">
      <c r="A13" s="12">
        <v>45316</v>
      </c>
      <c r="B13" s="30">
        <v>29.35</v>
      </c>
      <c r="C13" s="15"/>
      <c r="D13" s="29">
        <f>B13/(1+(0.66/$E$3))</f>
        <v>20.556990467544257</v>
      </c>
      <c r="E13" s="13"/>
      <c r="F13" s="14">
        <v>-0.68500000000000005</v>
      </c>
      <c r="G13" s="14"/>
      <c r="H13" s="14">
        <f t="shared" si="0"/>
        <v>-7.5323918944163664</v>
      </c>
      <c r="I13" s="14"/>
      <c r="J13" s="11"/>
      <c r="K13" s="11"/>
      <c r="L13" s="11"/>
      <c r="M13" s="11"/>
    </row>
    <row r="14" spans="1:13" ht="18" customHeight="1" x14ac:dyDescent="0.25">
      <c r="A14" s="12">
        <v>45324</v>
      </c>
      <c r="B14" s="29">
        <v>222.7</v>
      </c>
      <c r="C14" s="2"/>
      <c r="D14" s="29">
        <f>B14/(1+(0.79/$E$3))</f>
        <v>147.28936990998713</v>
      </c>
      <c r="E14" s="2"/>
      <c r="F14" s="14">
        <v>-0.83120000000000005</v>
      </c>
      <c r="G14" s="2"/>
      <c r="H14" s="14">
        <f>LOG(B14*0.000000001)</f>
        <v>-6.6522797829659615</v>
      </c>
      <c r="J14" s="11"/>
      <c r="K14" s="11"/>
      <c r="L14" s="11"/>
      <c r="M14" s="11"/>
    </row>
    <row r="15" spans="1:13" ht="18" customHeight="1" x14ac:dyDescent="0.25">
      <c r="A15" s="12">
        <v>45324</v>
      </c>
      <c r="B15" s="29">
        <v>42.32</v>
      </c>
      <c r="C15" s="16"/>
      <c r="D15" s="29">
        <f>B15/(1+(0.79/$E$3))</f>
        <v>27.989609944277753</v>
      </c>
      <c r="E15" s="16"/>
      <c r="F15" s="14">
        <v>-1</v>
      </c>
      <c r="G15" s="16"/>
      <c r="H15" s="14">
        <f t="shared" si="0"/>
        <v>-7.373454340972871</v>
      </c>
      <c r="I15" s="11"/>
      <c r="J15" s="2" t="s">
        <v>5</v>
      </c>
      <c r="K15" s="11"/>
      <c r="L15" s="11"/>
      <c r="M15" s="11"/>
    </row>
    <row r="16" spans="1:13" ht="18" customHeight="1" x14ac:dyDescent="0.25">
      <c r="A16" s="12">
        <v>45324</v>
      </c>
      <c r="B16" s="29">
        <v>73.209999999999994</v>
      </c>
      <c r="C16" s="16"/>
      <c r="D16" s="29">
        <f>B16/(1+(0.79/$E$3))</f>
        <v>48.419644234890697</v>
      </c>
      <c r="E16" s="16"/>
      <c r="F16" s="14">
        <v>-1</v>
      </c>
      <c r="G16" s="16"/>
      <c r="H16" s="14">
        <f t="shared" si="0"/>
        <v>-7.1354295931465694</v>
      </c>
      <c r="I16" s="11"/>
      <c r="J16" s="2" t="s">
        <v>5</v>
      </c>
      <c r="K16" s="11"/>
      <c r="L16" s="11"/>
      <c r="M16" s="11"/>
    </row>
    <row r="17" spans="1:13" ht="18" customHeight="1" x14ac:dyDescent="0.25">
      <c r="A17" s="12">
        <v>45331</v>
      </c>
      <c r="B17" s="29">
        <v>115.3</v>
      </c>
      <c r="C17" s="16"/>
      <c r="D17" s="29">
        <f>B17/(1+(0.78/$E$3))</f>
        <v>76.585406801549709</v>
      </c>
      <c r="E17" s="16"/>
      <c r="F17" s="14">
        <v>-1</v>
      </c>
      <c r="G17" s="16"/>
      <c r="H17" s="14">
        <f t="shared" si="0"/>
        <v>-6.9381706927053006</v>
      </c>
      <c r="I17" s="11"/>
      <c r="J17" s="2" t="s">
        <v>5</v>
      </c>
      <c r="K17" s="11"/>
      <c r="L17" s="11"/>
      <c r="M17" s="11"/>
    </row>
    <row r="18" spans="1:13" ht="18" customHeight="1" x14ac:dyDescent="0.25">
      <c r="A18" s="12">
        <v>45365</v>
      </c>
      <c r="B18" s="29">
        <v>11.33</v>
      </c>
      <c r="C18" s="16"/>
      <c r="D18" s="29">
        <f>B18/(1+(1.3/$E$3))</f>
        <v>6.1492050650721071</v>
      </c>
      <c r="E18" s="16"/>
      <c r="F18" s="14">
        <v>-0.80369999999999997</v>
      </c>
      <c r="G18" s="16"/>
      <c r="H18" s="14">
        <f t="shared" si="0"/>
        <v>-7.9457700901366026</v>
      </c>
      <c r="I18" s="11"/>
      <c r="J18" s="11"/>
      <c r="K18" s="11"/>
      <c r="L18" s="11"/>
      <c r="M18" s="11"/>
    </row>
    <row r="19" spans="1:13" ht="18" customHeight="1" x14ac:dyDescent="0.25">
      <c r="A19" s="12">
        <v>45372</v>
      </c>
      <c r="B19" s="29">
        <v>71.38</v>
      </c>
      <c r="C19" s="16"/>
      <c r="D19" s="29">
        <f>B19/(1+(1.29/$E$3))</f>
        <v>38.877282033180371</v>
      </c>
      <c r="E19" s="16"/>
      <c r="F19" s="14">
        <v>-1.2430000000000001</v>
      </c>
      <c r="G19" s="16"/>
      <c r="H19" s="14">
        <f t="shared" si="0"/>
        <v>-7.1464234563803588</v>
      </c>
      <c r="I19" s="11"/>
      <c r="J19" s="11"/>
      <c r="K19" s="11"/>
      <c r="L19" s="11"/>
      <c r="M19" s="11"/>
    </row>
    <row r="20" spans="1:13" ht="18" customHeight="1" x14ac:dyDescent="0.25">
      <c r="A20" s="12"/>
      <c r="B20" s="29"/>
      <c r="C20" s="16"/>
      <c r="D20" s="13"/>
      <c r="E20" s="16"/>
      <c r="F20" s="14"/>
      <c r="G20" s="16"/>
      <c r="H20" s="14"/>
      <c r="I20" s="11"/>
      <c r="J20" s="11"/>
      <c r="K20" s="11"/>
      <c r="L20" s="11"/>
      <c r="M20" s="11"/>
    </row>
    <row r="22" spans="1:13" ht="18" customHeight="1" x14ac:dyDescent="0.25">
      <c r="A22" s="19"/>
      <c r="B22" s="32"/>
      <c r="C22" s="20" t="str">
        <f>A1</f>
        <v xml:space="preserve"> Delta-9-THC</v>
      </c>
      <c r="D22" s="20"/>
      <c r="E22" s="20" t="s">
        <v>19</v>
      </c>
      <c r="F22" s="20"/>
      <c r="G22" s="20"/>
      <c r="H22" s="20"/>
      <c r="I22" s="21"/>
      <c r="J22" s="21"/>
    </row>
    <row r="23" spans="1:13" ht="18" customHeight="1" x14ac:dyDescent="0.25">
      <c r="A23" s="27" t="s">
        <v>12</v>
      </c>
      <c r="B23" s="34" t="s">
        <v>13</v>
      </c>
      <c r="C23" s="34"/>
      <c r="D23" s="34" t="s">
        <v>14</v>
      </c>
      <c r="E23" s="34"/>
      <c r="F23" s="34" t="s">
        <v>15</v>
      </c>
      <c r="G23" s="34"/>
      <c r="H23" s="34" t="s">
        <v>17</v>
      </c>
      <c r="I23" s="34"/>
      <c r="J23" s="28" t="s">
        <v>8</v>
      </c>
    </row>
    <row r="24" spans="1:13" ht="18" customHeight="1" x14ac:dyDescent="0.25">
      <c r="A24" s="17">
        <f>COUNT(B6:B20)</f>
        <v>11</v>
      </c>
      <c r="B24" s="29">
        <f>AVERAGE(B6:B21)</f>
        <v>83.450909090909107</v>
      </c>
      <c r="C24" s="29">
        <f>STDEV(B6:B21)/SQRT(COUNT(B6:B21))</f>
        <v>17.685885150416382</v>
      </c>
      <c r="D24" s="29">
        <f>AVERAGE(D6:D21)</f>
        <v>56.821206262772677</v>
      </c>
      <c r="E24" s="29">
        <f>STDEV(D6:D21)/SQRT(COUNT(D6:D21))</f>
        <v>11.859542431838486</v>
      </c>
      <c r="F24" s="14">
        <f>AVERAGE(F6:F21)</f>
        <v>-0.96802727272727285</v>
      </c>
      <c r="G24" s="14">
        <f>STDEV(F6:F21)/SQRT(COUNT(F6:F21))</f>
        <v>4.4781477686669034E-2</v>
      </c>
      <c r="H24" s="14">
        <f>AVERAGE(H6:H21)</f>
        <v>-7.1862418588207966</v>
      </c>
      <c r="I24" s="14">
        <f>STDEV(H6:H21)/SQRT(COUNT(H6:H21))</f>
        <v>0.10517902810628527</v>
      </c>
      <c r="J24" s="18">
        <f>E24/D24</f>
        <v>0.20871683675621747</v>
      </c>
    </row>
    <row r="25" spans="1:13" ht="18" customHeight="1" x14ac:dyDescent="0.25">
      <c r="D25" s="2"/>
    </row>
    <row r="26" spans="1:13" ht="18" customHeight="1" x14ac:dyDescent="0.25">
      <c r="D26" s="2"/>
    </row>
  </sheetData>
  <mergeCells count="6">
    <mergeCell ref="A1:J1"/>
    <mergeCell ref="H23:I23"/>
    <mergeCell ref="B3:D3"/>
    <mergeCell ref="B23:C23"/>
    <mergeCell ref="D23:E23"/>
    <mergeCell ref="F23:G23"/>
  </mergeCells>
  <pageMargins left="0.7" right="0.7" top="0.5" bottom="0.5" header="0.3" footer="0.3"/>
  <pageSetup orientation="landscape" r:id="rId1"/>
  <ignoredErrors>
    <ignoredError sqref="C24 E24 G24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AC21113D08CA4AA11B94D049CCA957" ma:contentTypeVersion="15" ma:contentTypeDescription="Create a new document." ma:contentTypeScope="" ma:versionID="5162a5de96b135813ee1897b46c91040">
  <xsd:schema xmlns:xsd="http://www.w3.org/2001/XMLSchema" xmlns:xs="http://www.w3.org/2001/XMLSchema" xmlns:p="http://schemas.microsoft.com/office/2006/metadata/properties" xmlns:ns2="1a253495-b0d9-40a4-8e1c-242bf5431677" xmlns:ns3="8cafe7d8-4bd4-4378-b54d-cfdec05ca8b5" targetNamespace="http://schemas.microsoft.com/office/2006/metadata/properties" ma:root="true" ma:fieldsID="bb0e9f5f971dd36718e546493f1efd59" ns2:_="" ns3:_="">
    <xsd:import namespace="1a253495-b0d9-40a4-8e1c-242bf5431677"/>
    <xsd:import namespace="8cafe7d8-4bd4-4378-b54d-cfdec05ca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53495-b0d9-40a4-8e1c-242bf5431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841b39-9e5f-4b0d-aa4b-9252280a9f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fe7d8-4bd4-4378-b54d-cfdec05ca8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7c2b24-8ad0-483f-a40b-c3025bba6f1f}" ma:internalName="TaxCatchAll" ma:showField="CatchAllData" ma:web="8cafe7d8-4bd4-4378-b54d-cfdec05ca8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afe7d8-4bd4-4378-b54d-cfdec05ca8b5" xsi:nil="true"/>
    <lcf76f155ced4ddcb4097134ff3c332f xmlns="1a253495-b0d9-40a4-8e1c-242bf54316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2C7FE6-49B8-4E5C-AC3F-8F033DA081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CEDB3B-2210-4B1D-907F-49DC07C5B2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253495-b0d9-40a4-8e1c-242bf5431677"/>
    <ds:schemaRef ds:uri="8cafe7d8-4bd4-4378-b54d-cfdec05ca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336D4C-ECE4-403D-8A72-5182DA774729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dcmitype/"/>
    <ds:schemaRef ds:uri="1a253495-b0d9-40a4-8e1c-242bf5431677"/>
    <ds:schemaRef ds:uri="http://schemas.microsoft.com/office/infopath/2007/PartnerControls"/>
    <ds:schemaRef ds:uri="8cafe7d8-4bd4-4378-b54d-cfdec05ca8b5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Delta-9-THC</vt:lpstr>
    </vt:vector>
  </TitlesOfParts>
  <Manager/>
  <Company>Oregon Health and Science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Kozell</dc:creator>
  <cp:keywords/>
  <dc:description/>
  <cp:lastModifiedBy>Atheir Abbas</cp:lastModifiedBy>
  <cp:revision/>
  <dcterms:created xsi:type="dcterms:W3CDTF">2022-10-13T18:34:48Z</dcterms:created>
  <dcterms:modified xsi:type="dcterms:W3CDTF">2024-11-24T07:01:48Z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0x010100D7AC21113D08CA4AA11B94D049CCA957</vt:lpwstr>
  </property>
  <property fmtid="{D5CDD505-2E9C-101B-9397-08002B2CF9AE}" pid="3" name="MediaServiceImageTags">
    <vt:lpwstr/>
  </property>
</Properties>
</file>