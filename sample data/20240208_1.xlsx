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1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ohsuitg.sharepoint.com/sites/SM.Janowsky-Lab/Shared Documents/General/X Drive/FDA CB Project/Data for Neil Adjacent/Binding Analysis/_Cyclase Data/"/>
    </mc:Choice>
  </mc:AlternateContent>
  <xr:revisionPtr revIDLastSave="89" documentId="14_{9C344923-C96A-EC4A-9D0F-4F395F9310AB}" xr6:coauthVersionLast="47" xr6:coauthVersionMax="47" xr10:uidLastSave="{6E219A9A-3A6B-2445-A652-94835DCBAF8F}"/>
  <bookViews>
    <workbookView xWindow="1040" yWindow="500" windowWidth="25580" windowHeight="24200" xr2:uid="{00000000-000D-0000-FFFF-FFFF00000000}"/>
  </bookViews>
  <sheets>
    <sheet name="EIA Plate 1" sheetId="6" r:id="rId1"/>
    <sheet name="EIA Plate 2" sheetId="7" r:id="rId2"/>
    <sheet name="Sum P1" sheetId="10" r:id="rId3"/>
    <sheet name="Sum P2" sheetId="11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3" i="11" l="1"/>
  <c r="E34" i="11"/>
  <c r="E35" i="11"/>
  <c r="E36" i="11"/>
  <c r="E37" i="11"/>
  <c r="E38" i="11"/>
  <c r="E24" i="11"/>
  <c r="E25" i="11"/>
  <c r="E26" i="11"/>
  <c r="E27" i="11"/>
  <c r="E28" i="11"/>
  <c r="E29" i="11"/>
  <c r="E15" i="11"/>
  <c r="E16" i="11"/>
  <c r="E17" i="11"/>
  <c r="E18" i="11"/>
  <c r="E19" i="11"/>
  <c r="E20" i="11"/>
  <c r="E33" i="10"/>
  <c r="E34" i="10"/>
  <c r="E35" i="10"/>
  <c r="E36" i="10"/>
  <c r="E37" i="10"/>
  <c r="E38" i="10"/>
  <c r="E24" i="10"/>
  <c r="E25" i="10"/>
  <c r="E26" i="10"/>
  <c r="E27" i="10"/>
  <c r="E28" i="10"/>
  <c r="E29" i="10"/>
  <c r="E15" i="10"/>
  <c r="E16" i="10"/>
  <c r="E17" i="10"/>
  <c r="E18" i="10"/>
  <c r="E19" i="10"/>
  <c r="E20" i="10"/>
  <c r="E14" i="10"/>
  <c r="B11" i="11"/>
  <c r="B9" i="11"/>
  <c r="B10" i="11"/>
  <c r="C11" i="11" l="1"/>
  <c r="C9" i="11"/>
  <c r="B11" i="10"/>
  <c r="B10" i="10"/>
  <c r="B9" i="10"/>
  <c r="D11" i="11" l="1"/>
  <c r="E11" i="11" s="1"/>
  <c r="F37" i="11"/>
  <c r="C9" i="10"/>
  <c r="C11" i="10"/>
  <c r="F15" i="11"/>
  <c r="F19" i="11"/>
  <c r="F25" i="11"/>
  <c r="F29" i="11"/>
  <c r="F35" i="11"/>
  <c r="F28" i="11"/>
  <c r="F34" i="11"/>
  <c r="F38" i="11"/>
  <c r="F20" i="11"/>
  <c r="F26" i="11"/>
  <c r="E32" i="11"/>
  <c r="F32" i="11" s="1"/>
  <c r="E14" i="11"/>
  <c r="F14" i="11" s="1"/>
  <c r="F18" i="11"/>
  <c r="F24" i="11"/>
  <c r="F16" i="11"/>
  <c r="F36" i="11"/>
  <c r="F17" i="11"/>
  <c r="E23" i="11"/>
  <c r="F23" i="11" s="1"/>
  <c r="F27" i="11"/>
  <c r="F33" i="11"/>
  <c r="E32" i="10"/>
  <c r="F17" i="10"/>
  <c r="E23" i="10"/>
  <c r="F25" i="10"/>
  <c r="F32" i="10" l="1"/>
  <c r="F16" i="10"/>
  <c r="F15" i="10"/>
  <c r="F38" i="10"/>
  <c r="F20" i="10"/>
  <c r="F37" i="10"/>
  <c r="F34" i="10"/>
  <c r="F33" i="10"/>
  <c r="F19" i="10"/>
  <c r="F26" i="10"/>
  <c r="F28" i="10"/>
  <c r="F36" i="10"/>
  <c r="F27" i="10"/>
  <c r="F24" i="10"/>
  <c r="F23" i="10"/>
  <c r="F35" i="10"/>
  <c r="F18" i="10"/>
  <c r="F29" i="10"/>
  <c r="F14" i="10"/>
  <c r="D11" i="10"/>
  <c r="E11" i="10" s="1"/>
</calcChain>
</file>

<file path=xl/sharedStrings.xml><?xml version="1.0" encoding="utf-8"?>
<sst xmlns="http://schemas.openxmlformats.org/spreadsheetml/2006/main" count="145" uniqueCount="89">
  <si>
    <t>Date expt</t>
  </si>
  <si>
    <t>x</t>
  </si>
  <si>
    <t>Adenylate cyclase</t>
  </si>
  <si>
    <t>FDA Cannabinoids</t>
  </si>
  <si>
    <t>Plate 1</t>
  </si>
  <si>
    <t>Mean [OD]</t>
  </si>
  <si>
    <t>Std. Dev.</t>
  </si>
  <si>
    <t>%CV</t>
  </si>
  <si>
    <t>pmol/ml</t>
  </si>
  <si>
    <t>Standard Curve</t>
  </si>
  <si>
    <t>Abs = 0.115 + 0.82 / ( 1 - (Conc / 12.2)^-0.749 * exp(0.000545 * Conc)) - 0.82</t>
  </si>
  <si>
    <t>[drug]</t>
  </si>
  <si>
    <t>Sample</t>
  </si>
  <si>
    <t>0.193</t>
  </si>
  <si>
    <t>-12</t>
  </si>
  <si>
    <t>CP-55</t>
  </si>
  <si>
    <t>Assay plate 1</t>
  </si>
  <si>
    <t>0.185</t>
  </si>
  <si>
    <t>-11</t>
  </si>
  <si>
    <t>0.195</t>
  </si>
  <si>
    <t>0.171</t>
  </si>
  <si>
    <t>0.198</t>
  </si>
  <si>
    <t>0.204</t>
  </si>
  <si>
    <t>0.218</t>
  </si>
  <si>
    <t>0.227</t>
  </si>
  <si>
    <t>8-THC-P</t>
  </si>
  <si>
    <t>Standard curve</t>
  </si>
  <si>
    <t>8-THC-O</t>
  </si>
  <si>
    <t>8-THC-V</t>
  </si>
  <si>
    <t>Assay Plate 2</t>
  </si>
  <si>
    <t>Basal</t>
  </si>
  <si>
    <t>Forsk</t>
  </si>
  <si>
    <t>Plate 2</t>
  </si>
  <si>
    <t>Abs = 0.116 + 0.855 / ( 1 - (Conc / 12)^-0.749 * exp(0.000572 * Conc)) - 0.855</t>
  </si>
  <si>
    <t>9-THC-V</t>
  </si>
  <si>
    <t>0.200</t>
  </si>
  <si>
    <t>0.187</t>
  </si>
  <si>
    <t>0.176</t>
  </si>
  <si>
    <t>0.173</t>
  </si>
  <si>
    <t>0.175</t>
  </si>
  <si>
    <t>0.234</t>
  </si>
  <si>
    <t>0.186</t>
  </si>
  <si>
    <t>0.216</t>
  </si>
  <si>
    <t>0.219</t>
  </si>
  <si>
    <t>9-THC</t>
  </si>
  <si>
    <t>0.233</t>
  </si>
  <si>
    <t>0.229</t>
  </si>
  <si>
    <t>raw data at 410 nm</t>
  </si>
  <si>
    <t>0.634</t>
  </si>
  <si>
    <t>0.677</t>
  </si>
  <si>
    <t>0.664</t>
  </si>
  <si>
    <t>0.690</t>
  </si>
  <si>
    <t>0.696</t>
  </si>
  <si>
    <t>0.702</t>
  </si>
  <si>
    <t>0.716</t>
  </si>
  <si>
    <t>0.602</t>
  </si>
  <si>
    <t>Forskolin</t>
  </si>
  <si>
    <t>FSK values off lowest [drug] - experimental error; use 2nd lowest [drug] FSK values</t>
  </si>
  <si>
    <t>HEK-CB1#20 cells, passage #7</t>
  </si>
  <si>
    <t>Cyclase assay- EIA kit</t>
  </si>
  <si>
    <t>30 uM forskolin</t>
  </si>
  <si>
    <t>CP max</t>
  </si>
  <si>
    <t>plate 1-3</t>
  </si>
  <si>
    <t>total</t>
  </si>
  <si>
    <t>specific</t>
  </si>
  <si>
    <t>AGONIST Assay</t>
  </si>
  <si>
    <t>Forskolin:</t>
  </si>
  <si>
    <t>% forskolin</t>
  </si>
  <si>
    <t xml:space="preserve">% inhibition </t>
  </si>
  <si>
    <t>max CP + Fsk</t>
  </si>
  <si>
    <t>set 1</t>
  </si>
  <si>
    <t>% forkolin</t>
  </si>
  <si>
    <t>CP55,940</t>
  </si>
  <si>
    <t>agonist</t>
  </si>
  <si>
    <t>set 2</t>
  </si>
  <si>
    <t>D8 THC-P</t>
  </si>
  <si>
    <t>technical error</t>
  </si>
  <si>
    <t>set 3</t>
  </si>
  <si>
    <t>%forskolin</t>
  </si>
  <si>
    <t>D8-THC-O</t>
  </si>
  <si>
    <t>CP / Fsk</t>
  </si>
  <si>
    <t>AGONISTS</t>
  </si>
  <si>
    <t>set 4</t>
  </si>
  <si>
    <t>D8 THC-V</t>
  </si>
  <si>
    <t>set 5</t>
  </si>
  <si>
    <t>D9 THC-V</t>
  </si>
  <si>
    <t xml:space="preserve"> </t>
  </si>
  <si>
    <t>set 6</t>
  </si>
  <si>
    <t>D9 THC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</si>
</sst>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name val="Arial"/>
      <family val="2"/>
    </font>
    <font>
      <sz val="11"/>
      <color rgb="FFFF0000"/>
      <name val="Arial"/>
      <family val="2"/>
    </font>
    <font>
      <i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1" fillId="0" borderId="0" xfId="0" applyFont="1"/>
    <xf numFmtId="14" fontId="1" fillId="0" borderId="0" xfId="0" applyNumberFormat="1" applyFont="1"/>
    <xf numFmtId="0" fontId="1" fillId="0" borderId="0" xfId="0" applyFont="1" applyAlignment="1">
      <alignment horizontal="center"/>
    </xf>
    <xf numFmtId="0" fontId="2" fillId="0" borderId="8" xfId="0" applyFont="1" applyBorder="1"/>
    <xf numFmtId="0" fontId="1" fillId="0" borderId="1" xfId="0" applyFont="1" applyBorder="1"/>
    <xf numFmtId="0" fontId="1" fillId="0" borderId="9" xfId="0" applyFont="1" applyBorder="1"/>
    <xf numFmtId="0" fontId="3" fillId="0" borderId="2" xfId="0" applyFont="1" applyBorder="1"/>
    <xf numFmtId="0" fontId="3" fillId="0" borderId="0" xfId="0" applyFont="1"/>
    <xf numFmtId="0" fontId="3" fillId="0" borderId="3" xfId="0" applyFont="1" applyBorder="1"/>
    <xf numFmtId="0" fontId="1" fillId="0" borderId="10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2" xfId="0" applyFont="1" applyBorder="1"/>
    <xf numFmtId="0" fontId="1" fillId="0" borderId="8" xfId="0" applyFont="1" applyBorder="1"/>
    <xf numFmtId="0" fontId="1" fillId="0" borderId="3" xfId="0" applyFont="1" applyBorder="1"/>
    <xf numFmtId="0" fontId="1" fillId="0" borderId="10" xfId="0" applyFont="1" applyBorder="1"/>
    <xf numFmtId="0" fontId="1" fillId="0" borderId="4" xfId="0" applyFont="1" applyBorder="1"/>
    <xf numFmtId="0" fontId="1" fillId="0" borderId="11" xfId="0" applyFont="1" applyBorder="1"/>
    <xf numFmtId="2" fontId="1" fillId="0" borderId="0" xfId="0" applyNumberFormat="1" applyFont="1"/>
    <xf numFmtId="49" fontId="1" fillId="0" borderId="0" xfId="0" applyNumberFormat="1" applyFont="1" applyAlignment="1">
      <alignment horizontal="right"/>
    </xf>
    <xf numFmtId="2" fontId="2" fillId="0" borderId="0" xfId="0" applyNumberFormat="1" applyFont="1"/>
    <xf numFmtId="0" fontId="4" fillId="0" borderId="0" xfId="0" applyFont="1"/>
    <xf numFmtId="2" fontId="1" fillId="0" borderId="0" xfId="0" applyNumberFormat="1" applyFont="1" applyAlignment="1">
      <alignment horizontal="center"/>
    </xf>
    <xf numFmtId="2" fontId="2" fillId="0" borderId="8" xfId="0" applyNumberFormat="1" applyFont="1" applyBorder="1"/>
    <xf numFmtId="2" fontId="2" fillId="0" borderId="1" xfId="0" applyNumberFormat="1" applyFont="1" applyBorder="1"/>
    <xf numFmtId="2" fontId="2" fillId="0" borderId="9" xfId="0" applyNumberFormat="1" applyFont="1" applyBorder="1"/>
    <xf numFmtId="2" fontId="3" fillId="0" borderId="2" xfId="0" applyNumberFormat="1" applyFont="1" applyBorder="1"/>
    <xf numFmtId="2" fontId="3" fillId="0" borderId="0" xfId="0" applyNumberFormat="1" applyFont="1"/>
    <xf numFmtId="2" fontId="3" fillId="0" borderId="3" xfId="0" applyNumberFormat="1" applyFont="1" applyBorder="1"/>
    <xf numFmtId="2" fontId="1" fillId="0" borderId="10" xfId="0" applyNumberFormat="1" applyFont="1" applyBorder="1" applyAlignment="1">
      <alignment horizontal="center"/>
    </xf>
    <xf numFmtId="2" fontId="1" fillId="0" borderId="4" xfId="0" applyNumberFormat="1" applyFont="1" applyBorder="1" applyAlignment="1">
      <alignment horizontal="center"/>
    </xf>
    <xf numFmtId="2" fontId="1" fillId="0" borderId="11" xfId="0" applyNumberFormat="1" applyFont="1" applyBorder="1" applyAlignment="1">
      <alignment horizontal="center"/>
    </xf>
    <xf numFmtId="2" fontId="1" fillId="0" borderId="3" xfId="0" applyNumberFormat="1" applyFont="1" applyBorder="1" applyAlignment="1">
      <alignment horizontal="center"/>
    </xf>
    <xf numFmtId="2" fontId="1" fillId="0" borderId="1" xfId="0" applyNumberFormat="1" applyFont="1" applyBorder="1"/>
    <xf numFmtId="2" fontId="1" fillId="0" borderId="2" xfId="0" applyNumberFormat="1" applyFont="1" applyBorder="1"/>
    <xf numFmtId="2" fontId="1" fillId="0" borderId="8" xfId="0" applyNumberFormat="1" applyFont="1" applyBorder="1"/>
    <xf numFmtId="2" fontId="1" fillId="0" borderId="9" xfId="0" applyNumberFormat="1" applyFont="1" applyBorder="1"/>
    <xf numFmtId="2" fontId="1" fillId="0" borderId="3" xfId="0" applyNumberFormat="1" applyFont="1" applyBorder="1"/>
    <xf numFmtId="2" fontId="1" fillId="0" borderId="10" xfId="0" applyNumberFormat="1" applyFont="1" applyBorder="1"/>
    <xf numFmtId="2" fontId="1" fillId="0" borderId="4" xfId="0" applyNumberFormat="1" applyFont="1" applyBorder="1"/>
    <xf numFmtId="2" fontId="1" fillId="0" borderId="11" xfId="0" applyNumberFormat="1" applyFont="1" applyBorder="1"/>
    <xf numFmtId="0" fontId="2" fillId="0" borderId="0" xfId="0" applyFont="1"/>
    <xf numFmtId="0" fontId="1" fillId="0" borderId="0" xfId="0" applyFont="1" applyAlignment="1">
      <alignment horizontal="right"/>
    </xf>
    <xf numFmtId="164" fontId="1" fillId="0" borderId="0" xfId="0" applyNumberFormat="1" applyFont="1"/>
    <xf numFmtId="49" fontId="1" fillId="0" borderId="4" xfId="0" applyNumberFormat="1" applyFont="1" applyBorder="1" applyAlignment="1">
      <alignment horizontal="center"/>
    </xf>
    <xf numFmtId="0" fontId="1" fillId="0" borderId="12" xfId="0" applyFont="1" applyBorder="1"/>
    <xf numFmtId="49" fontId="1" fillId="0" borderId="8" xfId="0" applyNumberFormat="1" applyFont="1" applyBorder="1" applyAlignment="1">
      <alignment horizontal="right"/>
    </xf>
    <xf numFmtId="49" fontId="1" fillId="0" borderId="9" xfId="0" applyNumberFormat="1" applyFont="1" applyBorder="1" applyAlignment="1">
      <alignment horizontal="right"/>
    </xf>
    <xf numFmtId="164" fontId="1" fillId="0" borderId="8" xfId="0" applyNumberFormat="1" applyFont="1" applyBorder="1" applyAlignment="1">
      <alignment horizontal="center"/>
    </xf>
    <xf numFmtId="164" fontId="1" fillId="0" borderId="9" xfId="0" applyNumberFormat="1" applyFont="1" applyBorder="1" applyAlignment="1">
      <alignment horizontal="center"/>
    </xf>
    <xf numFmtId="0" fontId="1" fillId="0" borderId="13" xfId="0" applyFont="1" applyBorder="1"/>
    <xf numFmtId="49" fontId="1" fillId="0" borderId="2" xfId="0" applyNumberFormat="1" applyFont="1" applyBorder="1" applyAlignment="1">
      <alignment horizontal="right"/>
    </xf>
    <xf numFmtId="49" fontId="1" fillId="0" borderId="3" xfId="0" applyNumberFormat="1" applyFont="1" applyBorder="1" applyAlignment="1">
      <alignment horizontal="right"/>
    </xf>
    <xf numFmtId="164" fontId="1" fillId="0" borderId="2" xfId="0" applyNumberFormat="1" applyFont="1" applyBorder="1" applyAlignment="1">
      <alignment horizontal="center"/>
    </xf>
    <xf numFmtId="164" fontId="1" fillId="0" borderId="3" xfId="0" applyNumberFormat="1" applyFon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64" fontId="2" fillId="0" borderId="3" xfId="0" applyNumberFormat="1" applyFont="1" applyBorder="1" applyAlignment="1">
      <alignment horizontal="center"/>
    </xf>
    <xf numFmtId="164" fontId="1" fillId="0" borderId="4" xfId="0" applyNumberFormat="1" applyFont="1" applyBorder="1"/>
    <xf numFmtId="0" fontId="1" fillId="0" borderId="14" xfId="0" applyFont="1" applyBorder="1"/>
    <xf numFmtId="49" fontId="1" fillId="0" borderId="10" xfId="0" applyNumberFormat="1" applyFont="1" applyBorder="1" applyAlignment="1">
      <alignment horizontal="right"/>
    </xf>
    <xf numFmtId="49" fontId="1" fillId="0" borderId="11" xfId="0" applyNumberFormat="1" applyFont="1" applyBorder="1" applyAlignment="1">
      <alignment horizontal="right"/>
    </xf>
    <xf numFmtId="164" fontId="1" fillId="0" borderId="10" xfId="0" applyNumberFormat="1" applyFont="1" applyBorder="1" applyAlignment="1">
      <alignment horizontal="center"/>
    </xf>
    <xf numFmtId="164" fontId="1" fillId="0" borderId="11" xfId="0" applyNumberFormat="1" applyFont="1" applyBorder="1" applyAlignment="1">
      <alignment horizontal="center"/>
    </xf>
    <xf numFmtId="164" fontId="1" fillId="0" borderId="6" xfId="0" applyNumberFormat="1" applyFont="1" applyBorder="1" applyAlignment="1">
      <alignment horizontal="center"/>
    </xf>
    <xf numFmtId="164" fontId="1" fillId="0" borderId="7" xfId="0" applyNumberFormat="1" applyFont="1" applyBorder="1" applyAlignment="1">
      <alignment horizontal="center"/>
    </xf>
    <xf numFmtId="0" fontId="1" fillId="0" borderId="11" xfId="0" applyFont="1" applyBorder="1" applyAlignment="1">
      <alignment horizontal="right"/>
    </xf>
    <xf numFmtId="11" fontId="1" fillId="0" borderId="0" xfId="0" applyNumberFormat="1" applyFont="1"/>
    <xf numFmtId="49" fontId="1" fillId="0" borderId="0" xfId="0" applyNumberFormat="1" applyFont="1" applyAlignment="1">
      <alignment horizontal="center"/>
    </xf>
    <xf numFmtId="164" fontId="1" fillId="0" borderId="8" xfId="0" applyNumberFormat="1" applyFont="1" applyBorder="1"/>
    <xf numFmtId="164" fontId="1" fillId="0" borderId="9" xfId="0" applyNumberFormat="1" applyFont="1" applyBorder="1"/>
    <xf numFmtId="164" fontId="1" fillId="0" borderId="8" xfId="0" applyNumberFormat="1" applyFont="1" applyBorder="1" applyAlignment="1">
      <alignment horizontal="right"/>
    </xf>
    <xf numFmtId="164" fontId="1" fillId="0" borderId="9" xfId="0" applyNumberFormat="1" applyFont="1" applyBorder="1" applyAlignment="1">
      <alignment horizontal="right"/>
    </xf>
    <xf numFmtId="164" fontId="1" fillId="0" borderId="2" xfId="0" applyNumberFormat="1" applyFont="1" applyBorder="1"/>
    <xf numFmtId="164" fontId="1" fillId="0" borderId="3" xfId="0" applyNumberFormat="1" applyFont="1" applyBorder="1"/>
    <xf numFmtId="164" fontId="1" fillId="0" borderId="2" xfId="0" applyNumberFormat="1" applyFont="1" applyBorder="1" applyAlignment="1">
      <alignment horizontal="right"/>
    </xf>
    <xf numFmtId="164" fontId="1" fillId="0" borderId="3" xfId="0" applyNumberFormat="1" applyFont="1" applyBorder="1" applyAlignment="1">
      <alignment horizontal="right"/>
    </xf>
    <xf numFmtId="0" fontId="1" fillId="0" borderId="3" xfId="0" applyFont="1" applyBorder="1" applyAlignment="1">
      <alignment horizontal="right"/>
    </xf>
    <xf numFmtId="164" fontId="1" fillId="0" borderId="10" xfId="0" applyNumberFormat="1" applyFont="1" applyBorder="1"/>
    <xf numFmtId="164" fontId="1" fillId="0" borderId="11" xfId="0" applyNumberFormat="1" applyFont="1" applyBorder="1"/>
    <xf numFmtId="164" fontId="1" fillId="0" borderId="10" xfId="0" applyNumberFormat="1" applyFont="1" applyBorder="1" applyAlignment="1">
      <alignment horizontal="right"/>
    </xf>
    <xf numFmtId="164" fontId="1" fillId="0" borderId="11" xfId="0" applyNumberFormat="1" applyFont="1" applyBorder="1" applyAlignment="1">
      <alignment horizontal="right"/>
    </xf>
    <xf numFmtId="164" fontId="1" fillId="0" borderId="6" xfId="0" applyNumberFormat="1" applyFont="1" applyBorder="1"/>
    <xf numFmtId="164" fontId="1" fillId="0" borderId="5" xfId="0" applyNumberFormat="1" applyFont="1" applyBorder="1"/>
    <xf numFmtId="164" fontId="1" fillId="0" borderId="6" xfId="0" applyNumberFormat="1" applyFont="1" applyBorder="1" applyAlignment="1">
      <alignment horizontal="right"/>
    </xf>
    <xf numFmtId="164" fontId="1" fillId="0" borderId="7" xfId="0" applyNumberFormat="1" applyFont="1" applyBorder="1" applyAlignment="1">
      <alignment horizontal="right"/>
    </xf>
    <xf numFmtId="164" fontId="1" fillId="0" borderId="7" xfId="0" applyNumberFormat="1" applyFont="1" applyBorder="1"/>
    <xf numFmtId="49" fontId="1" fillId="0" borderId="1" xfId="0" applyNumberFormat="1" applyFont="1" applyBorder="1" applyAlignment="1">
      <alignment horizontal="right"/>
    </xf>
    <xf numFmtId="0" fontId="1" fillId="0" borderId="9" xfId="0" applyFont="1" applyBorder="1" applyAlignment="1">
      <alignment horizontal="right"/>
    </xf>
    <xf numFmtId="49" fontId="1" fillId="0" borderId="4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38100</xdr:colOff>
      <xdr:row>0</xdr:row>
      <xdr:rowOff>114300</xdr:rowOff>
    </xdr:from>
    <xdr:to>
      <xdr:col>13</xdr:col>
      <xdr:colOff>314325</xdr:colOff>
      <xdr:row>16</xdr:row>
      <xdr:rowOff>47625</xdr:rowOff>
    </xdr:to>
    <xdr:pic>
      <xdr:nvPicPr>
        <xdr:cNvPr id="1029" name="Picture 5">
          <a:extLst>
            <a:ext uri="{FF2B5EF4-FFF2-40B4-BE49-F238E27FC236}">
              <a16:creationId xmlns:a16="http://schemas.microsoft.com/office/drawing/2014/main" id="{00000000-0008-0000-0000-00000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743325" y="304800"/>
          <a:ext cx="4448175" cy="2828925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13</xdr:col>
      <xdr:colOff>314325</xdr:colOff>
      <xdr:row>16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00000000-0008-0000-0100-00000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667125" y="381000"/>
          <a:ext cx="4448175" cy="282892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63"/>
  <sheetViews>
    <sheetView tabSelected="1" zoomScale="110" zoomScaleNormal="110" workbookViewId="0"/>
  </sheetViews>
  <sheetFormatPr defaultColWidth="8.85546875" defaultRowHeight="14.1"/>
  <cols>
    <col min="1" max="1" width="9.42578125" style="1" customWidth="1"/>
    <col min="2" max="2" width="10.85546875" style="1" bestFit="1" customWidth="1"/>
    <col min="3" max="3" width="10" style="1" bestFit="1" customWidth="1"/>
    <col min="4" max="4" width="9" style="1" bestFit="1" customWidth="1"/>
    <col min="5" max="5" width="9" style="21" bestFit="1" customWidth="1"/>
    <col min="6" max="6" width="8.85546875" style="44"/>
    <col min="7" max="9" width="8.85546875" style="1"/>
    <col min="10" max="13" width="9" style="1" bestFit="1" customWidth="1"/>
    <col min="14" max="14" width="8.85546875" style="1"/>
    <col min="15" max="19" width="9" style="1" bestFit="1" customWidth="1"/>
    <col min="20" max="16384" width="8.85546875" style="1"/>
  </cols>
  <sheetData>
    <row r="1" spans="1:7">
      <c r="A1" s="1" t="s">
        <v>0</v>
      </c>
      <c r="B1" s="2">
        <v>45330</v>
      </c>
    </row>
    <row r="2" spans="1:7">
      <c r="G2" s="21" t="s">
        <v>1</v>
      </c>
    </row>
    <row r="3" spans="1:7">
      <c r="A3" s="1" t="s">
        <v>2</v>
      </c>
    </row>
    <row r="4" spans="1:7">
      <c r="A4" s="1" t="s">
        <v>3</v>
      </c>
    </row>
    <row r="7" spans="1:7">
      <c r="A7" s="1" t="s">
        <v>4</v>
      </c>
    </row>
    <row r="12" spans="1:7">
      <c r="A12" s="11" t="s">
        <v>5</v>
      </c>
      <c r="B12" s="11" t="s">
        <v>6</v>
      </c>
      <c r="C12" s="11" t="s">
        <v>7</v>
      </c>
      <c r="D12" s="11" t="s">
        <v>8</v>
      </c>
    </row>
    <row r="13" spans="1:7">
      <c r="A13" s="1">
        <v>0.13300000000000001</v>
      </c>
      <c r="B13" s="68">
        <v>2.8279999999999998E-3</v>
      </c>
      <c r="C13" s="68">
        <v>2.13</v>
      </c>
      <c r="D13" s="1">
        <v>750</v>
      </c>
    </row>
    <row r="14" spans="1:7">
      <c r="A14" s="1">
        <v>0.17349999999999999</v>
      </c>
      <c r="B14" s="68">
        <v>6.3639999999999999E-3</v>
      </c>
      <c r="C14" s="68">
        <v>3.67</v>
      </c>
      <c r="D14" s="1">
        <v>250</v>
      </c>
    </row>
    <row r="15" spans="1:7">
      <c r="A15" s="1">
        <v>0.252</v>
      </c>
      <c r="B15" s="68">
        <v>1.5559999999999999E-2</v>
      </c>
      <c r="C15" s="68">
        <v>6.17</v>
      </c>
      <c r="D15" s="1">
        <v>83.3</v>
      </c>
    </row>
    <row r="16" spans="1:7">
      <c r="A16" s="1">
        <v>0.35749999999999998</v>
      </c>
      <c r="B16" s="68">
        <v>2.1919999999999999E-2</v>
      </c>
      <c r="C16" s="68">
        <v>6.13</v>
      </c>
      <c r="D16" s="1">
        <v>27.8</v>
      </c>
    </row>
    <row r="17" spans="1:19">
      <c r="A17" s="1">
        <v>0.4945</v>
      </c>
      <c r="B17" s="68">
        <v>4.3130000000000002E-2</v>
      </c>
      <c r="C17" s="68">
        <v>8.7200000000000006</v>
      </c>
      <c r="D17" s="1">
        <v>9.3000000000000007</v>
      </c>
      <c r="G17" s="1" t="s">
        <v>9</v>
      </c>
    </row>
    <row r="18" spans="1:19">
      <c r="A18" s="1">
        <v>0.64249999999999996</v>
      </c>
      <c r="B18" s="68">
        <v>4.172E-2</v>
      </c>
      <c r="C18" s="68">
        <v>6.49</v>
      </c>
      <c r="D18" s="1">
        <v>3.1</v>
      </c>
      <c r="G18" s="1" t="s">
        <v>10</v>
      </c>
    </row>
    <row r="19" spans="1:19">
      <c r="A19" s="1">
        <v>0.72650000000000003</v>
      </c>
      <c r="B19" s="68">
        <v>4.879E-2</v>
      </c>
      <c r="C19" s="68">
        <v>6.72</v>
      </c>
      <c r="D19" s="1">
        <v>1</v>
      </c>
    </row>
    <row r="20" spans="1:19">
      <c r="A20" s="1">
        <v>0.77649999999999997</v>
      </c>
      <c r="B20" s="68">
        <v>5.1619999999999999E-2</v>
      </c>
      <c r="C20" s="68">
        <v>6.65</v>
      </c>
      <c r="D20" s="1">
        <v>0.3</v>
      </c>
      <c r="E20" s="69" t="s">
        <v>11</v>
      </c>
      <c r="F20" s="3" t="s">
        <v>12</v>
      </c>
      <c r="G20" s="11"/>
      <c r="J20" s="70">
        <v>0.13500000000000001</v>
      </c>
      <c r="K20" s="71">
        <v>0.13100000000000001</v>
      </c>
      <c r="L20" s="70">
        <v>0.193</v>
      </c>
      <c r="M20" s="71">
        <v>0.189</v>
      </c>
      <c r="N20" s="72" t="s">
        <v>13</v>
      </c>
      <c r="O20" s="73">
        <v>0.193</v>
      </c>
      <c r="P20" s="70">
        <v>0.19900000000000001</v>
      </c>
      <c r="Q20" s="71">
        <v>0.183</v>
      </c>
      <c r="R20" s="70">
        <v>0.186</v>
      </c>
      <c r="S20" s="71">
        <v>0.14599999999999999</v>
      </c>
    </row>
    <row r="21" spans="1:19">
      <c r="A21" s="1">
        <v>0.191</v>
      </c>
      <c r="B21" s="20">
        <v>2.8279999999999998E-3</v>
      </c>
      <c r="C21" s="20">
        <v>1.48</v>
      </c>
      <c r="D21" s="15">
        <v>179.46799999999999</v>
      </c>
      <c r="E21" s="48" t="s">
        <v>14</v>
      </c>
      <c r="F21" s="49" t="s">
        <v>15</v>
      </c>
      <c r="G21" s="1" t="s">
        <v>16</v>
      </c>
      <c r="J21" s="74">
        <v>0.17799999999999999</v>
      </c>
      <c r="K21" s="75">
        <v>0.16900000000000001</v>
      </c>
      <c r="L21" s="74">
        <v>0.185</v>
      </c>
      <c r="M21" s="75">
        <v>0.182</v>
      </c>
      <c r="N21" s="76" t="s">
        <v>17</v>
      </c>
      <c r="O21" s="77">
        <v>0.182</v>
      </c>
      <c r="P21" s="74">
        <v>0.18</v>
      </c>
      <c r="Q21" s="75">
        <v>0.17</v>
      </c>
      <c r="R21" s="74">
        <v>0.17299999999999999</v>
      </c>
      <c r="S21" s="75">
        <v>0.14599999999999999</v>
      </c>
    </row>
    <row r="22" spans="1:19">
      <c r="A22" s="1">
        <v>0.1835</v>
      </c>
      <c r="B22" s="20">
        <v>2.1210000000000001E-3</v>
      </c>
      <c r="C22" s="20">
        <v>1.1599999999999999</v>
      </c>
      <c r="D22" s="14">
        <v>205.47</v>
      </c>
      <c r="E22" s="53" t="s">
        <v>18</v>
      </c>
      <c r="F22" s="78"/>
      <c r="I22" s="44"/>
      <c r="J22" s="74">
        <v>0.26300000000000001</v>
      </c>
      <c r="K22" s="75">
        <v>0.24099999999999999</v>
      </c>
      <c r="L22" s="74">
        <v>0.187</v>
      </c>
      <c r="M22" s="75">
        <v>0.17499999999999999</v>
      </c>
      <c r="N22" s="76" t="s">
        <v>19</v>
      </c>
      <c r="O22" s="77">
        <v>0.185</v>
      </c>
      <c r="P22" s="74">
        <v>0.17699999999999999</v>
      </c>
      <c r="Q22" s="75">
        <v>0.17599999999999999</v>
      </c>
      <c r="R22" s="74">
        <v>0.17399999999999999</v>
      </c>
      <c r="S22" s="75">
        <v>0.14399999999999999</v>
      </c>
    </row>
    <row r="23" spans="1:19">
      <c r="A23" s="1">
        <v>0.18099999999999999</v>
      </c>
      <c r="B23" s="20">
        <v>8.4849999999999995E-3</v>
      </c>
      <c r="C23" s="20">
        <v>4.6900000000000004</v>
      </c>
      <c r="D23" s="14">
        <v>215.46100000000001</v>
      </c>
      <c r="E23" s="53">
        <v>-10</v>
      </c>
      <c r="F23" s="54"/>
      <c r="I23" s="44"/>
      <c r="J23" s="74">
        <v>0.373</v>
      </c>
      <c r="K23" s="75">
        <v>0.34200000000000003</v>
      </c>
      <c r="L23" s="74">
        <v>0.192</v>
      </c>
      <c r="M23" s="75">
        <v>0.18</v>
      </c>
      <c r="N23" s="76" t="s">
        <v>20</v>
      </c>
      <c r="O23" s="77">
        <v>0.16500000000000001</v>
      </c>
      <c r="P23" s="74">
        <v>0.16700000000000001</v>
      </c>
      <c r="Q23" s="75">
        <v>0.16</v>
      </c>
      <c r="R23" s="74">
        <v>0.17</v>
      </c>
      <c r="S23" s="75">
        <v>0.14499999999999999</v>
      </c>
    </row>
    <row r="24" spans="1:19">
      <c r="A24" s="1">
        <v>0.186</v>
      </c>
      <c r="B24" s="20">
        <v>8.4849999999999995E-3</v>
      </c>
      <c r="C24" s="20">
        <v>4.5599999999999996</v>
      </c>
      <c r="D24" s="14">
        <v>196.185</v>
      </c>
      <c r="E24" s="53">
        <v>-9</v>
      </c>
      <c r="F24" s="54"/>
      <c r="I24" s="44"/>
      <c r="J24" s="74">
        <v>0.52500000000000002</v>
      </c>
      <c r="K24" s="75">
        <v>0.46400000000000002</v>
      </c>
      <c r="L24" s="74">
        <v>0.21199999999999999</v>
      </c>
      <c r="M24" s="75">
        <v>0.20799999999999999</v>
      </c>
      <c r="N24" s="76" t="s">
        <v>21</v>
      </c>
      <c r="O24" s="77">
        <v>0.192</v>
      </c>
      <c r="P24" s="74">
        <v>0.16600000000000001</v>
      </c>
      <c r="Q24" s="75">
        <v>0.18</v>
      </c>
      <c r="R24" s="74">
        <v>0.16500000000000001</v>
      </c>
      <c r="S24" s="75">
        <v>0.16300000000000001</v>
      </c>
    </row>
    <row r="25" spans="1:19">
      <c r="A25" s="1">
        <v>0.21</v>
      </c>
      <c r="B25" s="20">
        <v>2.8279999999999998E-3</v>
      </c>
      <c r="C25" s="20">
        <v>1.35</v>
      </c>
      <c r="D25" s="14">
        <v>132.41900000000001</v>
      </c>
      <c r="E25" s="53">
        <v>-8</v>
      </c>
      <c r="F25" s="54"/>
      <c r="I25" s="44"/>
      <c r="J25" s="74">
        <v>0.67200000000000004</v>
      </c>
      <c r="K25" s="75">
        <v>0.61299999999999999</v>
      </c>
      <c r="L25" s="74">
        <v>0.22800000000000001</v>
      </c>
      <c r="M25" s="75">
        <v>0.21199999999999999</v>
      </c>
      <c r="N25" s="76" t="s">
        <v>22</v>
      </c>
      <c r="O25" s="77">
        <v>0.20499999999999999</v>
      </c>
      <c r="P25" s="74">
        <v>0.189</v>
      </c>
      <c r="Q25" s="75">
        <v>0.187</v>
      </c>
      <c r="R25" s="74">
        <v>0.16400000000000001</v>
      </c>
      <c r="S25" s="75">
        <v>0.16300000000000001</v>
      </c>
    </row>
    <row r="26" spans="1:19">
      <c r="A26" s="1">
        <v>0.22</v>
      </c>
      <c r="B26" s="20">
        <v>1.1310000000000001E-2</v>
      </c>
      <c r="C26" s="20">
        <v>5.14</v>
      </c>
      <c r="D26" s="14">
        <v>114.816</v>
      </c>
      <c r="E26" s="53">
        <v>-7</v>
      </c>
      <c r="F26" s="54"/>
      <c r="I26" s="44"/>
      <c r="J26" s="74">
        <v>0.76100000000000001</v>
      </c>
      <c r="K26" s="75">
        <v>0.69199999999999995</v>
      </c>
      <c r="L26" s="79">
        <v>0.23599999999999999</v>
      </c>
      <c r="M26" s="80">
        <v>0.221</v>
      </c>
      <c r="N26" s="81" t="s">
        <v>23</v>
      </c>
      <c r="O26" s="82">
        <v>0.21299999999999999</v>
      </c>
      <c r="P26" s="79">
        <v>0.21299999999999999</v>
      </c>
      <c r="Q26" s="80">
        <v>0.20300000000000001</v>
      </c>
      <c r="R26" s="79">
        <v>0.17199999999999999</v>
      </c>
      <c r="S26" s="80">
        <v>0.16800000000000001</v>
      </c>
    </row>
    <row r="27" spans="1:19">
      <c r="A27" s="1">
        <v>0.22850000000000001</v>
      </c>
      <c r="B27" s="20">
        <v>1.061E-2</v>
      </c>
      <c r="C27" s="20">
        <v>4.6399999999999997</v>
      </c>
      <c r="D27" s="17">
        <v>102.465</v>
      </c>
      <c r="E27" s="61">
        <v>-6</v>
      </c>
      <c r="F27" s="62"/>
      <c r="I27" s="44"/>
      <c r="J27" s="79">
        <v>0.81299999999999994</v>
      </c>
      <c r="K27" s="80">
        <v>0.74</v>
      </c>
      <c r="L27" s="83">
        <v>0.67200000000000004</v>
      </c>
      <c r="M27" s="84">
        <v>0.624</v>
      </c>
      <c r="N27" s="85" t="s">
        <v>24</v>
      </c>
      <c r="O27" s="86">
        <v>0.22600000000000001</v>
      </c>
      <c r="P27" s="84">
        <v>0.18</v>
      </c>
      <c r="Q27" s="87">
        <v>0.17899999999999999</v>
      </c>
      <c r="R27" s="83">
        <v>0.27500000000000002</v>
      </c>
      <c r="S27" s="87">
        <v>0.23400000000000001</v>
      </c>
    </row>
    <row r="28" spans="1:19">
      <c r="A28" s="1">
        <v>0.193</v>
      </c>
      <c r="B28" s="20">
        <v>0</v>
      </c>
      <c r="C28" s="20">
        <v>0</v>
      </c>
      <c r="D28" s="15">
        <v>173.39400000000001</v>
      </c>
      <c r="E28" s="48">
        <v>-11</v>
      </c>
      <c r="F28" s="49" t="s">
        <v>25</v>
      </c>
      <c r="I28" s="44"/>
      <c r="J28" s="1" t="s">
        <v>26</v>
      </c>
      <c r="K28" s="44"/>
    </row>
    <row r="29" spans="1:19">
      <c r="A29" s="1">
        <v>0.1835</v>
      </c>
      <c r="B29" s="20">
        <v>2.1210000000000001E-3</v>
      </c>
      <c r="C29" s="20">
        <v>1.1599999999999999</v>
      </c>
      <c r="D29" s="14">
        <v>205.47</v>
      </c>
      <c r="E29" s="53">
        <v>-10</v>
      </c>
      <c r="F29" s="54"/>
      <c r="I29" s="44"/>
      <c r="K29" s="44"/>
    </row>
    <row r="30" spans="1:19">
      <c r="A30" s="1">
        <v>0.19</v>
      </c>
      <c r="B30" s="20">
        <v>7.071E-3</v>
      </c>
      <c r="C30" s="20">
        <v>3.72</v>
      </c>
      <c r="D30" s="14">
        <v>182.63</v>
      </c>
      <c r="E30" s="53">
        <v>-9</v>
      </c>
      <c r="F30" s="54"/>
      <c r="I30" s="21"/>
      <c r="K30" s="21"/>
    </row>
    <row r="31" spans="1:19">
      <c r="A31" s="1">
        <v>0.16800000000000001</v>
      </c>
      <c r="B31" s="20">
        <v>4.2430000000000002E-3</v>
      </c>
      <c r="C31" s="20">
        <v>2.5299999999999998</v>
      </c>
      <c r="D31" s="14">
        <v>282.32900000000001</v>
      </c>
      <c r="E31" s="53">
        <v>-8</v>
      </c>
      <c r="F31" s="54"/>
      <c r="I31" s="44"/>
      <c r="K31" s="44"/>
    </row>
    <row r="32" spans="1:19">
      <c r="A32" s="1">
        <v>0.19500000000000001</v>
      </c>
      <c r="B32" s="20">
        <v>4.2430000000000002E-3</v>
      </c>
      <c r="C32" s="20">
        <v>2.1800000000000002</v>
      </c>
      <c r="D32" s="14">
        <v>167.631</v>
      </c>
      <c r="E32" s="53">
        <v>-7</v>
      </c>
      <c r="F32" s="54"/>
      <c r="I32" s="44"/>
      <c r="K32" s="44"/>
    </row>
    <row r="33" spans="1:15">
      <c r="A33" s="1">
        <v>0.20449999999999999</v>
      </c>
      <c r="B33" s="20">
        <v>7.071E-4</v>
      </c>
      <c r="C33" s="20">
        <v>0.34599999999999997</v>
      </c>
      <c r="D33" s="14">
        <v>143.89400000000001</v>
      </c>
      <c r="E33" s="53">
        <v>-6</v>
      </c>
      <c r="F33" s="54"/>
      <c r="I33" s="44"/>
      <c r="K33" s="44"/>
    </row>
    <row r="34" spans="1:15">
      <c r="A34" s="1">
        <v>0.2155</v>
      </c>
      <c r="B34" s="20">
        <v>3.5360000000000001E-3</v>
      </c>
      <c r="C34" s="20">
        <v>1.64</v>
      </c>
      <c r="D34" s="17">
        <v>122.273</v>
      </c>
      <c r="E34" s="61">
        <v>-5</v>
      </c>
      <c r="F34" s="62"/>
      <c r="I34" s="44"/>
      <c r="K34" s="44"/>
    </row>
    <row r="35" spans="1:15">
      <c r="A35" s="1">
        <v>0.191</v>
      </c>
      <c r="B35" s="20">
        <v>1.1310000000000001E-2</v>
      </c>
      <c r="C35" s="20">
        <v>5.92</v>
      </c>
      <c r="D35" s="15">
        <v>179.46799999999999</v>
      </c>
      <c r="E35" s="48">
        <v>-11</v>
      </c>
      <c r="F35" s="49" t="s">
        <v>27</v>
      </c>
      <c r="I35" s="44"/>
      <c r="K35" s="44"/>
    </row>
    <row r="36" spans="1:15">
      <c r="A36" s="1">
        <v>0.17499999999999999</v>
      </c>
      <c r="B36" s="20">
        <v>7.071E-3</v>
      </c>
      <c r="C36" s="20">
        <v>4.04</v>
      </c>
      <c r="D36" s="14">
        <v>242.80799999999999</v>
      </c>
      <c r="E36" s="53">
        <v>-10</v>
      </c>
      <c r="F36" s="54"/>
      <c r="I36" s="44"/>
      <c r="K36" s="44"/>
    </row>
    <row r="37" spans="1:15">
      <c r="A37" s="1">
        <v>0.17649999999999999</v>
      </c>
      <c r="B37" s="20">
        <v>7.071E-4</v>
      </c>
      <c r="C37" s="20">
        <v>0.40100000000000002</v>
      </c>
      <c r="D37" s="14">
        <v>235.47900000000001</v>
      </c>
      <c r="E37" s="53">
        <v>-9</v>
      </c>
      <c r="F37" s="54"/>
      <c r="I37" s="21"/>
      <c r="K37" s="21"/>
    </row>
    <row r="38" spans="1:15">
      <c r="A38" s="1">
        <v>0.16350000000000001</v>
      </c>
      <c r="B38" s="20">
        <v>4.9500000000000004E-3</v>
      </c>
      <c r="C38" s="20">
        <v>3.03</v>
      </c>
      <c r="D38" s="14">
        <v>313.46499999999997</v>
      </c>
      <c r="E38" s="53">
        <v>-8</v>
      </c>
      <c r="F38" s="54"/>
      <c r="I38" s="44"/>
      <c r="K38" s="44"/>
      <c r="L38" s="68"/>
      <c r="N38" s="21"/>
      <c r="O38" s="44"/>
    </row>
    <row r="39" spans="1:15">
      <c r="A39" s="1">
        <v>0.17299999999999999</v>
      </c>
      <c r="B39" s="20">
        <v>9.9000000000000008E-3</v>
      </c>
      <c r="C39" s="20">
        <v>5.72</v>
      </c>
      <c r="D39" s="14">
        <v>253.15799999999999</v>
      </c>
      <c r="E39" s="53">
        <v>-7</v>
      </c>
      <c r="F39" s="54"/>
      <c r="I39" s="44"/>
      <c r="K39" s="44"/>
      <c r="L39" s="68"/>
      <c r="N39" s="21"/>
      <c r="O39" s="44"/>
    </row>
    <row r="40" spans="1:15">
      <c r="A40" s="1">
        <v>0.188</v>
      </c>
      <c r="B40" s="20">
        <v>1.4139999999999999E-3</v>
      </c>
      <c r="C40" s="20">
        <v>0.752</v>
      </c>
      <c r="D40" s="14">
        <v>189.21899999999999</v>
      </c>
      <c r="E40" s="53">
        <v>-6</v>
      </c>
      <c r="F40" s="54"/>
      <c r="I40" s="44"/>
      <c r="K40" s="44"/>
      <c r="L40" s="68"/>
      <c r="N40" s="21"/>
      <c r="O40" s="44"/>
    </row>
    <row r="41" spans="1:15">
      <c r="A41" s="1">
        <v>0.20799999999999999</v>
      </c>
      <c r="B41" s="20">
        <v>7.071E-3</v>
      </c>
      <c r="C41" s="20">
        <v>3.4</v>
      </c>
      <c r="D41" s="17">
        <v>136.42599999999999</v>
      </c>
      <c r="E41" s="61">
        <v>-5</v>
      </c>
      <c r="F41" s="62"/>
      <c r="I41" s="44"/>
      <c r="K41" s="44"/>
      <c r="L41" s="68"/>
      <c r="N41" s="21"/>
      <c r="O41" s="44"/>
    </row>
    <row r="42" spans="1:15">
      <c r="A42" s="1">
        <v>0.16600000000000001</v>
      </c>
      <c r="B42" s="20">
        <v>2.828E-2</v>
      </c>
      <c r="C42" s="20">
        <v>17</v>
      </c>
      <c r="D42" s="15">
        <v>295.52600000000001</v>
      </c>
      <c r="E42" s="48">
        <v>-11</v>
      </c>
      <c r="F42" s="49" t="s">
        <v>28</v>
      </c>
      <c r="G42" s="15" t="s">
        <v>29</v>
      </c>
      <c r="I42" s="44"/>
      <c r="K42" s="44"/>
      <c r="L42" s="68"/>
      <c r="N42" s="21"/>
      <c r="O42" s="44"/>
    </row>
    <row r="43" spans="1:15">
      <c r="A43" s="1">
        <v>0.1595</v>
      </c>
      <c r="B43" s="20">
        <v>1.9089999999999999E-2</v>
      </c>
      <c r="C43" s="20">
        <v>12</v>
      </c>
      <c r="D43" s="14">
        <v>346.05799999999999</v>
      </c>
      <c r="E43" s="53">
        <v>-10</v>
      </c>
      <c r="F43" s="54"/>
      <c r="I43" s="44"/>
      <c r="K43" s="44"/>
      <c r="L43" s="68"/>
      <c r="N43" s="21"/>
      <c r="O43" s="44"/>
    </row>
    <row r="44" spans="1:15">
      <c r="A44" s="1">
        <v>0.159</v>
      </c>
      <c r="B44" s="20">
        <v>2.121E-2</v>
      </c>
      <c r="C44" s="20">
        <v>13.3</v>
      </c>
      <c r="D44" s="14">
        <v>350.51600000000002</v>
      </c>
      <c r="E44" s="53">
        <v>-9</v>
      </c>
      <c r="F44" s="54"/>
      <c r="I44" s="21"/>
      <c r="K44" s="21"/>
      <c r="L44" s="68"/>
      <c r="N44" s="21"/>
      <c r="O44" s="44"/>
    </row>
    <row r="45" spans="1:15">
      <c r="A45" s="1">
        <v>0.1575</v>
      </c>
      <c r="B45" s="20">
        <v>1.7680000000000001E-2</v>
      </c>
      <c r="C45" s="20">
        <v>11.2</v>
      </c>
      <c r="D45" s="14">
        <v>364.46300000000002</v>
      </c>
      <c r="E45" s="53">
        <v>-8</v>
      </c>
      <c r="F45" s="54"/>
      <c r="I45" s="44"/>
      <c r="K45" s="44"/>
      <c r="L45" s="68"/>
      <c r="N45" s="21"/>
      <c r="O45" s="44"/>
    </row>
    <row r="46" spans="1:15">
      <c r="A46" s="1">
        <v>0.16400000000000001</v>
      </c>
      <c r="B46" s="20">
        <v>1.4139999999999999E-3</v>
      </c>
      <c r="C46" s="20">
        <v>0.86199999999999999</v>
      </c>
      <c r="D46" s="14">
        <v>309.74</v>
      </c>
      <c r="E46" s="53">
        <v>-7</v>
      </c>
      <c r="F46" s="54"/>
      <c r="I46" s="44"/>
      <c r="K46" s="44"/>
    </row>
    <row r="47" spans="1:15">
      <c r="A47" s="1">
        <v>0.16350000000000001</v>
      </c>
      <c r="B47" s="20">
        <v>7.071E-4</v>
      </c>
      <c r="C47" s="20">
        <v>0.432</v>
      </c>
      <c r="D47" s="14">
        <v>313.46499999999997</v>
      </c>
      <c r="E47" s="53">
        <v>-6</v>
      </c>
      <c r="F47" s="54"/>
      <c r="I47" s="44"/>
      <c r="K47" s="44"/>
    </row>
    <row r="48" spans="1:15">
      <c r="A48" s="1">
        <v>0.17</v>
      </c>
      <c r="B48" s="20">
        <v>2.8279999999999998E-3</v>
      </c>
      <c r="C48" s="20">
        <v>1.66</v>
      </c>
      <c r="D48" s="17">
        <v>270.04899999999998</v>
      </c>
      <c r="E48" s="61">
        <v>-5</v>
      </c>
      <c r="F48" s="62"/>
      <c r="I48" s="44"/>
      <c r="K48" s="44"/>
    </row>
    <row r="49" spans="1:11">
      <c r="A49" s="1">
        <v>0.64800000000000002</v>
      </c>
      <c r="B49" s="20">
        <v>3.3939999999999998E-2</v>
      </c>
      <c r="C49" s="20">
        <v>5.24</v>
      </c>
      <c r="D49" s="15">
        <v>2.6970000000000001</v>
      </c>
      <c r="E49" s="88"/>
      <c r="F49" s="89" t="s">
        <v>30</v>
      </c>
      <c r="I49" s="44"/>
      <c r="K49" s="44"/>
    </row>
    <row r="50" spans="1:11">
      <c r="A50" s="1">
        <v>0.22650000000000001</v>
      </c>
      <c r="B50" s="20">
        <v>7.071E-4</v>
      </c>
      <c r="C50" s="20">
        <v>0.312</v>
      </c>
      <c r="D50" s="14">
        <v>105.187</v>
      </c>
      <c r="F50" s="54" t="s">
        <v>15</v>
      </c>
      <c r="I50" s="44"/>
      <c r="K50" s="21"/>
    </row>
    <row r="51" spans="1:11">
      <c r="A51" s="1">
        <v>0.17949999999999999</v>
      </c>
      <c r="B51" s="20">
        <v>7.071E-4</v>
      </c>
      <c r="C51" s="20">
        <v>0.39400000000000002</v>
      </c>
      <c r="D51" s="14">
        <v>221.82599999999999</v>
      </c>
      <c r="F51" s="54" t="s">
        <v>31</v>
      </c>
      <c r="I51" s="44"/>
      <c r="K51" s="21"/>
    </row>
    <row r="52" spans="1:11">
      <c r="A52" s="1">
        <v>0.2545</v>
      </c>
      <c r="B52" s="20">
        <v>2.8989999999999998E-2</v>
      </c>
      <c r="C52" s="20">
        <v>11.4</v>
      </c>
      <c r="D52" s="17">
        <v>74.790000000000006</v>
      </c>
      <c r="E52" s="90"/>
      <c r="F52" s="62" t="s">
        <v>15</v>
      </c>
    </row>
    <row r="53" spans="1:11">
      <c r="B53" s="68"/>
      <c r="C53" s="68"/>
      <c r="F53" s="21"/>
    </row>
    <row r="62" spans="1:11">
      <c r="B62" s="68"/>
      <c r="C62" s="68"/>
    </row>
    <row r="63" spans="1:11">
      <c r="B63" s="68"/>
      <c r="C63" s="68"/>
    </row>
  </sheetData>
  <pageMargins left="0.7" right="0.7" top="0.75" bottom="0.75" header="0.3" footer="0.3"/>
  <pageSetup scale="6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78"/>
  <sheetViews>
    <sheetView topLeftCell="A10" zoomScale="110" zoomScaleNormal="110" workbookViewId="0">
      <selection activeCell="A10" sqref="A10"/>
    </sheetView>
  </sheetViews>
  <sheetFormatPr defaultColWidth="8.85546875" defaultRowHeight="14.1"/>
  <cols>
    <col min="1" max="1" width="8.85546875" style="1"/>
    <col min="2" max="2" width="10.7109375" style="1" bestFit="1" customWidth="1"/>
    <col min="3" max="4" width="8.85546875" style="1"/>
    <col min="5" max="5" width="8.85546875" style="21"/>
    <col min="6" max="6" width="8.85546875" style="44"/>
    <col min="7" max="16384" width="8.85546875" style="1"/>
  </cols>
  <sheetData>
    <row r="1" spans="1:7">
      <c r="A1" s="1" t="s">
        <v>0</v>
      </c>
      <c r="B1" s="2">
        <v>45330</v>
      </c>
    </row>
    <row r="2" spans="1:7">
      <c r="G2" s="21" t="s">
        <v>1</v>
      </c>
    </row>
    <row r="3" spans="1:7">
      <c r="A3" s="1" t="s">
        <v>2</v>
      </c>
    </row>
    <row r="4" spans="1:7">
      <c r="A4" s="1" t="s">
        <v>3</v>
      </c>
    </row>
    <row r="7" spans="1:7">
      <c r="A7" s="1" t="s">
        <v>32</v>
      </c>
    </row>
    <row r="12" spans="1:7">
      <c r="A12" s="11" t="s">
        <v>5</v>
      </c>
      <c r="B12" s="11" t="s">
        <v>6</v>
      </c>
      <c r="C12" s="11" t="s">
        <v>7</v>
      </c>
      <c r="D12" s="11" t="s">
        <v>8</v>
      </c>
    </row>
    <row r="13" spans="1:7">
      <c r="A13" s="1">
        <v>0.13450000000000001</v>
      </c>
      <c r="B13" s="45">
        <v>3.5360000000000001E-3</v>
      </c>
      <c r="C13" s="45">
        <v>2.63</v>
      </c>
      <c r="D13" s="1">
        <v>750</v>
      </c>
    </row>
    <row r="14" spans="1:7">
      <c r="A14" s="1">
        <v>0.17599999999999999</v>
      </c>
      <c r="B14" s="45">
        <v>5.6569999999999997E-3</v>
      </c>
      <c r="C14" s="45">
        <v>3.21</v>
      </c>
      <c r="D14" s="1">
        <v>250</v>
      </c>
    </row>
    <row r="15" spans="1:7">
      <c r="A15" s="1">
        <v>0.25900000000000001</v>
      </c>
      <c r="B15" s="45">
        <v>1.5559999999999999E-2</v>
      </c>
      <c r="C15" s="45">
        <v>6.01</v>
      </c>
      <c r="D15" s="1">
        <v>83.3</v>
      </c>
    </row>
    <row r="16" spans="1:7">
      <c r="A16" s="1">
        <v>0.3695</v>
      </c>
      <c r="B16" s="45">
        <v>2.333E-2</v>
      </c>
      <c r="C16" s="45">
        <v>6.32</v>
      </c>
      <c r="D16" s="1">
        <v>27.8</v>
      </c>
    </row>
    <row r="17" spans="1:14">
      <c r="A17" s="1">
        <v>0.50900000000000001</v>
      </c>
      <c r="B17" s="45">
        <v>3.9600000000000003E-2</v>
      </c>
      <c r="C17" s="45">
        <v>7.78</v>
      </c>
      <c r="D17" s="1">
        <v>9.3000000000000007</v>
      </c>
      <c r="G17" s="1" t="s">
        <v>9</v>
      </c>
    </row>
    <row r="18" spans="1:14">
      <c r="A18" s="1">
        <v>0.66949999999999998</v>
      </c>
      <c r="B18" s="45">
        <v>4.4549999999999999E-2</v>
      </c>
      <c r="C18" s="45">
        <v>6.65</v>
      </c>
      <c r="D18" s="1">
        <v>3.1</v>
      </c>
      <c r="G18" s="1" t="s">
        <v>33</v>
      </c>
    </row>
    <row r="19" spans="1:14">
      <c r="A19" s="1">
        <v>0.75600000000000001</v>
      </c>
      <c r="B19" s="45">
        <v>5.0909999999999997E-2</v>
      </c>
      <c r="C19" s="45">
        <v>6.73</v>
      </c>
      <c r="D19" s="1">
        <v>1</v>
      </c>
    </row>
    <row r="20" spans="1:14">
      <c r="A20" s="1">
        <v>0.8085</v>
      </c>
      <c r="B20" s="45">
        <v>5.7279999999999998E-2</v>
      </c>
      <c r="C20" s="45">
        <v>7.08</v>
      </c>
      <c r="D20" s="1">
        <v>0.3</v>
      </c>
      <c r="E20" s="46" t="s">
        <v>11</v>
      </c>
      <c r="F20" s="11" t="s">
        <v>12</v>
      </c>
      <c r="G20" s="11"/>
    </row>
    <row r="21" spans="1:14">
      <c r="A21" s="1">
        <v>0.184</v>
      </c>
      <c r="B21" s="45">
        <v>8.4849999999999995E-3</v>
      </c>
      <c r="C21" s="45">
        <v>4.6100000000000003</v>
      </c>
      <c r="D21" s="47">
        <v>216.98599999999999</v>
      </c>
      <c r="E21" s="48">
        <v>-11</v>
      </c>
      <c r="F21" s="49" t="s">
        <v>34</v>
      </c>
      <c r="G21" s="1" t="s">
        <v>29</v>
      </c>
      <c r="I21" s="50">
        <v>0.13700000000000001</v>
      </c>
      <c r="J21" s="51">
        <v>0.13200000000000001</v>
      </c>
      <c r="K21" s="50">
        <v>0.17799999999999999</v>
      </c>
      <c r="L21" s="51">
        <v>0.19</v>
      </c>
      <c r="M21" s="50" t="s">
        <v>17</v>
      </c>
      <c r="N21" s="51" t="s">
        <v>35</v>
      </c>
    </row>
    <row r="22" spans="1:14">
      <c r="A22" s="1">
        <v>0.17849999999999999</v>
      </c>
      <c r="B22" s="45">
        <v>2.1210000000000001E-3</v>
      </c>
      <c r="C22" s="45">
        <v>1.19</v>
      </c>
      <c r="D22" s="52">
        <v>241.09899999999999</v>
      </c>
      <c r="E22" s="53">
        <v>-10</v>
      </c>
      <c r="F22" s="54"/>
      <c r="I22" s="55">
        <v>0.18</v>
      </c>
      <c r="J22" s="56">
        <v>0.17199999999999999</v>
      </c>
      <c r="K22" s="55">
        <v>0.18</v>
      </c>
      <c r="L22" s="56">
        <v>0.17699999999999999</v>
      </c>
      <c r="M22" s="55" t="s">
        <v>36</v>
      </c>
      <c r="N22" s="56" t="s">
        <v>17</v>
      </c>
    </row>
    <row r="23" spans="1:14">
      <c r="A23" s="1">
        <v>0.1575</v>
      </c>
      <c r="B23" s="45">
        <v>1.485E-2</v>
      </c>
      <c r="C23" s="45">
        <v>9.43</v>
      </c>
      <c r="D23" s="52">
        <v>388.42500000000001</v>
      </c>
      <c r="E23" s="53">
        <v>-9</v>
      </c>
      <c r="F23" s="54"/>
      <c r="I23" s="55">
        <v>0.27</v>
      </c>
      <c r="J23" s="56">
        <v>0.248</v>
      </c>
      <c r="K23" s="55">
        <v>0.16800000000000001</v>
      </c>
      <c r="L23" s="56">
        <v>0.14699999999999999</v>
      </c>
      <c r="M23" s="55" t="s">
        <v>37</v>
      </c>
      <c r="N23" s="56" t="s">
        <v>17</v>
      </c>
    </row>
    <row r="24" spans="1:14">
      <c r="A24" s="1">
        <v>0.14249999999999999</v>
      </c>
      <c r="B24" s="45">
        <v>7.071E-4</v>
      </c>
      <c r="C24" s="45">
        <v>0.496</v>
      </c>
      <c r="D24" s="52">
        <v>614.21900000000005</v>
      </c>
      <c r="E24" s="53">
        <v>-8</v>
      </c>
      <c r="F24" s="54"/>
      <c r="G24" s="23"/>
      <c r="I24" s="55">
        <v>0.38600000000000001</v>
      </c>
      <c r="J24" s="56">
        <v>0.35299999999999998</v>
      </c>
      <c r="K24" s="55">
        <v>0.14299999999999999</v>
      </c>
      <c r="L24" s="56">
        <v>0.14199999999999999</v>
      </c>
      <c r="M24" s="55" t="s">
        <v>38</v>
      </c>
      <c r="N24" s="56" t="s">
        <v>39</v>
      </c>
    </row>
    <row r="25" spans="1:14">
      <c r="A25" s="1">
        <v>0.1555</v>
      </c>
      <c r="B25" s="45">
        <v>7.071E-4</v>
      </c>
      <c r="C25" s="45">
        <v>0.45500000000000002</v>
      </c>
      <c r="D25" s="52">
        <v>409.85399999999998</v>
      </c>
      <c r="E25" s="53">
        <v>-7</v>
      </c>
      <c r="F25" s="54"/>
      <c r="I25" s="55">
        <v>0.53700000000000003</v>
      </c>
      <c r="J25" s="56">
        <v>0.48099999999999998</v>
      </c>
      <c r="K25" s="55">
        <v>0.156</v>
      </c>
      <c r="L25" s="56">
        <v>0.155</v>
      </c>
      <c r="M25" s="57" t="s">
        <v>40</v>
      </c>
      <c r="N25" s="58" t="s">
        <v>41</v>
      </c>
    </row>
    <row r="26" spans="1:14">
      <c r="A26" s="1">
        <v>0.1595</v>
      </c>
      <c r="B26" s="45">
        <v>2.1210000000000001E-3</v>
      </c>
      <c r="C26" s="45">
        <v>1.33</v>
      </c>
      <c r="D26" s="52">
        <v>368.76900000000001</v>
      </c>
      <c r="E26" s="53">
        <v>-6</v>
      </c>
      <c r="F26" s="54"/>
      <c r="I26" s="55">
        <v>0.70099999999999996</v>
      </c>
      <c r="J26" s="56">
        <v>0.63800000000000001</v>
      </c>
      <c r="K26" s="55">
        <v>0.161</v>
      </c>
      <c r="L26" s="56">
        <v>0.158</v>
      </c>
      <c r="M26" s="55" t="s">
        <v>35</v>
      </c>
      <c r="N26" s="56" t="s">
        <v>22</v>
      </c>
    </row>
    <row r="27" spans="1:14">
      <c r="A27" s="18">
        <v>0.16850000000000001</v>
      </c>
      <c r="B27" s="59">
        <v>7.071E-4</v>
      </c>
      <c r="C27" s="59">
        <v>0.42</v>
      </c>
      <c r="D27" s="60">
        <v>297.44799999999998</v>
      </c>
      <c r="E27" s="61">
        <v>-5</v>
      </c>
      <c r="F27" s="62"/>
      <c r="I27" s="55">
        <v>0.79200000000000004</v>
      </c>
      <c r="J27" s="56">
        <v>0.72</v>
      </c>
      <c r="K27" s="55">
        <v>0.16900000000000001</v>
      </c>
      <c r="L27" s="56">
        <v>0.16800000000000001</v>
      </c>
      <c r="M27" s="55" t="s">
        <v>42</v>
      </c>
      <c r="N27" s="56" t="s">
        <v>43</v>
      </c>
    </row>
    <row r="28" spans="1:14">
      <c r="A28" s="1">
        <v>0.1925</v>
      </c>
      <c r="B28" s="45">
        <v>1.061E-2</v>
      </c>
      <c r="C28" s="45">
        <v>5.51</v>
      </c>
      <c r="D28" s="52">
        <v>186.511</v>
      </c>
      <c r="E28" s="53">
        <v>-11</v>
      </c>
      <c r="F28" s="54" t="s">
        <v>44</v>
      </c>
      <c r="I28" s="63">
        <v>0.84899999999999998</v>
      </c>
      <c r="J28" s="64">
        <v>0.76800000000000002</v>
      </c>
      <c r="K28" s="65">
        <v>0.19600000000000001</v>
      </c>
      <c r="L28" s="66">
        <v>0.19400000000000001</v>
      </c>
      <c r="M28" s="65" t="s">
        <v>45</v>
      </c>
      <c r="N28" s="66" t="s">
        <v>46</v>
      </c>
    </row>
    <row r="29" spans="1:14">
      <c r="A29" s="1">
        <v>0.186</v>
      </c>
      <c r="B29" s="45">
        <v>1.4139999999999999E-3</v>
      </c>
      <c r="C29" s="45">
        <v>0.76</v>
      </c>
      <c r="D29" s="52">
        <v>209.148</v>
      </c>
      <c r="E29" s="53">
        <v>-10</v>
      </c>
      <c r="F29" s="54"/>
      <c r="I29" s="1" t="s">
        <v>26</v>
      </c>
      <c r="K29" s="21"/>
    </row>
    <row r="30" spans="1:14">
      <c r="A30" s="1">
        <v>0.18049999999999999</v>
      </c>
      <c r="B30" s="45">
        <v>6.3639999999999999E-3</v>
      </c>
      <c r="C30" s="45">
        <v>3.53</v>
      </c>
      <c r="D30" s="52">
        <v>231.86199999999999</v>
      </c>
      <c r="E30" s="53">
        <v>-9</v>
      </c>
      <c r="F30" s="54"/>
      <c r="I30" s="44"/>
      <c r="K30" s="44"/>
    </row>
    <row r="31" spans="1:14">
      <c r="A31" s="1">
        <v>0.17399999999999999</v>
      </c>
      <c r="B31" s="45">
        <v>1.4139999999999999E-3</v>
      </c>
      <c r="C31" s="45">
        <v>0.81299999999999994</v>
      </c>
      <c r="D31" s="52">
        <v>264.14600000000002</v>
      </c>
      <c r="E31" s="53">
        <v>-8</v>
      </c>
      <c r="F31" s="54"/>
      <c r="G31" s="23"/>
      <c r="I31" s="44"/>
      <c r="K31" s="44"/>
    </row>
    <row r="32" spans="1:14">
      <c r="A32" s="1">
        <v>0.21</v>
      </c>
      <c r="B32" s="45">
        <v>3.3939999999999998E-2</v>
      </c>
      <c r="C32" s="45">
        <v>16.2</v>
      </c>
      <c r="D32" s="52">
        <v>141.411</v>
      </c>
      <c r="E32" s="53">
        <v>-7</v>
      </c>
      <c r="F32" s="54"/>
      <c r="I32" s="44"/>
      <c r="K32" s="44"/>
    </row>
    <row r="33" spans="1:15">
      <c r="A33" s="1">
        <v>0.20200000000000001</v>
      </c>
      <c r="B33" s="45">
        <v>2.8279999999999998E-3</v>
      </c>
      <c r="C33" s="45">
        <v>1.4</v>
      </c>
      <c r="D33" s="52">
        <v>159.672</v>
      </c>
      <c r="E33" s="53">
        <v>-6</v>
      </c>
      <c r="F33" s="54"/>
      <c r="I33" s="44"/>
      <c r="K33" s="44"/>
    </row>
    <row r="34" spans="1:15">
      <c r="A34" s="18">
        <v>0.2175</v>
      </c>
      <c r="B34" s="59">
        <v>2.1210000000000001E-3</v>
      </c>
      <c r="C34" s="59">
        <v>0.97499999999999998</v>
      </c>
      <c r="D34" s="60">
        <v>127.02800000000001</v>
      </c>
      <c r="E34" s="61">
        <v>-5</v>
      </c>
      <c r="F34" s="67"/>
      <c r="I34" s="44"/>
      <c r="K34" s="44"/>
    </row>
    <row r="35" spans="1:15">
      <c r="A35" s="1">
        <v>0.19500000000000001</v>
      </c>
      <c r="B35" s="45">
        <v>1.4139999999999999E-3</v>
      </c>
      <c r="C35" s="45">
        <v>0.72499999999999998</v>
      </c>
      <c r="D35" s="52">
        <v>178.80699999999999</v>
      </c>
      <c r="E35" s="53"/>
      <c r="F35" s="54" t="s">
        <v>31</v>
      </c>
      <c r="I35" s="44"/>
      <c r="K35" s="44"/>
    </row>
    <row r="36" spans="1:15">
      <c r="A36" s="1">
        <v>0.23100000000000001</v>
      </c>
      <c r="B36" s="45">
        <v>2.8279999999999998E-3</v>
      </c>
      <c r="C36" s="45">
        <v>1.22</v>
      </c>
      <c r="D36" s="60">
        <v>106.151</v>
      </c>
      <c r="E36" s="61"/>
      <c r="F36" s="62" t="s">
        <v>15</v>
      </c>
      <c r="I36" s="21"/>
      <c r="K36" s="21"/>
    </row>
    <row r="37" spans="1:15">
      <c r="B37" s="68"/>
      <c r="C37" s="68"/>
      <c r="F37" s="21"/>
      <c r="I37" s="44"/>
      <c r="K37" s="44"/>
      <c r="L37" s="68"/>
      <c r="N37" s="21"/>
      <c r="O37" s="44"/>
    </row>
    <row r="38" spans="1:15">
      <c r="I38" s="44"/>
      <c r="K38" s="44"/>
      <c r="L38" s="68"/>
      <c r="N38" s="21"/>
      <c r="O38" s="44"/>
    </row>
    <row r="39" spans="1:15">
      <c r="I39" s="44"/>
      <c r="K39" s="44"/>
      <c r="L39" s="68"/>
      <c r="N39" s="21"/>
      <c r="O39" s="44"/>
    </row>
    <row r="40" spans="1:15">
      <c r="I40" s="44"/>
      <c r="K40" s="44"/>
      <c r="L40" s="68"/>
      <c r="N40" s="21"/>
      <c r="O40" s="44"/>
    </row>
    <row r="41" spans="1:15">
      <c r="I41" s="44"/>
      <c r="K41" s="44"/>
      <c r="L41" s="68"/>
      <c r="N41" s="21"/>
      <c r="O41" s="44"/>
    </row>
    <row r="42" spans="1:15">
      <c r="I42" s="44"/>
      <c r="K42" s="44"/>
      <c r="L42" s="68"/>
      <c r="N42" s="21"/>
      <c r="O42" s="44"/>
    </row>
    <row r="43" spans="1:15">
      <c r="I43" s="21"/>
      <c r="K43" s="21"/>
      <c r="L43" s="68"/>
      <c r="N43" s="21"/>
      <c r="O43" s="44"/>
    </row>
    <row r="44" spans="1:15">
      <c r="I44" s="44"/>
      <c r="K44" s="44"/>
      <c r="L44" s="68"/>
      <c r="N44" s="21"/>
      <c r="O44" s="44"/>
    </row>
    <row r="45" spans="1:15">
      <c r="I45" s="44"/>
      <c r="K45" s="44"/>
    </row>
    <row r="46" spans="1:15">
      <c r="B46" s="68"/>
      <c r="C46" s="68"/>
      <c r="F46" s="21"/>
      <c r="I46" s="44"/>
      <c r="K46" s="44"/>
    </row>
    <row r="47" spans="1:15">
      <c r="B47" s="68"/>
      <c r="C47" s="68"/>
      <c r="F47" s="21"/>
      <c r="I47" s="44"/>
      <c r="K47" s="44"/>
    </row>
    <row r="48" spans="1:15">
      <c r="B48" s="68"/>
      <c r="C48" s="68"/>
      <c r="F48" s="21"/>
      <c r="I48" s="44"/>
      <c r="K48" s="44"/>
    </row>
    <row r="49" spans="2:11">
      <c r="B49" s="68"/>
      <c r="C49" s="68"/>
      <c r="I49" s="44"/>
      <c r="K49" s="21"/>
    </row>
    <row r="50" spans="2:11">
      <c r="B50" s="68"/>
      <c r="C50" s="68"/>
      <c r="I50" s="44"/>
      <c r="K50" s="21"/>
    </row>
    <row r="51" spans="2:11">
      <c r="B51" s="68"/>
      <c r="C51" s="68"/>
      <c r="I51" s="44"/>
    </row>
    <row r="52" spans="2:11">
      <c r="B52" s="68"/>
      <c r="C52" s="68"/>
      <c r="I52" s="44"/>
    </row>
    <row r="53" spans="2:11">
      <c r="B53" s="68"/>
      <c r="C53" s="68"/>
      <c r="I53" s="44"/>
    </row>
    <row r="54" spans="2:11">
      <c r="B54" s="68"/>
      <c r="C54" s="68"/>
    </row>
    <row r="55" spans="2:11">
      <c r="B55" s="68"/>
      <c r="C55" s="68"/>
    </row>
    <row r="56" spans="2:11">
      <c r="B56" s="68"/>
      <c r="C56" s="68"/>
    </row>
    <row r="57" spans="2:11">
      <c r="B57" s="68"/>
      <c r="C57" s="68"/>
    </row>
    <row r="58" spans="2:11">
      <c r="B58" s="68"/>
      <c r="C58" s="68"/>
    </row>
    <row r="59" spans="2:11">
      <c r="B59" s="68"/>
      <c r="C59" s="68"/>
    </row>
    <row r="60" spans="2:11">
      <c r="B60" s="68"/>
      <c r="C60" s="68"/>
    </row>
    <row r="61" spans="2:11">
      <c r="B61" s="68"/>
      <c r="C61" s="68"/>
    </row>
    <row r="62" spans="2:11">
      <c r="B62" s="68"/>
      <c r="C62" s="68"/>
    </row>
    <row r="70" spans="1:12">
      <c r="A70" s="1" t="s">
        <v>47</v>
      </c>
    </row>
    <row r="71" spans="1:12">
      <c r="A71" s="1">
        <v>0.19400000000000001</v>
      </c>
      <c r="B71" s="1">
        <v>0.19800000000000001</v>
      </c>
      <c r="C71" s="1">
        <v>0.60299999999999998</v>
      </c>
      <c r="D71" s="1">
        <v>0.83599999999999997</v>
      </c>
      <c r="E71" s="21" t="s">
        <v>48</v>
      </c>
      <c r="F71" s="44">
        <v>0.61599999999999999</v>
      </c>
      <c r="G71" s="1">
        <v>0.64600000000000002</v>
      </c>
      <c r="H71" s="1">
        <v>0.60699999999999998</v>
      </c>
      <c r="I71" s="1">
        <v>0.626</v>
      </c>
      <c r="J71" s="1">
        <v>0.625</v>
      </c>
      <c r="K71" s="1">
        <v>0</v>
      </c>
      <c r="L71" s="1">
        <v>0</v>
      </c>
    </row>
    <row r="72" spans="1:12">
      <c r="A72" s="1">
        <v>0.28999999999999998</v>
      </c>
      <c r="B72" s="1">
        <v>0.3</v>
      </c>
      <c r="C72" s="1">
        <v>0.65400000000000003</v>
      </c>
      <c r="D72" s="1">
        <v>0.66100000000000003</v>
      </c>
      <c r="E72" s="21" t="s">
        <v>49</v>
      </c>
      <c r="F72" s="44">
        <v>0.59899999999999998</v>
      </c>
      <c r="G72" s="1">
        <v>0.63600000000000001</v>
      </c>
      <c r="H72" s="1">
        <v>0.60099999999999998</v>
      </c>
      <c r="I72" s="1">
        <v>0.63400000000000001</v>
      </c>
      <c r="J72" s="1">
        <v>0.63900000000000001</v>
      </c>
      <c r="K72" s="1">
        <v>0</v>
      </c>
      <c r="L72" s="1">
        <v>0</v>
      </c>
    </row>
    <row r="73" spans="1:12">
      <c r="A73" s="1">
        <v>0.45</v>
      </c>
      <c r="B73" s="1">
        <v>0.45800000000000002</v>
      </c>
      <c r="C73" s="1">
        <v>0.63800000000000001</v>
      </c>
      <c r="D73" s="1">
        <v>0.67700000000000005</v>
      </c>
      <c r="E73" s="21" t="s">
        <v>50</v>
      </c>
      <c r="F73" s="44">
        <v>0.61399999999999999</v>
      </c>
      <c r="G73" s="1">
        <v>0.63</v>
      </c>
      <c r="H73" s="1">
        <v>0.59599999999999997</v>
      </c>
      <c r="I73" s="1">
        <v>0.626</v>
      </c>
      <c r="J73" s="1">
        <v>0.63800000000000001</v>
      </c>
      <c r="K73" s="1">
        <v>0</v>
      </c>
      <c r="L73" s="1">
        <v>0</v>
      </c>
    </row>
    <row r="74" spans="1:12">
      <c r="A74" s="1">
        <v>0.69</v>
      </c>
      <c r="B74" s="1">
        <v>0.76900000000000002</v>
      </c>
      <c r="C74" s="1">
        <v>0.63200000000000001</v>
      </c>
      <c r="D74" s="1">
        <v>0.65</v>
      </c>
      <c r="E74" s="21" t="s">
        <v>51</v>
      </c>
      <c r="F74" s="44">
        <v>0.67100000000000004</v>
      </c>
      <c r="G74" s="1">
        <v>0.64100000000000001</v>
      </c>
      <c r="H74" s="1">
        <v>0.61299999999999999</v>
      </c>
      <c r="I74" s="1">
        <v>0.63300000000000001</v>
      </c>
      <c r="J74" s="1">
        <v>0.61899999999999999</v>
      </c>
      <c r="K74" s="1">
        <v>0</v>
      </c>
      <c r="L74" s="1">
        <v>0</v>
      </c>
    </row>
    <row r="75" spans="1:12">
      <c r="A75" s="1">
        <v>0.93500000000000005</v>
      </c>
      <c r="B75" s="1">
        <v>0.995</v>
      </c>
      <c r="C75" s="1">
        <v>0.59199999999999997</v>
      </c>
      <c r="D75" s="1">
        <v>0.61499999999999999</v>
      </c>
      <c r="E75" s="21" t="s">
        <v>52</v>
      </c>
      <c r="F75" s="44">
        <v>0.68300000000000005</v>
      </c>
      <c r="G75" s="1">
        <v>0.68700000000000006</v>
      </c>
      <c r="H75" s="1">
        <v>0.67</v>
      </c>
      <c r="I75" s="1">
        <v>0.63300000000000001</v>
      </c>
      <c r="J75" s="1">
        <v>0.61299999999999999</v>
      </c>
      <c r="K75" s="1">
        <v>1E-3</v>
      </c>
      <c r="L75" s="1">
        <v>0</v>
      </c>
    </row>
    <row r="76" spans="1:12">
      <c r="A76" s="1">
        <v>1.17</v>
      </c>
      <c r="B76" s="1">
        <v>1.1930000000000001</v>
      </c>
      <c r="C76" s="1">
        <v>0.59299999999999997</v>
      </c>
      <c r="D76" s="1">
        <v>0.64600000000000002</v>
      </c>
      <c r="E76" s="21" t="s">
        <v>53</v>
      </c>
      <c r="F76" s="44">
        <v>0.67</v>
      </c>
      <c r="G76" s="1">
        <v>0.69099999999999995</v>
      </c>
      <c r="H76" s="1">
        <v>0.67300000000000004</v>
      </c>
      <c r="I76" s="1">
        <v>0.67500000000000004</v>
      </c>
      <c r="J76" s="1">
        <v>0.63600000000000001</v>
      </c>
      <c r="K76" s="1">
        <v>1E-3</v>
      </c>
      <c r="L76" s="1">
        <v>0</v>
      </c>
    </row>
    <row r="77" spans="1:12">
      <c r="A77" s="1">
        <v>1.39</v>
      </c>
      <c r="B77" s="1">
        <v>1.4830000000000001</v>
      </c>
      <c r="C77" s="1">
        <v>0.61399999999999999</v>
      </c>
      <c r="D77" s="1">
        <v>1.0980000000000001</v>
      </c>
      <c r="E77" s="21" t="s">
        <v>54</v>
      </c>
      <c r="F77" s="44">
        <v>0.69399999999999995</v>
      </c>
      <c r="G77" s="1">
        <v>0.83699999999999997</v>
      </c>
      <c r="H77" s="1">
        <v>0.80500000000000005</v>
      </c>
      <c r="I77" s="1">
        <v>0.67900000000000005</v>
      </c>
      <c r="J77" s="1">
        <v>0.70899999999999996</v>
      </c>
      <c r="K77" s="1">
        <v>1E-3</v>
      </c>
      <c r="L77" s="1">
        <v>0</v>
      </c>
    </row>
    <row r="78" spans="1:12">
      <c r="A78" s="1">
        <v>1.5620000000000001</v>
      </c>
      <c r="B78" s="1">
        <v>1.669</v>
      </c>
      <c r="C78" s="1">
        <v>1.373</v>
      </c>
      <c r="D78" s="1">
        <v>1.2470000000000001</v>
      </c>
      <c r="E78" s="21" t="s">
        <v>55</v>
      </c>
      <c r="F78" s="44">
        <v>0.60699999999999998</v>
      </c>
      <c r="G78" s="1">
        <v>1.2030000000000001</v>
      </c>
      <c r="H78" s="1">
        <v>1.181</v>
      </c>
      <c r="I78" s="1">
        <v>1.2110000000000001</v>
      </c>
      <c r="J78" s="1">
        <v>1.194</v>
      </c>
      <c r="K78" s="1">
        <v>1E-3</v>
      </c>
      <c r="L78" s="1">
        <v>0</v>
      </c>
    </row>
  </sheetData>
  <pageMargins left="0.7" right="0.7" top="0.75" bottom="0.75" header="0.3" footer="0.3"/>
  <pageSetup orientation="portrait" horizontalDpi="0" verticalDpi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D2B7C-483F-4301-A00F-E48730A414CA}">
  <dimension ref="A1:N141"/>
  <sheetViews>
    <sheetView zoomScale="110" zoomScaleNormal="110" workbookViewId="0"/>
  </sheetViews>
  <sheetFormatPr defaultColWidth="8.85546875" defaultRowHeight="14.1"/>
  <cols>
    <col min="1" max="1" width="14.42578125" style="1" customWidth="1"/>
    <col min="2" max="2" width="10.42578125" style="1" customWidth="1"/>
    <col min="3" max="13" width="8.85546875" style="1"/>
    <col min="14" max="14" width="14.42578125" style="1" customWidth="1"/>
    <col min="15" max="16384" width="8.85546875" style="1"/>
  </cols>
  <sheetData>
    <row r="1" spans="1:14">
      <c r="A1" s="1" t="s">
        <v>0</v>
      </c>
      <c r="B1" s="2">
        <v>45330</v>
      </c>
      <c r="F1" s="3" t="s">
        <v>56</v>
      </c>
      <c r="G1" s="4">
        <v>221.82599999999999</v>
      </c>
      <c r="H1" s="5">
        <v>205.47</v>
      </c>
      <c r="I1" s="5">
        <v>205.47</v>
      </c>
      <c r="J1" s="6">
        <v>242.80799999999999</v>
      </c>
      <c r="K1" s="1" t="s">
        <v>57</v>
      </c>
    </row>
    <row r="2" spans="1:14">
      <c r="A2" s="1" t="s">
        <v>58</v>
      </c>
      <c r="F2" s="3"/>
      <c r="G2" s="7"/>
      <c r="H2" s="8"/>
      <c r="I2" s="8"/>
      <c r="J2" s="9"/>
    </row>
    <row r="3" spans="1:14">
      <c r="G3" s="10"/>
      <c r="H3" s="11"/>
      <c r="I3" s="11"/>
      <c r="J3" s="12"/>
    </row>
    <row r="4" spans="1:14">
      <c r="A4" s="1" t="s">
        <v>59</v>
      </c>
      <c r="C4" s="1" t="s">
        <v>60</v>
      </c>
      <c r="F4" s="13" t="s">
        <v>30</v>
      </c>
      <c r="G4" s="1">
        <v>2.6970000000000001</v>
      </c>
      <c r="H4" s="5"/>
      <c r="K4" s="14"/>
    </row>
    <row r="5" spans="1:14">
      <c r="F5" s="13" t="s">
        <v>61</v>
      </c>
      <c r="G5" s="15">
        <v>105.187</v>
      </c>
      <c r="H5" s="5">
        <v>74.790000000000006</v>
      </c>
      <c r="I5" s="5"/>
      <c r="J5" s="6"/>
    </row>
    <row r="6" spans="1:14">
      <c r="F6" s="16"/>
      <c r="G6" s="17"/>
      <c r="H6" s="18"/>
      <c r="I6" s="18"/>
      <c r="J6" s="19"/>
    </row>
    <row r="8" spans="1:14">
      <c r="A8" s="1" t="s">
        <v>62</v>
      </c>
      <c r="B8" s="1" t="s">
        <v>63</v>
      </c>
      <c r="C8" s="1" t="s">
        <v>64</v>
      </c>
      <c r="D8" s="1" t="s">
        <v>65</v>
      </c>
    </row>
    <row r="9" spans="1:14">
      <c r="A9" s="1" t="s">
        <v>66</v>
      </c>
      <c r="B9" s="20">
        <f>AVERAGE(G1:J2)</f>
        <v>218.89349999999999</v>
      </c>
      <c r="C9" s="20">
        <f>B9-B10</f>
        <v>216.19649999999999</v>
      </c>
    </row>
    <row r="10" spans="1:14">
      <c r="A10" s="1" t="s">
        <v>30</v>
      </c>
      <c r="B10" s="20">
        <f>AVERAGE(G4:J4)</f>
        <v>2.6970000000000001</v>
      </c>
      <c r="C10" s="20"/>
      <c r="D10" s="1" t="s">
        <v>67</v>
      </c>
      <c r="E10" s="1" t="s">
        <v>68</v>
      </c>
    </row>
    <row r="11" spans="1:14">
      <c r="A11" s="1" t="s">
        <v>69</v>
      </c>
      <c r="B11" s="20">
        <f>AVERAGE(G5:J6)</f>
        <v>89.988500000000002</v>
      </c>
      <c r="C11" s="20">
        <f>B11-B10</f>
        <v>87.291499999999999</v>
      </c>
      <c r="D11" s="20">
        <f>C11/C9*100</f>
        <v>40.376000536548929</v>
      </c>
      <c r="E11" s="20">
        <f>100-D11</f>
        <v>59.623999463451071</v>
      </c>
    </row>
    <row r="12" spans="1:14">
      <c r="B12" s="20"/>
      <c r="C12" s="20"/>
      <c r="D12" s="20"/>
      <c r="E12" s="20"/>
    </row>
    <row r="13" spans="1:14">
      <c r="A13" s="1" t="s">
        <v>70</v>
      </c>
      <c r="D13" s="1" t="s">
        <v>63</v>
      </c>
      <c r="E13" s="1" t="s">
        <v>64</v>
      </c>
      <c r="F13" s="1" t="s">
        <v>71</v>
      </c>
    </row>
    <row r="14" spans="1:14">
      <c r="A14" s="21" t="s">
        <v>72</v>
      </c>
      <c r="C14" s="21">
        <v>-12</v>
      </c>
      <c r="D14" s="1">
        <v>179.46799999999999</v>
      </c>
      <c r="E14" s="20">
        <f>D14-$B$10</f>
        <v>176.77099999999999</v>
      </c>
      <c r="F14" s="22">
        <f>E14/$C$9*100</f>
        <v>81.764043358703773</v>
      </c>
      <c r="G14" s="23"/>
      <c r="N14" s="21"/>
    </row>
    <row r="15" spans="1:14">
      <c r="A15" s="1" t="s">
        <v>73</v>
      </c>
      <c r="C15" s="21">
        <v>-11</v>
      </c>
      <c r="D15" s="1">
        <v>205.47</v>
      </c>
      <c r="E15" s="20">
        <f t="shared" ref="E15:E20" si="0">D15-$B$10</f>
        <v>202.773</v>
      </c>
      <c r="F15" s="22">
        <f t="shared" ref="F15:F20" si="1">E15/$C$9*100</f>
        <v>93.791065072746321</v>
      </c>
      <c r="M15" s="20"/>
    </row>
    <row r="16" spans="1:14">
      <c r="C16" s="21">
        <v>-10</v>
      </c>
      <c r="D16" s="1">
        <v>215.46100000000001</v>
      </c>
      <c r="E16" s="20">
        <f t="shared" si="0"/>
        <v>212.76400000000001</v>
      </c>
      <c r="F16" s="22">
        <f t="shared" si="1"/>
        <v>98.412323973792368</v>
      </c>
      <c r="M16" s="20"/>
    </row>
    <row r="17" spans="1:14">
      <c r="C17" s="21">
        <v>-9</v>
      </c>
      <c r="D17" s="1">
        <v>196.185</v>
      </c>
      <c r="E17" s="20">
        <f t="shared" si="0"/>
        <v>193.488</v>
      </c>
      <c r="F17" s="22">
        <f t="shared" si="1"/>
        <v>89.496360949414083</v>
      </c>
      <c r="M17" s="20"/>
    </row>
    <row r="18" spans="1:14">
      <c r="C18" s="21">
        <v>-8</v>
      </c>
      <c r="D18" s="1">
        <v>132.41900000000001</v>
      </c>
      <c r="E18" s="20">
        <f t="shared" si="0"/>
        <v>129.72200000000001</v>
      </c>
      <c r="F18" s="22">
        <f t="shared" si="1"/>
        <v>60.001896422930081</v>
      </c>
      <c r="M18" s="20"/>
    </row>
    <row r="19" spans="1:14">
      <c r="C19" s="21">
        <v>-7</v>
      </c>
      <c r="D19" s="1">
        <v>114.816</v>
      </c>
      <c r="E19" s="20">
        <f t="shared" si="0"/>
        <v>112.119</v>
      </c>
      <c r="F19" s="22">
        <f t="shared" si="1"/>
        <v>51.859766462454296</v>
      </c>
      <c r="M19" s="20"/>
    </row>
    <row r="20" spans="1:14">
      <c r="C20" s="21">
        <v>-6</v>
      </c>
      <c r="D20" s="1">
        <v>102.465</v>
      </c>
      <c r="E20" s="20">
        <f t="shared" si="0"/>
        <v>99.768000000000001</v>
      </c>
      <c r="F20" s="22">
        <f t="shared" si="1"/>
        <v>46.146908021175179</v>
      </c>
      <c r="M20" s="20"/>
    </row>
    <row r="21" spans="1:14">
      <c r="F21" s="20"/>
      <c r="M21" s="20"/>
    </row>
    <row r="22" spans="1:14">
      <c r="A22" s="1" t="s">
        <v>74</v>
      </c>
      <c r="E22" s="1" t="s">
        <v>64</v>
      </c>
      <c r="F22" s="1" t="s">
        <v>71</v>
      </c>
    </row>
    <row r="23" spans="1:14">
      <c r="A23" s="21" t="s">
        <v>75</v>
      </c>
      <c r="C23" s="21">
        <v>-11</v>
      </c>
      <c r="D23" s="1">
        <v>173.39400000000001</v>
      </c>
      <c r="E23" s="1">
        <f t="shared" ref="E23:E29" si="2">D23-$B$10</f>
        <v>170.697</v>
      </c>
      <c r="F23" s="22">
        <f t="shared" ref="F23:F29" si="3">E23/$C$9*100</f>
        <v>78.954562169137816</v>
      </c>
      <c r="G23" s="23"/>
      <c r="N23" s="21"/>
    </row>
    <row r="24" spans="1:14">
      <c r="A24" s="1" t="s">
        <v>73</v>
      </c>
      <c r="C24" s="21">
        <v>-10</v>
      </c>
      <c r="D24" s="1">
        <v>205.47</v>
      </c>
      <c r="E24" s="1">
        <f t="shared" si="2"/>
        <v>202.773</v>
      </c>
      <c r="F24" s="22">
        <f t="shared" si="3"/>
        <v>93.791065072746321</v>
      </c>
      <c r="M24" s="20"/>
    </row>
    <row r="25" spans="1:14">
      <c r="C25" s="21">
        <v>-9</v>
      </c>
      <c r="D25" s="1">
        <v>182.63</v>
      </c>
      <c r="E25" s="1">
        <f t="shared" si="2"/>
        <v>179.93299999999999</v>
      </c>
      <c r="F25" s="22">
        <f t="shared" si="3"/>
        <v>83.226601725744871</v>
      </c>
      <c r="M25" s="20"/>
    </row>
    <row r="26" spans="1:14">
      <c r="C26" s="21">
        <v>-8</v>
      </c>
      <c r="D26" s="1">
        <v>282.32900000000001</v>
      </c>
      <c r="E26" s="1">
        <f t="shared" si="2"/>
        <v>279.63200000000001</v>
      </c>
      <c r="F26" s="22">
        <f t="shared" si="3"/>
        <v>129.34159433663359</v>
      </c>
      <c r="G26" s="1" t="s">
        <v>76</v>
      </c>
      <c r="M26" s="20"/>
    </row>
    <row r="27" spans="1:14">
      <c r="C27" s="21">
        <v>-7</v>
      </c>
      <c r="D27" s="1">
        <v>167.631</v>
      </c>
      <c r="E27" s="1">
        <f t="shared" si="2"/>
        <v>164.934</v>
      </c>
      <c r="F27" s="22">
        <f t="shared" si="3"/>
        <v>76.288931596950007</v>
      </c>
      <c r="M27" s="20"/>
    </row>
    <row r="28" spans="1:14">
      <c r="C28" s="21">
        <v>-6</v>
      </c>
      <c r="D28" s="1">
        <v>143.89400000000001</v>
      </c>
      <c r="E28" s="1">
        <f t="shared" si="2"/>
        <v>141.197</v>
      </c>
      <c r="F28" s="22">
        <f t="shared" si="3"/>
        <v>65.309567916224367</v>
      </c>
      <c r="M28" s="20"/>
    </row>
    <row r="29" spans="1:14">
      <c r="C29" s="21">
        <v>-5</v>
      </c>
      <c r="D29" s="1">
        <v>122.273</v>
      </c>
      <c r="E29" s="1">
        <f t="shared" si="2"/>
        <v>119.57599999999999</v>
      </c>
      <c r="F29" s="22">
        <f t="shared" si="3"/>
        <v>55.308943484283979</v>
      </c>
      <c r="M29" s="20"/>
    </row>
    <row r="30" spans="1:14">
      <c r="F30" s="20"/>
      <c r="M30" s="20"/>
    </row>
    <row r="31" spans="1:14">
      <c r="A31" s="1" t="s">
        <v>77</v>
      </c>
      <c r="E31" s="1" t="s">
        <v>64</v>
      </c>
      <c r="F31" s="1" t="s">
        <v>78</v>
      </c>
    </row>
    <row r="32" spans="1:14">
      <c r="A32" s="21" t="s">
        <v>79</v>
      </c>
      <c r="C32" s="21">
        <v>-11</v>
      </c>
      <c r="D32" s="1">
        <v>179.46799999999999</v>
      </c>
      <c r="E32" s="1">
        <f t="shared" ref="E32:E38" si="4">D32-$B$10</f>
        <v>176.77099999999999</v>
      </c>
      <c r="F32" s="22">
        <f t="shared" ref="F32:F38" si="5">E32/$C$9*100</f>
        <v>81.764043358703773</v>
      </c>
      <c r="N32" s="21"/>
    </row>
    <row r="33" spans="1:13">
      <c r="A33" s="1" t="s">
        <v>73</v>
      </c>
      <c r="C33" s="21">
        <v>-10</v>
      </c>
      <c r="D33" s="1">
        <v>242.80799999999999</v>
      </c>
      <c r="E33" s="1">
        <f t="shared" si="4"/>
        <v>240.11099999999999</v>
      </c>
      <c r="F33" s="22">
        <f t="shared" si="5"/>
        <v>111.06146491733216</v>
      </c>
      <c r="M33" s="20"/>
    </row>
    <row r="34" spans="1:13">
      <c r="C34" s="21">
        <v>-9</v>
      </c>
      <c r="D34" s="1">
        <v>235.47900000000001</v>
      </c>
      <c r="E34" s="1">
        <f t="shared" si="4"/>
        <v>232.78200000000001</v>
      </c>
      <c r="F34" s="22">
        <f t="shared" si="5"/>
        <v>107.67149329429479</v>
      </c>
      <c r="M34" s="20"/>
    </row>
    <row r="35" spans="1:13">
      <c r="C35" s="21">
        <v>-8</v>
      </c>
      <c r="D35" s="1">
        <v>313.46499999999997</v>
      </c>
      <c r="E35" s="1">
        <f t="shared" si="4"/>
        <v>310.76799999999997</v>
      </c>
      <c r="F35" s="22">
        <f t="shared" si="5"/>
        <v>143.7433075928611</v>
      </c>
      <c r="G35" s="1" t="s">
        <v>76</v>
      </c>
      <c r="M35" s="20"/>
    </row>
    <row r="36" spans="1:13">
      <c r="C36" s="21">
        <v>-7</v>
      </c>
      <c r="D36" s="1">
        <v>253.15799999999999</v>
      </c>
      <c r="E36" s="1">
        <f t="shared" si="4"/>
        <v>250.46099999999998</v>
      </c>
      <c r="F36" s="22">
        <f t="shared" si="5"/>
        <v>115.84877646030347</v>
      </c>
      <c r="M36" s="20"/>
    </row>
    <row r="37" spans="1:13">
      <c r="C37" s="21">
        <v>-6</v>
      </c>
      <c r="D37" s="1">
        <v>189.21899999999999</v>
      </c>
      <c r="E37" s="1">
        <f t="shared" si="4"/>
        <v>186.52199999999999</v>
      </c>
      <c r="F37" s="22">
        <f t="shared" si="5"/>
        <v>86.274292137014243</v>
      </c>
      <c r="M37" s="20"/>
    </row>
    <row r="38" spans="1:13">
      <c r="C38" s="21">
        <v>-5</v>
      </c>
      <c r="D38" s="1">
        <v>136.42599999999999</v>
      </c>
      <c r="E38" s="1">
        <f t="shared" si="4"/>
        <v>133.72899999999998</v>
      </c>
      <c r="F38" s="22">
        <f t="shared" si="5"/>
        <v>61.855302930435961</v>
      </c>
      <c r="M38" s="20"/>
    </row>
    <row r="39" spans="1:13">
      <c r="F39" s="20"/>
      <c r="M39" s="20"/>
    </row>
    <row r="40" spans="1:13">
      <c r="C40" s="21"/>
      <c r="F40" s="20"/>
    </row>
    <row r="41" spans="1:13">
      <c r="C41" s="21"/>
      <c r="F41" s="20"/>
    </row>
    <row r="42" spans="1:13">
      <c r="C42" s="21"/>
      <c r="F42" s="20"/>
    </row>
    <row r="43" spans="1:13">
      <c r="C43" s="21"/>
      <c r="F43" s="20"/>
    </row>
    <row r="44" spans="1:13">
      <c r="C44" s="21"/>
      <c r="F44" s="20"/>
    </row>
    <row r="45" spans="1:13">
      <c r="F45" s="20"/>
    </row>
    <row r="47" spans="1:13">
      <c r="C47" s="21"/>
      <c r="F47" s="20"/>
    </row>
    <row r="48" spans="1:13">
      <c r="C48" s="21"/>
      <c r="F48" s="20"/>
    </row>
    <row r="49" spans="3:6">
      <c r="C49" s="21"/>
      <c r="F49" s="20"/>
    </row>
    <row r="50" spans="3:6">
      <c r="C50" s="21"/>
      <c r="F50" s="20"/>
    </row>
    <row r="51" spans="3:6">
      <c r="C51" s="21"/>
      <c r="F51" s="20"/>
    </row>
    <row r="52" spans="3:6">
      <c r="C52" s="21"/>
      <c r="F52" s="20"/>
    </row>
    <row r="53" spans="3:6">
      <c r="C53" s="21"/>
      <c r="F53" s="20"/>
    </row>
    <row r="56" spans="3:6">
      <c r="C56" s="21"/>
      <c r="F56" s="20"/>
    </row>
    <row r="57" spans="3:6">
      <c r="C57" s="21"/>
      <c r="F57" s="20"/>
    </row>
    <row r="58" spans="3:6">
      <c r="C58" s="21"/>
      <c r="F58" s="20"/>
    </row>
    <row r="59" spans="3:6">
      <c r="C59" s="21"/>
      <c r="F59" s="20"/>
    </row>
    <row r="60" spans="3:6">
      <c r="C60" s="21"/>
      <c r="F60" s="20"/>
    </row>
    <row r="61" spans="3:6">
      <c r="C61" s="21"/>
      <c r="F61" s="20"/>
    </row>
    <row r="62" spans="3:6">
      <c r="C62" s="21"/>
      <c r="F62" s="20"/>
    </row>
    <row r="65" spans="3:6">
      <c r="C65" s="21"/>
      <c r="F65" s="20"/>
    </row>
    <row r="66" spans="3:6">
      <c r="C66" s="21"/>
      <c r="F66" s="20"/>
    </row>
    <row r="67" spans="3:6">
      <c r="C67" s="21"/>
      <c r="F67" s="20"/>
    </row>
    <row r="68" spans="3:6">
      <c r="C68" s="21"/>
      <c r="F68" s="20"/>
    </row>
    <row r="69" spans="3:6">
      <c r="C69" s="21"/>
      <c r="F69" s="20"/>
    </row>
    <row r="70" spans="3:6">
      <c r="C70" s="21"/>
      <c r="F70" s="20"/>
    </row>
    <row r="71" spans="3:6">
      <c r="C71" s="21"/>
      <c r="F71" s="20"/>
    </row>
    <row r="74" spans="3:6">
      <c r="C74" s="21"/>
      <c r="F74" s="20"/>
    </row>
    <row r="75" spans="3:6">
      <c r="C75" s="21"/>
      <c r="F75" s="20"/>
    </row>
    <row r="76" spans="3:6">
      <c r="C76" s="21"/>
      <c r="F76" s="20"/>
    </row>
    <row r="77" spans="3:6">
      <c r="C77" s="21"/>
      <c r="F77" s="20"/>
    </row>
    <row r="78" spans="3:6">
      <c r="C78" s="21"/>
      <c r="F78" s="20"/>
    </row>
    <row r="79" spans="3:6">
      <c r="C79" s="21"/>
      <c r="F79" s="20"/>
    </row>
    <row r="80" spans="3:6">
      <c r="C80" s="21"/>
      <c r="F80" s="20"/>
    </row>
    <row r="83" spans="6:6">
      <c r="F83" s="20"/>
    </row>
    <row r="84" spans="6:6">
      <c r="F84" s="20"/>
    </row>
    <row r="85" spans="6:6">
      <c r="F85" s="20"/>
    </row>
    <row r="86" spans="6:6">
      <c r="F86" s="20"/>
    </row>
    <row r="87" spans="6:6">
      <c r="F87" s="20"/>
    </row>
    <row r="88" spans="6:6">
      <c r="F88" s="20"/>
    </row>
    <row r="89" spans="6:6">
      <c r="F89" s="20"/>
    </row>
    <row r="90" spans="6:6">
      <c r="F90" s="20"/>
    </row>
    <row r="92" spans="6:6">
      <c r="F92" s="20"/>
    </row>
    <row r="93" spans="6:6">
      <c r="F93" s="20"/>
    </row>
    <row r="94" spans="6:6">
      <c r="F94" s="20"/>
    </row>
    <row r="95" spans="6:6">
      <c r="F95" s="20"/>
    </row>
    <row r="96" spans="6:6">
      <c r="F96" s="20"/>
    </row>
    <row r="97" spans="6:6">
      <c r="F97" s="20"/>
    </row>
    <row r="98" spans="6:6">
      <c r="F98" s="20"/>
    </row>
    <row r="101" spans="6:6">
      <c r="F101" s="20"/>
    </row>
    <row r="102" spans="6:6">
      <c r="F102" s="20"/>
    </row>
    <row r="103" spans="6:6">
      <c r="F103" s="20"/>
    </row>
    <row r="104" spans="6:6">
      <c r="F104" s="20"/>
    </row>
    <row r="105" spans="6:6">
      <c r="F105" s="20"/>
    </row>
    <row r="106" spans="6:6">
      <c r="F106" s="20"/>
    </row>
    <row r="107" spans="6:6">
      <c r="F107" s="20"/>
    </row>
    <row r="108" spans="6:6">
      <c r="F108" s="20"/>
    </row>
    <row r="109" spans="6:6">
      <c r="F109" s="20"/>
    </row>
    <row r="110" spans="6:6">
      <c r="F110" s="20"/>
    </row>
    <row r="111" spans="6:6">
      <c r="F111" s="20"/>
    </row>
    <row r="112" spans="6:6">
      <c r="F112" s="20"/>
    </row>
    <row r="113" spans="6:6">
      <c r="F113" s="20"/>
    </row>
    <row r="114" spans="6:6">
      <c r="F114" s="20"/>
    </row>
    <row r="115" spans="6:6">
      <c r="F115" s="20"/>
    </row>
    <row r="116" spans="6:6">
      <c r="F116" s="20"/>
    </row>
    <row r="117" spans="6:6">
      <c r="F117" s="20"/>
    </row>
    <row r="119" spans="6:6">
      <c r="F119" s="20"/>
    </row>
    <row r="120" spans="6:6">
      <c r="F120" s="20"/>
    </row>
    <row r="121" spans="6:6">
      <c r="F121" s="20"/>
    </row>
    <row r="124" spans="6:6">
      <c r="F124" s="20"/>
    </row>
    <row r="125" spans="6:6">
      <c r="F125" s="20"/>
    </row>
    <row r="126" spans="6:6">
      <c r="F126" s="20"/>
    </row>
    <row r="127" spans="6:6">
      <c r="F127" s="20"/>
    </row>
    <row r="128" spans="6:6">
      <c r="F128" s="20"/>
    </row>
    <row r="129" spans="6:6">
      <c r="F129" s="20"/>
    </row>
    <row r="130" spans="6:6">
      <c r="F130" s="20"/>
    </row>
    <row r="131" spans="6:6">
      <c r="F131" s="20"/>
    </row>
    <row r="134" spans="6:6">
      <c r="F134" s="20"/>
    </row>
    <row r="135" spans="6:6">
      <c r="F135" s="20"/>
    </row>
    <row r="136" spans="6:6">
      <c r="F136" s="20"/>
    </row>
    <row r="137" spans="6:6">
      <c r="F137" s="20"/>
    </row>
    <row r="138" spans="6:6">
      <c r="F138" s="20"/>
    </row>
    <row r="139" spans="6:6">
      <c r="F139" s="20"/>
    </row>
    <row r="140" spans="6:6">
      <c r="F140" s="20"/>
    </row>
    <row r="141" spans="6:6">
      <c r="F141" s="2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9FA41-C5CF-4EB7-9692-D9B8C4772597}">
  <dimension ref="A1:N153"/>
  <sheetViews>
    <sheetView zoomScale="110" zoomScaleNormal="110" workbookViewId="0"/>
  </sheetViews>
  <sheetFormatPr defaultColWidth="8.85546875" defaultRowHeight="14.1"/>
  <cols>
    <col min="1" max="1" width="14.42578125" style="1" customWidth="1"/>
    <col min="2" max="2" width="10.42578125" style="1" customWidth="1"/>
    <col min="3" max="13" width="8.85546875" style="1"/>
    <col min="14" max="14" width="14.42578125" style="1" customWidth="1"/>
    <col min="15" max="16384" width="8.85546875" style="1"/>
  </cols>
  <sheetData>
    <row r="1" spans="1:14" s="20" customFormat="1">
      <c r="A1" s="20" t="s">
        <v>0</v>
      </c>
      <c r="B1" s="2">
        <v>45330</v>
      </c>
      <c r="F1" s="24" t="s">
        <v>56</v>
      </c>
      <c r="G1" s="25">
        <v>178.80699999999999</v>
      </c>
      <c r="H1" s="26">
        <v>295.52600000000001</v>
      </c>
      <c r="I1" s="26">
        <v>216.98599999999999</v>
      </c>
      <c r="J1" s="27">
        <v>186.511</v>
      </c>
    </row>
    <row r="2" spans="1:14" s="20" customFormat="1">
      <c r="A2" s="20" t="s">
        <v>58</v>
      </c>
      <c r="F2" s="24"/>
      <c r="G2" s="28"/>
      <c r="H2" s="29"/>
      <c r="I2" s="29"/>
      <c r="J2" s="30"/>
    </row>
    <row r="3" spans="1:14" s="20" customFormat="1">
      <c r="G3" s="31"/>
      <c r="H3" s="32"/>
      <c r="I3" s="32"/>
      <c r="J3" s="33"/>
    </row>
    <row r="4" spans="1:14" s="20" customFormat="1">
      <c r="A4" s="20" t="s">
        <v>59</v>
      </c>
      <c r="C4" s="20" t="s">
        <v>60</v>
      </c>
      <c r="F4" s="34" t="s">
        <v>30</v>
      </c>
      <c r="G4" s="20">
        <v>2.6970000000000001</v>
      </c>
      <c r="H4" s="35"/>
      <c r="K4" s="36"/>
    </row>
    <row r="5" spans="1:14" s="20" customFormat="1">
      <c r="F5" s="34" t="s">
        <v>80</v>
      </c>
      <c r="G5" s="37">
        <v>106.151</v>
      </c>
      <c r="H5" s="35"/>
      <c r="I5" s="35"/>
      <c r="J5" s="38"/>
    </row>
    <row r="6" spans="1:14" s="20" customFormat="1">
      <c r="F6" s="39"/>
      <c r="G6" s="40"/>
      <c r="H6" s="41"/>
      <c r="I6" s="41"/>
      <c r="J6" s="42"/>
    </row>
    <row r="7" spans="1:14" s="20" customFormat="1"/>
    <row r="8" spans="1:14" s="20" customFormat="1">
      <c r="A8" s="20" t="s">
        <v>62</v>
      </c>
      <c r="B8" s="20" t="s">
        <v>63</v>
      </c>
      <c r="C8" s="20" t="s">
        <v>64</v>
      </c>
      <c r="D8" s="20" t="s">
        <v>81</v>
      </c>
    </row>
    <row r="9" spans="1:14" s="20" customFormat="1">
      <c r="A9" s="20" t="s">
        <v>66</v>
      </c>
      <c r="B9" s="20">
        <f>AVERAGE(G1:J2)</f>
        <v>219.45749999999998</v>
      </c>
      <c r="C9" s="20">
        <f>B9-B10</f>
        <v>216.76049999999998</v>
      </c>
    </row>
    <row r="10" spans="1:14" s="20" customFormat="1">
      <c r="A10" s="20" t="s">
        <v>30</v>
      </c>
      <c r="B10" s="20">
        <f>AVERAGE(G4:J4)</f>
        <v>2.6970000000000001</v>
      </c>
      <c r="D10" s="20" t="s">
        <v>67</v>
      </c>
      <c r="E10" s="20" t="s">
        <v>68</v>
      </c>
    </row>
    <row r="11" spans="1:14" s="20" customFormat="1">
      <c r="A11" s="20" t="s">
        <v>69</v>
      </c>
      <c r="B11" s="20">
        <f>AVERAGE(G5:J6)</f>
        <v>106.151</v>
      </c>
      <c r="C11" s="20">
        <f>B11-B10</f>
        <v>103.45399999999999</v>
      </c>
      <c r="D11" s="20">
        <f>C11/C9*100</f>
        <v>47.727330394606035</v>
      </c>
      <c r="E11" s="20">
        <f>100-D11</f>
        <v>52.272669605393965</v>
      </c>
    </row>
    <row r="12" spans="1:14">
      <c r="B12" s="20"/>
      <c r="C12" s="20"/>
      <c r="D12" s="20"/>
      <c r="E12" s="20"/>
    </row>
    <row r="13" spans="1:14">
      <c r="A13" s="1" t="s">
        <v>82</v>
      </c>
      <c r="E13" s="1" t="s">
        <v>64</v>
      </c>
      <c r="F13" s="1" t="s">
        <v>78</v>
      </c>
    </row>
    <row r="14" spans="1:14">
      <c r="A14" s="21" t="s">
        <v>83</v>
      </c>
      <c r="C14" s="21">
        <v>-11</v>
      </c>
      <c r="D14" s="1">
        <v>295.52600000000001</v>
      </c>
      <c r="E14" s="1">
        <f t="shared" ref="E14:E20" si="0">D14-$B$10</f>
        <v>292.82900000000001</v>
      </c>
      <c r="F14" s="20">
        <f t="shared" ref="F14:F20" si="1">E14/$C$9*100</f>
        <v>135.09334034568107</v>
      </c>
      <c r="N14" s="21"/>
    </row>
    <row r="15" spans="1:14">
      <c r="A15" s="1" t="s">
        <v>73</v>
      </c>
      <c r="C15" s="21">
        <v>-10</v>
      </c>
      <c r="D15" s="1">
        <v>346.05799999999999</v>
      </c>
      <c r="E15" s="1">
        <f t="shared" si="0"/>
        <v>343.36099999999999</v>
      </c>
      <c r="F15" s="20">
        <f t="shared" si="1"/>
        <v>158.40570583662614</v>
      </c>
    </row>
    <row r="16" spans="1:14">
      <c r="A16" s="43"/>
      <c r="C16" s="21">
        <v>-9</v>
      </c>
      <c r="D16" s="1">
        <v>350.51600000000002</v>
      </c>
      <c r="E16" s="1">
        <f t="shared" si="0"/>
        <v>347.81900000000002</v>
      </c>
      <c r="F16" s="20">
        <f t="shared" si="1"/>
        <v>160.46235361147444</v>
      </c>
      <c r="N16" s="8"/>
    </row>
    <row r="17" spans="1:14">
      <c r="C17" s="21">
        <v>-8</v>
      </c>
      <c r="D17" s="1">
        <v>364.46300000000002</v>
      </c>
      <c r="E17" s="1">
        <f t="shared" si="0"/>
        <v>361.76600000000002</v>
      </c>
      <c r="F17" s="20">
        <f t="shared" si="1"/>
        <v>166.89664399187123</v>
      </c>
      <c r="N17" s="8"/>
    </row>
    <row r="18" spans="1:14">
      <c r="C18" s="21">
        <v>-7</v>
      </c>
      <c r="D18" s="1">
        <v>309.74</v>
      </c>
      <c r="E18" s="1">
        <f t="shared" si="0"/>
        <v>307.04300000000001</v>
      </c>
      <c r="F18" s="20">
        <f t="shared" si="1"/>
        <v>141.65080815000891</v>
      </c>
    </row>
    <row r="19" spans="1:14">
      <c r="C19" s="21">
        <v>-6</v>
      </c>
      <c r="D19" s="1">
        <v>313.46499999999997</v>
      </c>
      <c r="E19" s="1">
        <f t="shared" si="0"/>
        <v>310.76799999999997</v>
      </c>
      <c r="F19" s="20">
        <f t="shared" si="1"/>
        <v>143.36929468237986</v>
      </c>
    </row>
    <row r="20" spans="1:14">
      <c r="C20" s="21">
        <v>-5</v>
      </c>
      <c r="D20" s="1">
        <v>270.04899999999998</v>
      </c>
      <c r="E20" s="1">
        <f t="shared" si="0"/>
        <v>267.35199999999998</v>
      </c>
      <c r="F20" s="20">
        <f t="shared" si="1"/>
        <v>123.33981514159638</v>
      </c>
    </row>
    <row r="21" spans="1:14">
      <c r="F21" s="20"/>
    </row>
    <row r="22" spans="1:14">
      <c r="A22" s="1" t="s">
        <v>84</v>
      </c>
      <c r="E22" s="1" t="s">
        <v>64</v>
      </c>
      <c r="F22" s="1" t="s">
        <v>78</v>
      </c>
    </row>
    <row r="23" spans="1:14">
      <c r="A23" s="21" t="s">
        <v>85</v>
      </c>
      <c r="C23" s="21">
        <v>-11</v>
      </c>
      <c r="D23" s="1">
        <v>216.98599999999999</v>
      </c>
      <c r="E23" s="1">
        <f t="shared" ref="E23:E29" si="2">D23-$B$10</f>
        <v>214.28899999999999</v>
      </c>
      <c r="F23" s="20">
        <f t="shared" ref="F23:F29" si="3">E23/$C$9*100</f>
        <v>98.859801485971843</v>
      </c>
      <c r="N23" s="21"/>
    </row>
    <row r="24" spans="1:14">
      <c r="A24" s="1" t="s">
        <v>73</v>
      </c>
      <c r="C24" s="21">
        <v>-10</v>
      </c>
      <c r="D24" s="1">
        <v>241.09899999999999</v>
      </c>
      <c r="E24" s="1">
        <f t="shared" si="2"/>
        <v>238.40199999999999</v>
      </c>
      <c r="F24" s="20">
        <f t="shared" si="3"/>
        <v>109.98406074907561</v>
      </c>
    </row>
    <row r="25" spans="1:14">
      <c r="C25" s="21">
        <v>-9</v>
      </c>
      <c r="D25" s="1">
        <v>388.42500000000001</v>
      </c>
      <c r="E25" s="1">
        <f t="shared" si="2"/>
        <v>385.72800000000001</v>
      </c>
      <c r="F25" s="20">
        <f t="shared" si="3"/>
        <v>177.95124111634732</v>
      </c>
    </row>
    <row r="26" spans="1:14">
      <c r="C26" s="21">
        <v>-8</v>
      </c>
      <c r="D26" s="1">
        <v>614.21900000000005</v>
      </c>
      <c r="E26" s="1">
        <f t="shared" si="2"/>
        <v>611.52200000000005</v>
      </c>
      <c r="F26" s="20">
        <f t="shared" si="3"/>
        <v>282.11874395934689</v>
      </c>
    </row>
    <row r="27" spans="1:14">
      <c r="C27" s="21">
        <v>-7</v>
      </c>
      <c r="D27" s="1">
        <v>409.85399999999998</v>
      </c>
      <c r="E27" s="1">
        <f t="shared" si="2"/>
        <v>407.15699999999998</v>
      </c>
      <c r="F27" s="20">
        <f t="shared" si="3"/>
        <v>187.83726739881115</v>
      </c>
    </row>
    <row r="28" spans="1:14">
      <c r="C28" s="21">
        <v>-6</v>
      </c>
      <c r="D28" s="1">
        <v>368.76900000000001</v>
      </c>
      <c r="E28" s="1">
        <f t="shared" si="2"/>
        <v>366.072</v>
      </c>
      <c r="F28" s="20">
        <f t="shared" si="3"/>
        <v>168.88316828942544</v>
      </c>
    </row>
    <row r="29" spans="1:14">
      <c r="C29" s="21">
        <v>-5</v>
      </c>
      <c r="D29" s="1">
        <v>297.44799999999998</v>
      </c>
      <c r="E29" s="1">
        <f t="shared" si="2"/>
        <v>294.75099999999998</v>
      </c>
      <c r="F29" s="20">
        <f t="shared" si="3"/>
        <v>135.98003326251785</v>
      </c>
      <c r="J29" s="1" t="s">
        <v>86</v>
      </c>
    </row>
    <row r="30" spans="1:14">
      <c r="F30" s="20"/>
    </row>
    <row r="31" spans="1:14">
      <c r="A31" s="1" t="s">
        <v>87</v>
      </c>
      <c r="E31" s="1" t="s">
        <v>64</v>
      </c>
      <c r="F31" s="1" t="s">
        <v>78</v>
      </c>
    </row>
    <row r="32" spans="1:14">
      <c r="A32" s="21" t="s">
        <v>88</v>
      </c>
      <c r="C32" s="21">
        <v>-11</v>
      </c>
      <c r="D32" s="1">
        <v>186.511</v>
      </c>
      <c r="E32" s="1">
        <f t="shared" ref="E32:E38" si="4">D32-$B$10</f>
        <v>183.81399999999999</v>
      </c>
      <c r="F32" s="20">
        <f>E32/$C$9*100</f>
        <v>84.800505627178396</v>
      </c>
      <c r="N32" s="21"/>
    </row>
    <row r="33" spans="1:14">
      <c r="A33" s="1" t="s">
        <v>73</v>
      </c>
      <c r="C33" s="21">
        <v>-10</v>
      </c>
      <c r="D33" s="1">
        <v>209.148</v>
      </c>
      <c r="E33" s="1">
        <f t="shared" si="4"/>
        <v>206.45099999999999</v>
      </c>
      <c r="F33" s="20">
        <f t="shared" ref="F33:F38" si="5">E33/$C$9*100</f>
        <v>95.243829018663462</v>
      </c>
    </row>
    <row r="34" spans="1:14">
      <c r="C34" s="21">
        <v>-9</v>
      </c>
      <c r="D34" s="1">
        <v>231.86199999999999</v>
      </c>
      <c r="E34" s="1">
        <f t="shared" si="4"/>
        <v>229.16499999999999</v>
      </c>
      <c r="F34" s="20">
        <f t="shared" si="5"/>
        <v>105.72267548746197</v>
      </c>
    </row>
    <row r="35" spans="1:14">
      <c r="C35" s="21">
        <v>-8</v>
      </c>
      <c r="D35" s="1">
        <v>264.14600000000002</v>
      </c>
      <c r="E35" s="1">
        <f t="shared" si="4"/>
        <v>261.44900000000001</v>
      </c>
      <c r="F35" s="20">
        <f t="shared" si="5"/>
        <v>120.6165329937881</v>
      </c>
    </row>
    <row r="36" spans="1:14">
      <c r="C36" s="21">
        <v>-7</v>
      </c>
      <c r="D36" s="1">
        <v>141.411</v>
      </c>
      <c r="E36" s="1">
        <f t="shared" si="4"/>
        <v>138.714</v>
      </c>
      <c r="F36" s="20">
        <f t="shared" si="5"/>
        <v>63.994131772163286</v>
      </c>
    </row>
    <row r="37" spans="1:14">
      <c r="C37" s="21">
        <v>-6</v>
      </c>
      <c r="D37" s="1">
        <v>159.672</v>
      </c>
      <c r="E37" s="1">
        <f t="shared" si="4"/>
        <v>156.97499999999999</v>
      </c>
      <c r="F37" s="20">
        <f t="shared" si="5"/>
        <v>72.418637159445566</v>
      </c>
    </row>
    <row r="38" spans="1:14">
      <c r="C38" s="21">
        <v>-5</v>
      </c>
      <c r="D38" s="1">
        <v>127.02800000000001</v>
      </c>
      <c r="E38" s="1">
        <f t="shared" si="4"/>
        <v>124.331</v>
      </c>
      <c r="F38" s="20">
        <f t="shared" si="5"/>
        <v>57.358697733212473</v>
      </c>
    </row>
    <row r="41" spans="1:14">
      <c r="A41" s="44"/>
      <c r="C41" s="21"/>
      <c r="F41" s="20"/>
      <c r="N41" s="44"/>
    </row>
    <row r="42" spans="1:14">
      <c r="C42" s="21"/>
      <c r="F42" s="20"/>
    </row>
    <row r="43" spans="1:14">
      <c r="C43" s="21"/>
      <c r="F43" s="20"/>
    </row>
    <row r="44" spans="1:14">
      <c r="C44" s="21"/>
      <c r="F44" s="20"/>
    </row>
    <row r="45" spans="1:14">
      <c r="C45" s="21"/>
      <c r="F45" s="20"/>
    </row>
    <row r="46" spans="1:14">
      <c r="C46" s="21"/>
      <c r="F46" s="20"/>
    </row>
    <row r="47" spans="1:14">
      <c r="C47" s="21"/>
      <c r="F47" s="20"/>
    </row>
    <row r="48" spans="1:14">
      <c r="F48" s="20"/>
    </row>
    <row r="50" spans="1:14">
      <c r="A50" s="44"/>
      <c r="C50" s="21"/>
      <c r="F50" s="20"/>
      <c r="N50" s="44"/>
    </row>
    <row r="51" spans="1:14">
      <c r="C51" s="21"/>
      <c r="F51" s="20"/>
    </row>
    <row r="52" spans="1:14">
      <c r="C52" s="21"/>
      <c r="F52" s="20"/>
    </row>
    <row r="53" spans="1:14">
      <c r="C53" s="21"/>
      <c r="F53" s="20"/>
    </row>
    <row r="54" spans="1:14">
      <c r="C54" s="21"/>
      <c r="F54" s="20"/>
    </row>
    <row r="55" spans="1:14">
      <c r="C55" s="21"/>
      <c r="F55" s="20"/>
    </row>
    <row r="56" spans="1:14">
      <c r="C56" s="21"/>
      <c r="F56" s="20"/>
    </row>
    <row r="57" spans="1:14">
      <c r="F57" s="20"/>
    </row>
    <row r="59" spans="1:14">
      <c r="C59" s="21"/>
      <c r="F59" s="20"/>
    </row>
    <row r="60" spans="1:14">
      <c r="C60" s="21"/>
      <c r="F60" s="20"/>
    </row>
    <row r="61" spans="1:14">
      <c r="C61" s="21"/>
      <c r="F61" s="20"/>
    </row>
    <row r="62" spans="1:14">
      <c r="C62" s="21"/>
      <c r="F62" s="20"/>
    </row>
    <row r="63" spans="1:14">
      <c r="C63" s="21"/>
      <c r="F63" s="20"/>
    </row>
    <row r="64" spans="1:14">
      <c r="C64" s="21"/>
      <c r="F64" s="20"/>
    </row>
    <row r="65" spans="3:6">
      <c r="C65" s="21"/>
      <c r="F65" s="20"/>
    </row>
    <row r="68" spans="3:6">
      <c r="C68" s="21"/>
      <c r="F68" s="20"/>
    </row>
    <row r="69" spans="3:6">
      <c r="C69" s="21"/>
      <c r="F69" s="20"/>
    </row>
    <row r="70" spans="3:6">
      <c r="C70" s="21"/>
      <c r="F70" s="20"/>
    </row>
    <row r="71" spans="3:6">
      <c r="C71" s="21"/>
      <c r="F71" s="20"/>
    </row>
    <row r="72" spans="3:6">
      <c r="C72" s="21"/>
      <c r="F72" s="20"/>
    </row>
    <row r="73" spans="3:6">
      <c r="C73" s="21"/>
      <c r="F73" s="20"/>
    </row>
    <row r="74" spans="3:6">
      <c r="C74" s="21"/>
      <c r="F74" s="20"/>
    </row>
    <row r="77" spans="3:6">
      <c r="C77" s="21"/>
      <c r="F77" s="20"/>
    </row>
    <row r="78" spans="3:6">
      <c r="C78" s="21"/>
      <c r="F78" s="20"/>
    </row>
    <row r="79" spans="3:6">
      <c r="C79" s="21"/>
      <c r="F79" s="20"/>
    </row>
    <row r="80" spans="3:6">
      <c r="C80" s="21"/>
      <c r="F80" s="20"/>
    </row>
    <row r="81" spans="3:6">
      <c r="C81" s="21"/>
      <c r="F81" s="20"/>
    </row>
    <row r="82" spans="3:6">
      <c r="C82" s="21"/>
      <c r="F82" s="20"/>
    </row>
    <row r="83" spans="3:6">
      <c r="C83" s="21"/>
      <c r="F83" s="20"/>
    </row>
    <row r="86" spans="3:6">
      <c r="C86" s="21"/>
      <c r="F86" s="20"/>
    </row>
    <row r="87" spans="3:6">
      <c r="C87" s="21"/>
      <c r="F87" s="20"/>
    </row>
    <row r="88" spans="3:6">
      <c r="C88" s="21"/>
      <c r="F88" s="20"/>
    </row>
    <row r="89" spans="3:6">
      <c r="C89" s="21"/>
      <c r="F89" s="20"/>
    </row>
    <row r="90" spans="3:6">
      <c r="C90" s="21"/>
      <c r="F90" s="20"/>
    </row>
    <row r="91" spans="3:6">
      <c r="C91" s="21"/>
      <c r="F91" s="20"/>
    </row>
    <row r="92" spans="3:6">
      <c r="C92" s="21"/>
      <c r="F92" s="20"/>
    </row>
    <row r="95" spans="3:6">
      <c r="F95" s="20"/>
    </row>
    <row r="96" spans="3:6">
      <c r="F96" s="20"/>
    </row>
    <row r="97" spans="6:6">
      <c r="F97" s="20"/>
    </row>
    <row r="98" spans="6:6">
      <c r="F98" s="20"/>
    </row>
    <row r="99" spans="6:6">
      <c r="F99" s="20"/>
    </row>
    <row r="100" spans="6:6">
      <c r="F100" s="20"/>
    </row>
    <row r="101" spans="6:6">
      <c r="F101" s="20"/>
    </row>
    <row r="102" spans="6:6">
      <c r="F102" s="20"/>
    </row>
    <row r="104" spans="6:6">
      <c r="F104" s="20"/>
    </row>
    <row r="105" spans="6:6">
      <c r="F105" s="20"/>
    </row>
    <row r="106" spans="6:6">
      <c r="F106" s="20"/>
    </row>
    <row r="107" spans="6:6">
      <c r="F107" s="20"/>
    </row>
    <row r="108" spans="6:6">
      <c r="F108" s="20"/>
    </row>
    <row r="109" spans="6:6">
      <c r="F109" s="20"/>
    </row>
    <row r="110" spans="6:6">
      <c r="F110" s="20"/>
    </row>
    <row r="113" spans="6:6">
      <c r="F113" s="20"/>
    </row>
    <row r="114" spans="6:6">
      <c r="F114" s="20"/>
    </row>
    <row r="115" spans="6:6">
      <c r="F115" s="20"/>
    </row>
    <row r="116" spans="6:6">
      <c r="F116" s="20"/>
    </row>
    <row r="117" spans="6:6">
      <c r="F117" s="20"/>
    </row>
    <row r="118" spans="6:6">
      <c r="F118" s="20"/>
    </row>
    <row r="119" spans="6:6">
      <c r="F119" s="20"/>
    </row>
    <row r="120" spans="6:6">
      <c r="F120" s="20"/>
    </row>
    <row r="121" spans="6:6">
      <c r="F121" s="20"/>
    </row>
    <row r="122" spans="6:6">
      <c r="F122" s="20"/>
    </row>
    <row r="123" spans="6:6">
      <c r="F123" s="20"/>
    </row>
    <row r="124" spans="6:6">
      <c r="F124" s="20"/>
    </row>
    <row r="125" spans="6:6">
      <c r="F125" s="20"/>
    </row>
    <row r="126" spans="6:6">
      <c r="F126" s="20"/>
    </row>
    <row r="127" spans="6:6">
      <c r="F127" s="20"/>
    </row>
    <row r="128" spans="6:6">
      <c r="F128" s="20"/>
    </row>
    <row r="129" spans="6:6">
      <c r="F129" s="20"/>
    </row>
    <row r="131" spans="6:6">
      <c r="F131" s="20"/>
    </row>
    <row r="132" spans="6:6">
      <c r="F132" s="20"/>
    </row>
    <row r="133" spans="6:6">
      <c r="F133" s="20"/>
    </row>
    <row r="136" spans="6:6">
      <c r="F136" s="20"/>
    </row>
    <row r="137" spans="6:6">
      <c r="F137" s="20"/>
    </row>
    <row r="138" spans="6:6">
      <c r="F138" s="20"/>
    </row>
    <row r="139" spans="6:6">
      <c r="F139" s="20"/>
    </row>
    <row r="140" spans="6:6">
      <c r="F140" s="20"/>
    </row>
    <row r="141" spans="6:6">
      <c r="F141" s="20"/>
    </row>
    <row r="142" spans="6:6">
      <c r="F142" s="20"/>
    </row>
    <row r="143" spans="6:6">
      <c r="F143" s="20"/>
    </row>
    <row r="146" spans="6:6">
      <c r="F146" s="20"/>
    </row>
    <row r="147" spans="6:6">
      <c r="F147" s="20"/>
    </row>
    <row r="148" spans="6:6">
      <c r="F148" s="20"/>
    </row>
    <row r="149" spans="6:6">
      <c r="F149" s="20"/>
    </row>
    <row r="150" spans="6:6">
      <c r="F150" s="20"/>
    </row>
    <row r="151" spans="6:6">
      <c r="F151" s="20"/>
    </row>
    <row r="152" spans="6:6">
      <c r="F152" s="20"/>
    </row>
    <row r="153" spans="6:6">
      <c r="F153" s="20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cafe7d8-4bd4-4378-b54d-cfdec05ca8b5" xsi:nil="true"/>
    <lcf76f155ced4ddcb4097134ff3c332f xmlns="1a253495-b0d9-40a4-8e1c-242bf5431677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7AC21113D08CA4AA11B94D049CCA957" ma:contentTypeVersion="15" ma:contentTypeDescription="Create a new document." ma:contentTypeScope="" ma:versionID="5162a5de96b135813ee1897b46c91040">
  <xsd:schema xmlns:xsd="http://www.w3.org/2001/XMLSchema" xmlns:xs="http://www.w3.org/2001/XMLSchema" xmlns:p="http://schemas.microsoft.com/office/2006/metadata/properties" xmlns:ns2="1a253495-b0d9-40a4-8e1c-242bf5431677" xmlns:ns3="8cafe7d8-4bd4-4378-b54d-cfdec05ca8b5" targetNamespace="http://schemas.microsoft.com/office/2006/metadata/properties" ma:root="true" ma:fieldsID="bb0e9f5f971dd36718e546493f1efd59" ns2:_="" ns3:_="">
    <xsd:import namespace="1a253495-b0d9-40a4-8e1c-242bf5431677"/>
    <xsd:import namespace="8cafe7d8-4bd4-4378-b54d-cfdec05ca8b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253495-b0d9-40a4-8e1c-242bf543167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f841b39-9e5f-4b0d-aa4b-9252280a9f1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afe7d8-4bd4-4378-b54d-cfdec05ca8b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47c2b24-8ad0-483f-a40b-c3025bba6f1f}" ma:internalName="TaxCatchAll" ma:showField="CatchAllData" ma:web="8cafe7d8-4bd4-4378-b54d-cfdec05ca8b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C13410E-7F62-4C33-903B-D840C0A8BF26}"/>
</file>

<file path=customXml/itemProps2.xml><?xml version="1.0" encoding="utf-8"?>
<ds:datastoreItem xmlns:ds="http://schemas.openxmlformats.org/officeDocument/2006/customXml" ds:itemID="{0A5BAFFD-C5C5-425F-8F63-A00A47E43C74}"/>
</file>

<file path=customXml/itemProps3.xml><?xml version="1.0" encoding="utf-8"?>
<ds:datastoreItem xmlns:ds="http://schemas.openxmlformats.org/officeDocument/2006/customXml" ds:itemID="{2ACA0248-3215-46FF-8BDF-1E1137827D0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HP Authorized Customer</dc:creator>
  <cp:keywords/>
  <dc:description/>
  <cp:lastModifiedBy>Atheir Abbas</cp:lastModifiedBy>
  <cp:revision/>
  <dcterms:created xsi:type="dcterms:W3CDTF">2017-04-28T19:29:09Z</dcterms:created>
  <dcterms:modified xsi:type="dcterms:W3CDTF">2024-11-25T20:36:33Z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0x010100D7AC21113D08CA4AA11B94D049CCA957</vt:lpwstr>
  </property>
  <property fmtid="{D5CDD505-2E9C-101B-9397-08002B2CF9AE}" pid="3" name="MediaServiceImageTags">
    <vt:lpwstr/>
  </property>
</Properties>
</file>