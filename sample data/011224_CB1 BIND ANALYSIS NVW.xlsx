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PORHCS\VAPORHCS\Janowsky-Related\Templates\"/>
    </mc:Choice>
  </mc:AlternateContent>
  <xr:revisionPtr revIDLastSave="0" documentId="13_ncr:1_{E7FBA9DE-90DF-42AF-ACC5-2051A01DDED9}" xr6:coauthVersionLast="47" xr6:coauthVersionMax="47" xr10:uidLastSave="{00000000-0000-0000-0000-000000000000}"/>
  <bookViews>
    <workbookView xWindow="0" yWindow="165" windowWidth="40245" windowHeight="20835" activeTab="1" xr2:uid="{CAC09AEE-665B-404E-AEA2-BCB5396DC54C}"/>
  </bookViews>
  <sheets>
    <sheet name="Data 011224" sheetId="2" r:id="rId1"/>
    <sheet name="Template sheet" sheetId="4" r:id="rId2"/>
    <sheet name="P1 D9-THC -6" sheetId="6" r:id="rId3"/>
    <sheet name="P2 D8-THC -6" sheetId="7" r:id="rId4"/>
    <sheet name="P3 D9-THC-B -6" sheetId="8" r:id="rId5"/>
    <sheet name="P2 D9-THC-H -6" sheetId="9" r:id="rId6"/>
    <sheet name="P2 D8-THC-P -7" sheetId="10" r:id="rId7"/>
    <sheet name="D9-THC -6" sheetId="11" r:id="rId8"/>
    <sheet name="D8-THC-O -5" sheetId="12" r:id="rId9"/>
    <sheet name="FDA 1-2" sheetId="5" r:id="rId10"/>
    <sheet name="FDA3-4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19" i="12"/>
  <c r="D18" i="12"/>
  <c r="D17" i="12"/>
  <c r="D16" i="12"/>
  <c r="J15" i="12"/>
  <c r="D15" i="12"/>
  <c r="D14" i="12"/>
  <c r="J13" i="12"/>
  <c r="D13" i="12"/>
  <c r="E13" i="12" s="1"/>
  <c r="F12" i="12"/>
  <c r="G12" i="12" s="1"/>
  <c r="D12" i="12"/>
  <c r="J11" i="12"/>
  <c r="F11" i="12"/>
  <c r="G11" i="12" s="1"/>
  <c r="D11" i="12"/>
  <c r="G10" i="12"/>
  <c r="D10" i="12"/>
  <c r="D9" i="12"/>
  <c r="E9" i="12" s="1"/>
  <c r="D8" i="12"/>
  <c r="E4" i="12"/>
  <c r="E2" i="12"/>
  <c r="E5" i="12" s="1"/>
  <c r="D19" i="11"/>
  <c r="D18" i="11"/>
  <c r="E18" i="11" s="1"/>
  <c r="D17" i="11"/>
  <c r="D16" i="11"/>
  <c r="J15" i="11"/>
  <c r="D15" i="11"/>
  <c r="E15" i="11" s="1"/>
  <c r="D14" i="11"/>
  <c r="F13" i="11"/>
  <c r="F14" i="11" s="1"/>
  <c r="D13" i="11"/>
  <c r="E13" i="11" s="1"/>
  <c r="F12" i="11"/>
  <c r="G12" i="11" s="1"/>
  <c r="D12" i="11"/>
  <c r="J11" i="11"/>
  <c r="J13" i="11" s="1"/>
  <c r="G11" i="11"/>
  <c r="F11" i="11"/>
  <c r="D11" i="11"/>
  <c r="E11" i="11" s="1"/>
  <c r="G10" i="11"/>
  <c r="D10" i="11"/>
  <c r="E10" i="11" s="1"/>
  <c r="D9" i="11"/>
  <c r="E9" i="11" s="1"/>
  <c r="D8" i="11"/>
  <c r="E4" i="11"/>
  <c r="E5" i="11" s="1"/>
  <c r="E2" i="11"/>
  <c r="D19" i="10"/>
  <c r="D18" i="10"/>
  <c r="D17" i="10"/>
  <c r="D16" i="10"/>
  <c r="J15" i="10"/>
  <c r="D15" i="10"/>
  <c r="D14" i="10"/>
  <c r="D13" i="10"/>
  <c r="D12" i="10"/>
  <c r="J11" i="10"/>
  <c r="J13" i="10" s="1"/>
  <c r="G11" i="10"/>
  <c r="F11" i="10"/>
  <c r="F12" i="10" s="1"/>
  <c r="D11" i="10"/>
  <c r="G10" i="10"/>
  <c r="D10" i="10"/>
  <c r="E10" i="10" s="1"/>
  <c r="D9" i="10"/>
  <c r="D8" i="10"/>
  <c r="E4" i="10"/>
  <c r="E5" i="10" s="1"/>
  <c r="E2" i="10"/>
  <c r="D19" i="9"/>
  <c r="D18" i="9"/>
  <c r="E18" i="9" s="1"/>
  <c r="D17" i="9"/>
  <c r="D16" i="9"/>
  <c r="J15" i="9"/>
  <c r="D15" i="9"/>
  <c r="E15" i="9" s="1"/>
  <c r="D14" i="9"/>
  <c r="E13" i="9"/>
  <c r="D13" i="9"/>
  <c r="D12" i="9"/>
  <c r="E12" i="9" s="1"/>
  <c r="J11" i="9"/>
  <c r="G11" i="9"/>
  <c r="F11" i="9"/>
  <c r="F12" i="9" s="1"/>
  <c r="D11" i="9"/>
  <c r="G10" i="9"/>
  <c r="D10" i="9"/>
  <c r="D9" i="9"/>
  <c r="E11" i="9" s="1"/>
  <c r="D8" i="9"/>
  <c r="E4" i="9"/>
  <c r="E5" i="9" s="1"/>
  <c r="E2" i="9"/>
  <c r="D19" i="8"/>
  <c r="D18" i="8"/>
  <c r="D17" i="8"/>
  <c r="D16" i="8"/>
  <c r="J15" i="8"/>
  <c r="D15" i="8"/>
  <c r="D14" i="8"/>
  <c r="D13" i="8"/>
  <c r="D12" i="8"/>
  <c r="J11" i="8"/>
  <c r="J13" i="8" s="1"/>
  <c r="G11" i="8"/>
  <c r="F11" i="8"/>
  <c r="F12" i="8" s="1"/>
  <c r="D11" i="8"/>
  <c r="G10" i="8"/>
  <c r="D10" i="8"/>
  <c r="D9" i="8"/>
  <c r="E11" i="8" s="1"/>
  <c r="D8" i="8"/>
  <c r="E4" i="8"/>
  <c r="E5" i="8" s="1"/>
  <c r="E2" i="8"/>
  <c r="E4" i="4"/>
  <c r="D19" i="7"/>
  <c r="D18" i="7"/>
  <c r="D17" i="7"/>
  <c r="D16" i="7"/>
  <c r="J15" i="7"/>
  <c r="D15" i="7"/>
  <c r="E15" i="7" s="1"/>
  <c r="D14" i="7"/>
  <c r="E14" i="7" s="1"/>
  <c r="E13" i="7"/>
  <c r="D13" i="7"/>
  <c r="D12" i="7"/>
  <c r="J11" i="7"/>
  <c r="G11" i="7"/>
  <c r="F11" i="7"/>
  <c r="F12" i="7" s="1"/>
  <c r="D11" i="7"/>
  <c r="G10" i="7"/>
  <c r="D10" i="7"/>
  <c r="E10" i="7" s="1"/>
  <c r="D9" i="7"/>
  <c r="D8" i="7"/>
  <c r="E4" i="7"/>
  <c r="E5" i="7" s="1"/>
  <c r="E2" i="7"/>
  <c r="D19" i="6"/>
  <c r="D18" i="6"/>
  <c r="E18" i="6" s="1"/>
  <c r="D17" i="6"/>
  <c r="E17" i="6" s="1"/>
  <c r="D16" i="6"/>
  <c r="E16" i="6" s="1"/>
  <c r="J15" i="6"/>
  <c r="D15" i="6"/>
  <c r="E15" i="6" s="1"/>
  <c r="D14" i="6"/>
  <c r="E14" i="6" s="1"/>
  <c r="E13" i="6"/>
  <c r="D13" i="6"/>
  <c r="D12" i="6"/>
  <c r="E12" i="6" s="1"/>
  <c r="J11" i="6"/>
  <c r="G11" i="6"/>
  <c r="F11" i="6"/>
  <c r="F12" i="6" s="1"/>
  <c r="D11" i="6"/>
  <c r="G10" i="6"/>
  <c r="D10" i="6"/>
  <c r="E10" i="6" s="1"/>
  <c r="E9" i="6"/>
  <c r="D9" i="6"/>
  <c r="E11" i="6" s="1"/>
  <c r="D8" i="6"/>
  <c r="E4" i="6"/>
  <c r="E5" i="6" s="1"/>
  <c r="E2" i="6"/>
  <c r="D110" i="5"/>
  <c r="D109" i="5"/>
  <c r="E109" i="5" s="1"/>
  <c r="D108" i="5"/>
  <c r="E108" i="5" s="1"/>
  <c r="D107" i="5"/>
  <c r="E107" i="5" s="1"/>
  <c r="D106" i="5"/>
  <c r="E106" i="5" s="1"/>
  <c r="E105" i="5"/>
  <c r="D105" i="5"/>
  <c r="D104" i="5"/>
  <c r="E104" i="5" s="1"/>
  <c r="E103" i="5"/>
  <c r="D103" i="5"/>
  <c r="G102" i="5"/>
  <c r="F102" i="5"/>
  <c r="F103" i="5" s="1"/>
  <c r="D102" i="5"/>
  <c r="E102" i="5" s="1"/>
  <c r="G101" i="5"/>
  <c r="D101" i="5"/>
  <c r="E101" i="5" s="1"/>
  <c r="E100" i="5"/>
  <c r="D100" i="5"/>
  <c r="D99" i="5"/>
  <c r="E99" i="5" s="1"/>
  <c r="H99" i="5" s="1"/>
  <c r="D97" i="5"/>
  <c r="D96" i="5"/>
  <c r="E96" i="5" s="1"/>
  <c r="D95" i="5"/>
  <c r="E95" i="5" s="1"/>
  <c r="D94" i="5"/>
  <c r="D93" i="5"/>
  <c r="D92" i="5"/>
  <c r="D91" i="5"/>
  <c r="E91" i="5" s="1"/>
  <c r="D90" i="5"/>
  <c r="E90" i="5" s="1"/>
  <c r="F89" i="5"/>
  <c r="F90" i="5" s="1"/>
  <c r="D89" i="5"/>
  <c r="E89" i="5" s="1"/>
  <c r="G88" i="5"/>
  <c r="D88" i="5"/>
  <c r="D87" i="5"/>
  <c r="E92" i="5" s="1"/>
  <c r="D86" i="5"/>
  <c r="D84" i="5"/>
  <c r="E84" i="5" s="1"/>
  <c r="D83" i="5"/>
  <c r="E83" i="5" s="1"/>
  <c r="D82" i="5"/>
  <c r="E82" i="5" s="1"/>
  <c r="D81" i="5"/>
  <c r="E81" i="5" s="1"/>
  <c r="E80" i="5"/>
  <c r="D80" i="5"/>
  <c r="E79" i="5"/>
  <c r="D79" i="5"/>
  <c r="E78" i="5"/>
  <c r="D78" i="5"/>
  <c r="G77" i="5"/>
  <c r="F77" i="5"/>
  <c r="F78" i="5" s="1"/>
  <c r="D77" i="5"/>
  <c r="E77" i="5" s="1"/>
  <c r="G76" i="5"/>
  <c r="F76" i="5"/>
  <c r="D76" i="5"/>
  <c r="E76" i="5" s="1"/>
  <c r="G75" i="5"/>
  <c r="E75" i="5"/>
  <c r="D75" i="5"/>
  <c r="E74" i="5"/>
  <c r="D74" i="5"/>
  <c r="D73" i="5"/>
  <c r="E73" i="5" s="1"/>
  <c r="H73" i="5" s="1"/>
  <c r="D71" i="5"/>
  <c r="D70" i="5"/>
  <c r="E70" i="5" s="1"/>
  <c r="E69" i="5"/>
  <c r="D69" i="5"/>
  <c r="E68" i="5"/>
  <c r="D68" i="5"/>
  <c r="E67" i="5"/>
  <c r="D67" i="5"/>
  <c r="D66" i="5"/>
  <c r="E66" i="5" s="1"/>
  <c r="J65" i="5"/>
  <c r="E65" i="5"/>
  <c r="D65" i="5"/>
  <c r="D64" i="5"/>
  <c r="E64" i="5" s="1"/>
  <c r="J63" i="5"/>
  <c r="F63" i="5"/>
  <c r="F64" i="5" s="1"/>
  <c r="E63" i="5"/>
  <c r="D63" i="5"/>
  <c r="G62" i="5"/>
  <c r="D62" i="5"/>
  <c r="E62" i="5" s="1"/>
  <c r="D61" i="5"/>
  <c r="E60" i="5" s="1"/>
  <c r="H60" i="5" s="1"/>
  <c r="D60" i="5"/>
  <c r="D58" i="5"/>
  <c r="D57" i="5"/>
  <c r="E57" i="5" s="1"/>
  <c r="D56" i="5"/>
  <c r="E56" i="5" s="1"/>
  <c r="F55" i="5"/>
  <c r="F56" i="5" s="1"/>
  <c r="D55" i="5"/>
  <c r="E55" i="5" s="1"/>
  <c r="F54" i="5"/>
  <c r="G54" i="5" s="1"/>
  <c r="D54" i="5"/>
  <c r="E54" i="5" s="1"/>
  <c r="F53" i="5"/>
  <c r="G53" i="5" s="1"/>
  <c r="D53" i="5"/>
  <c r="E53" i="5" s="1"/>
  <c r="F52" i="5"/>
  <c r="G52" i="5" s="1"/>
  <c r="E52" i="5"/>
  <c r="D52" i="5"/>
  <c r="F51" i="5"/>
  <c r="G51" i="5" s="1"/>
  <c r="E51" i="5"/>
  <c r="D51" i="5"/>
  <c r="G50" i="5"/>
  <c r="F50" i="5"/>
  <c r="E50" i="5"/>
  <c r="D50" i="5"/>
  <c r="G49" i="5"/>
  <c r="D49" i="5"/>
  <c r="E49" i="5" s="1"/>
  <c r="E48" i="5"/>
  <c r="D48" i="5"/>
  <c r="E47" i="5" s="1"/>
  <c r="H47" i="5" s="1"/>
  <c r="D47" i="5"/>
  <c r="D45" i="5"/>
  <c r="D44" i="5"/>
  <c r="E44" i="5" s="1"/>
  <c r="H44" i="5" s="1"/>
  <c r="D43" i="5"/>
  <c r="E43" i="5" s="1"/>
  <c r="H43" i="5" s="1"/>
  <c r="D42" i="5"/>
  <c r="E42" i="5" s="1"/>
  <c r="H42" i="5" s="1"/>
  <c r="E41" i="5"/>
  <c r="H41" i="5" s="1"/>
  <c r="D41" i="5"/>
  <c r="E40" i="5"/>
  <c r="H40" i="5" s="1"/>
  <c r="D40" i="5"/>
  <c r="E39" i="5"/>
  <c r="H39" i="5" s="1"/>
  <c r="D39" i="5"/>
  <c r="D38" i="5"/>
  <c r="E38" i="5" s="1"/>
  <c r="H38" i="5" s="1"/>
  <c r="G37" i="5"/>
  <c r="F37" i="5"/>
  <c r="F38" i="5" s="1"/>
  <c r="D37" i="5"/>
  <c r="E37" i="5" s="1"/>
  <c r="H37" i="5" s="1"/>
  <c r="G36" i="5"/>
  <c r="D36" i="5"/>
  <c r="E36" i="5" s="1"/>
  <c r="H36" i="5" s="1"/>
  <c r="E35" i="5"/>
  <c r="D35" i="5"/>
  <c r="E34" i="5"/>
  <c r="H34" i="5" s="1"/>
  <c r="D34" i="5"/>
  <c r="D32" i="5"/>
  <c r="D31" i="5"/>
  <c r="E30" i="5"/>
  <c r="D30" i="5"/>
  <c r="D29" i="5"/>
  <c r="D28" i="5"/>
  <c r="D27" i="5"/>
  <c r="E27" i="5" s="1"/>
  <c r="D26" i="5"/>
  <c r="E26" i="5" s="1"/>
  <c r="F25" i="5"/>
  <c r="F26" i="5" s="1"/>
  <c r="D25" i="5"/>
  <c r="E25" i="5" s="1"/>
  <c r="F24" i="5"/>
  <c r="G24" i="5" s="1"/>
  <c r="D24" i="5"/>
  <c r="E24" i="5" s="1"/>
  <c r="G23" i="5"/>
  <c r="D23" i="5"/>
  <c r="D22" i="5"/>
  <c r="E28" i="5" s="1"/>
  <c r="D21" i="5"/>
  <c r="D19" i="5"/>
  <c r="E18" i="5"/>
  <c r="D18" i="5"/>
  <c r="D17" i="5"/>
  <c r="D16" i="5"/>
  <c r="E16" i="5" s="1"/>
  <c r="J15" i="5"/>
  <c r="E15" i="5"/>
  <c r="D15" i="5"/>
  <c r="D14" i="5"/>
  <c r="E13" i="5"/>
  <c r="D13" i="5"/>
  <c r="E12" i="5"/>
  <c r="D12" i="5"/>
  <c r="J11" i="5"/>
  <c r="J13" i="5" s="1"/>
  <c r="F11" i="5"/>
  <c r="G11" i="5" s="1"/>
  <c r="D11" i="5"/>
  <c r="G10" i="5"/>
  <c r="D10" i="5"/>
  <c r="E10" i="5" s="1"/>
  <c r="D9" i="5"/>
  <c r="E9" i="5" s="1"/>
  <c r="D8" i="5"/>
  <c r="E4" i="5"/>
  <c r="E5" i="5" s="1"/>
  <c r="E2" i="5"/>
  <c r="D9" i="4"/>
  <c r="E9" i="4" s="1"/>
  <c r="J15" i="4"/>
  <c r="J11" i="4"/>
  <c r="H13" i="12" l="1"/>
  <c r="E11" i="12"/>
  <c r="H11" i="12" s="1"/>
  <c r="E15" i="12"/>
  <c r="E12" i="12"/>
  <c r="H12" i="12" s="1"/>
  <c r="E16" i="12"/>
  <c r="H16" i="12" s="1"/>
  <c r="E8" i="12"/>
  <c r="H8" i="12" s="1"/>
  <c r="E18" i="12"/>
  <c r="E10" i="12"/>
  <c r="H10" i="12" s="1"/>
  <c r="F13" i="12"/>
  <c r="E14" i="12"/>
  <c r="H14" i="12" s="1"/>
  <c r="E17" i="12"/>
  <c r="E14" i="11"/>
  <c r="E12" i="11"/>
  <c r="E16" i="11"/>
  <c r="E17" i="11"/>
  <c r="H107" i="5"/>
  <c r="H108" i="5"/>
  <c r="H103" i="5"/>
  <c r="H109" i="5"/>
  <c r="H101" i="5"/>
  <c r="H104" i="5"/>
  <c r="H105" i="5"/>
  <c r="H102" i="5"/>
  <c r="H106" i="5"/>
  <c r="H81" i="5"/>
  <c r="H75" i="5"/>
  <c r="H83" i="5"/>
  <c r="H78" i="5"/>
  <c r="H76" i="5"/>
  <c r="H79" i="5"/>
  <c r="H77" i="5"/>
  <c r="H80" i="5"/>
  <c r="H82" i="5"/>
  <c r="H13" i="11"/>
  <c r="F15" i="11"/>
  <c r="G14" i="11"/>
  <c r="G13" i="11"/>
  <c r="E8" i="11"/>
  <c r="H8" i="11" s="1"/>
  <c r="E11" i="10"/>
  <c r="E13" i="10"/>
  <c r="E14" i="10"/>
  <c r="E15" i="10"/>
  <c r="E16" i="10"/>
  <c r="E17" i="10"/>
  <c r="H17" i="10" s="1"/>
  <c r="E12" i="10"/>
  <c r="E18" i="10"/>
  <c r="E9" i="10"/>
  <c r="G12" i="10"/>
  <c r="F13" i="10"/>
  <c r="E8" i="10"/>
  <c r="H8" i="10" s="1"/>
  <c r="J13" i="6"/>
  <c r="J13" i="7"/>
  <c r="J13" i="9"/>
  <c r="E16" i="9"/>
  <c r="E9" i="9"/>
  <c r="E17" i="9"/>
  <c r="E10" i="9"/>
  <c r="E14" i="9"/>
  <c r="F13" i="9"/>
  <c r="G12" i="9"/>
  <c r="H12" i="9"/>
  <c r="E8" i="9"/>
  <c r="H8" i="9" s="1"/>
  <c r="E15" i="8"/>
  <c r="E13" i="8"/>
  <c r="E16" i="8"/>
  <c r="E18" i="8"/>
  <c r="E12" i="8"/>
  <c r="E9" i="8"/>
  <c r="E17" i="8"/>
  <c r="E10" i="8"/>
  <c r="E14" i="8"/>
  <c r="G12" i="8"/>
  <c r="F13" i="8"/>
  <c r="E8" i="8"/>
  <c r="H8" i="8" s="1"/>
  <c r="E16" i="7"/>
  <c r="E17" i="7"/>
  <c r="E11" i="7"/>
  <c r="E12" i="7"/>
  <c r="E18" i="7"/>
  <c r="E9" i="7"/>
  <c r="F13" i="7"/>
  <c r="G12" i="7"/>
  <c r="E8" i="7"/>
  <c r="H8" i="7" s="1"/>
  <c r="F13" i="6"/>
  <c r="G12" i="6"/>
  <c r="E8" i="6"/>
  <c r="H8" i="6" s="1"/>
  <c r="H64" i="5"/>
  <c r="H68" i="5"/>
  <c r="F79" i="5"/>
  <c r="G78" i="5"/>
  <c r="H96" i="5"/>
  <c r="G26" i="5"/>
  <c r="F27" i="5"/>
  <c r="H51" i="5"/>
  <c r="H62" i="5"/>
  <c r="G90" i="5"/>
  <c r="F91" i="5"/>
  <c r="F104" i="5"/>
  <c r="G103" i="5"/>
  <c r="H54" i="5"/>
  <c r="H65" i="5"/>
  <c r="G56" i="5"/>
  <c r="F57" i="5"/>
  <c r="G57" i="5" s="1"/>
  <c r="H70" i="5"/>
  <c r="H49" i="5"/>
  <c r="H52" i="5"/>
  <c r="H56" i="5"/>
  <c r="H63" i="5"/>
  <c r="H66" i="5"/>
  <c r="H30" i="5"/>
  <c r="H13" i="5"/>
  <c r="F39" i="5"/>
  <c r="G38" i="5"/>
  <c r="H55" i="5"/>
  <c r="H16" i="5"/>
  <c r="H50" i="5"/>
  <c r="H57" i="5"/>
  <c r="F65" i="5"/>
  <c r="G64" i="5"/>
  <c r="H10" i="5"/>
  <c r="H69" i="5"/>
  <c r="H53" i="5"/>
  <c r="H67" i="5"/>
  <c r="E94" i="5"/>
  <c r="E21" i="5"/>
  <c r="H21" i="5" s="1"/>
  <c r="G25" i="5"/>
  <c r="G55" i="5"/>
  <c r="E87" i="5"/>
  <c r="G89" i="5"/>
  <c r="E61" i="5"/>
  <c r="G63" i="5"/>
  <c r="E29" i="5"/>
  <c r="E88" i="5"/>
  <c r="E8" i="5"/>
  <c r="H8" i="5" s="1"/>
  <c r="F12" i="5"/>
  <c r="E22" i="5"/>
  <c r="E93" i="5"/>
  <c r="H93" i="5" s="1"/>
  <c r="E11" i="5"/>
  <c r="H11" i="5" s="1"/>
  <c r="E31" i="5"/>
  <c r="E14" i="5"/>
  <c r="H14" i="5" s="1"/>
  <c r="E17" i="5"/>
  <c r="H17" i="5" s="1"/>
  <c r="E23" i="5"/>
  <c r="E86" i="5"/>
  <c r="H86" i="5" s="1"/>
  <c r="J13" i="4"/>
  <c r="H18" i="12" l="1"/>
  <c r="H17" i="12"/>
  <c r="H15" i="12"/>
  <c r="F14" i="12"/>
  <c r="G13" i="12"/>
  <c r="H10" i="11"/>
  <c r="H26" i="5"/>
  <c r="H24" i="5"/>
  <c r="H23" i="5"/>
  <c r="H27" i="5"/>
  <c r="H29" i="5"/>
  <c r="H28" i="5"/>
  <c r="H17" i="11"/>
  <c r="H16" i="11"/>
  <c r="H12" i="11"/>
  <c r="H15" i="11"/>
  <c r="H14" i="11"/>
  <c r="G15" i="11"/>
  <c r="F16" i="11"/>
  <c r="H18" i="11"/>
  <c r="H11" i="11"/>
  <c r="H10" i="10"/>
  <c r="H16" i="10"/>
  <c r="F14" i="10"/>
  <c r="G13" i="10"/>
  <c r="H18" i="10"/>
  <c r="H14" i="10"/>
  <c r="H12" i="10"/>
  <c r="H15" i="10"/>
  <c r="H11" i="10"/>
  <c r="H13" i="10"/>
  <c r="H17" i="7"/>
  <c r="H15" i="6"/>
  <c r="H18" i="6"/>
  <c r="H13" i="6"/>
  <c r="H17" i="6"/>
  <c r="H10" i="6"/>
  <c r="H11" i="6"/>
  <c r="H16" i="6"/>
  <c r="H10" i="9"/>
  <c r="H18" i="9"/>
  <c r="H13" i="9"/>
  <c r="F14" i="9"/>
  <c r="G13" i="9"/>
  <c r="H17" i="9"/>
  <c r="H16" i="9"/>
  <c r="H14" i="9"/>
  <c r="H11" i="9"/>
  <c r="H15" i="9"/>
  <c r="H15" i="8"/>
  <c r="H14" i="8"/>
  <c r="H10" i="8"/>
  <c r="H13" i="8"/>
  <c r="F14" i="8"/>
  <c r="G13" i="8"/>
  <c r="H17" i="8"/>
  <c r="H12" i="8"/>
  <c r="H16" i="8"/>
  <c r="H18" i="8"/>
  <c r="H11" i="8"/>
  <c r="H10" i="7"/>
  <c r="H16" i="7"/>
  <c r="F14" i="7"/>
  <c r="G13" i="7"/>
  <c r="H18" i="7"/>
  <c r="H14" i="7"/>
  <c r="H12" i="7"/>
  <c r="H15" i="7"/>
  <c r="H11" i="7"/>
  <c r="H13" i="7"/>
  <c r="F14" i="6"/>
  <c r="G13" i="6"/>
  <c r="H12" i="6"/>
  <c r="H14" i="6"/>
  <c r="H95" i="5"/>
  <c r="G12" i="5"/>
  <c r="F13" i="5"/>
  <c r="H15" i="5"/>
  <c r="F28" i="5"/>
  <c r="G27" i="5"/>
  <c r="G79" i="5"/>
  <c r="F80" i="5"/>
  <c r="H89" i="5"/>
  <c r="G65" i="5"/>
  <c r="F66" i="5"/>
  <c r="H92" i="5"/>
  <c r="F40" i="5"/>
  <c r="G39" i="5"/>
  <c r="H91" i="5"/>
  <c r="H31" i="5"/>
  <c r="H88" i="5"/>
  <c r="H94" i="5"/>
  <c r="H12" i="5"/>
  <c r="H18" i="5"/>
  <c r="H90" i="5"/>
  <c r="G104" i="5"/>
  <c r="F105" i="5"/>
  <c r="H25" i="5"/>
  <c r="F92" i="5"/>
  <c r="G91" i="5"/>
  <c r="F15" i="12" l="1"/>
  <c r="G14" i="12"/>
  <c r="F17" i="11"/>
  <c r="G16" i="11"/>
  <c r="F15" i="10"/>
  <c r="G14" i="10"/>
  <c r="F15" i="9"/>
  <c r="G14" i="9"/>
  <c r="G14" i="8"/>
  <c r="F15" i="8"/>
  <c r="F15" i="7"/>
  <c r="G14" i="7"/>
  <c r="F15" i="6"/>
  <c r="G14" i="6"/>
  <c r="F14" i="5"/>
  <c r="G13" i="5"/>
  <c r="F93" i="5"/>
  <c r="G92" i="5"/>
  <c r="F29" i="5"/>
  <c r="G28" i="5"/>
  <c r="G40" i="5"/>
  <c r="F41" i="5"/>
  <c r="F67" i="5"/>
  <c r="G66" i="5"/>
  <c r="F106" i="5"/>
  <c r="G105" i="5"/>
  <c r="F81" i="5"/>
  <c r="G80" i="5"/>
  <c r="G15" i="12" l="1"/>
  <c r="F16" i="12"/>
  <c r="F18" i="11"/>
  <c r="G18" i="11" s="1"/>
  <c r="G17" i="11"/>
  <c r="G15" i="10"/>
  <c r="F16" i="10"/>
  <c r="G15" i="9"/>
  <c r="F16" i="9"/>
  <c r="G15" i="8"/>
  <c r="F16" i="8"/>
  <c r="G15" i="7"/>
  <c r="F16" i="7"/>
  <c r="G15" i="6"/>
  <c r="F16" i="6"/>
  <c r="F68" i="5"/>
  <c r="G67" i="5"/>
  <c r="F15" i="5"/>
  <c r="G14" i="5"/>
  <c r="G29" i="5"/>
  <c r="F30" i="5"/>
  <c r="G93" i="5"/>
  <c r="F94" i="5"/>
  <c r="G81" i="5"/>
  <c r="F82" i="5"/>
  <c r="F42" i="5"/>
  <c r="G41" i="5"/>
  <c r="G106" i="5"/>
  <c r="F107" i="5"/>
  <c r="F17" i="12" l="1"/>
  <c r="G16" i="12"/>
  <c r="F17" i="10"/>
  <c r="G16" i="10"/>
  <c r="F17" i="9"/>
  <c r="G16" i="9"/>
  <c r="F17" i="8"/>
  <c r="G16" i="8"/>
  <c r="F17" i="7"/>
  <c r="G16" i="7"/>
  <c r="F17" i="6"/>
  <c r="G16" i="6"/>
  <c r="G42" i="5"/>
  <c r="F43" i="5"/>
  <c r="G68" i="5"/>
  <c r="F69" i="5"/>
  <c r="G82" i="5"/>
  <c r="F83" i="5"/>
  <c r="G83" i="5" s="1"/>
  <c r="F31" i="5"/>
  <c r="G31" i="5" s="1"/>
  <c r="G30" i="5"/>
  <c r="F95" i="5"/>
  <c r="G94" i="5"/>
  <c r="G107" i="5"/>
  <c r="F108" i="5"/>
  <c r="G15" i="5"/>
  <c r="F16" i="5"/>
  <c r="F18" i="12" l="1"/>
  <c r="G18" i="12" s="1"/>
  <c r="G17" i="12"/>
  <c r="G17" i="10"/>
  <c r="F18" i="10"/>
  <c r="G18" i="10" s="1"/>
  <c r="F18" i="9"/>
  <c r="G18" i="9" s="1"/>
  <c r="G17" i="9"/>
  <c r="F18" i="8"/>
  <c r="G18" i="8" s="1"/>
  <c r="G17" i="8"/>
  <c r="G17" i="7"/>
  <c r="F18" i="7"/>
  <c r="G18" i="7" s="1"/>
  <c r="F18" i="6"/>
  <c r="G18" i="6" s="1"/>
  <c r="G17" i="6"/>
  <c r="G43" i="5"/>
  <c r="F44" i="5"/>
  <c r="G44" i="5" s="1"/>
  <c r="G95" i="5"/>
  <c r="F96" i="5"/>
  <c r="G96" i="5" s="1"/>
  <c r="F17" i="5"/>
  <c r="G16" i="5"/>
  <c r="F109" i="5"/>
  <c r="G109" i="5" s="1"/>
  <c r="G108" i="5"/>
  <c r="F70" i="5"/>
  <c r="G70" i="5" s="1"/>
  <c r="G69" i="5"/>
  <c r="F18" i="5" l="1"/>
  <c r="G18" i="5" s="1"/>
  <c r="G17" i="5"/>
  <c r="D35" i="3" l="1"/>
  <c r="D87" i="3" l="1"/>
  <c r="D60" i="3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D37" i="3"/>
  <c r="E37" i="3" s="1"/>
  <c r="D9" i="3"/>
  <c r="E9" i="3" s="1"/>
  <c r="D100" i="3" l="1"/>
  <c r="D48" i="3"/>
  <c r="E47" i="3" s="1"/>
  <c r="D61" i="3" l="1"/>
  <c r="E60" i="3" s="1"/>
  <c r="D73" i="3"/>
  <c r="D74" i="3"/>
  <c r="D99" i="3"/>
  <c r="E48" i="3"/>
  <c r="E4" i="3" l="1"/>
  <c r="E2" i="3"/>
  <c r="E5" i="3" l="1"/>
  <c r="D110" i="3" l="1"/>
  <c r="D109" i="3"/>
  <c r="D108" i="3"/>
  <c r="D107" i="3"/>
  <c r="D106" i="3"/>
  <c r="D105" i="3"/>
  <c r="D104" i="3"/>
  <c r="D103" i="3"/>
  <c r="F102" i="3"/>
  <c r="F103" i="3" s="1"/>
  <c r="D102" i="3"/>
  <c r="G101" i="3"/>
  <c r="D101" i="3"/>
  <c r="E99" i="3"/>
  <c r="D97" i="3"/>
  <c r="D96" i="3"/>
  <c r="D95" i="3"/>
  <c r="D94" i="3"/>
  <c r="E94" i="3" s="1"/>
  <c r="D93" i="3"/>
  <c r="D92" i="3"/>
  <c r="E92" i="3" s="1"/>
  <c r="D91" i="3"/>
  <c r="E91" i="3" s="1"/>
  <c r="D90" i="3"/>
  <c r="E90" i="3" s="1"/>
  <c r="F89" i="3"/>
  <c r="G89" i="3" s="1"/>
  <c r="D89" i="3"/>
  <c r="E89" i="3" s="1"/>
  <c r="G88" i="3"/>
  <c r="D88" i="3"/>
  <c r="E88" i="3" s="1"/>
  <c r="E87" i="3"/>
  <c r="D86" i="3"/>
  <c r="D84" i="3"/>
  <c r="E73" i="3" s="1"/>
  <c r="H73" i="3" s="1"/>
  <c r="D83" i="3"/>
  <c r="E83" i="3" s="1"/>
  <c r="D82" i="3"/>
  <c r="D81" i="3"/>
  <c r="D80" i="3"/>
  <c r="D79" i="3"/>
  <c r="D78" i="3"/>
  <c r="E78" i="3" s="1"/>
  <c r="D77" i="3"/>
  <c r="E77" i="3" s="1"/>
  <c r="F76" i="3"/>
  <c r="F77" i="3" s="1"/>
  <c r="F78" i="3" s="1"/>
  <c r="D76" i="3"/>
  <c r="G75" i="3"/>
  <c r="D75" i="3"/>
  <c r="D71" i="3"/>
  <c r="D70" i="3"/>
  <c r="D69" i="3"/>
  <c r="E69" i="3" s="1"/>
  <c r="D68" i="3"/>
  <c r="D67" i="3"/>
  <c r="E67" i="3" s="1"/>
  <c r="D66" i="3"/>
  <c r="E66" i="3" s="1"/>
  <c r="D65" i="3"/>
  <c r="E65" i="3" s="1"/>
  <c r="D64" i="3"/>
  <c r="F63" i="3"/>
  <c r="F64" i="3" s="1"/>
  <c r="D63" i="3"/>
  <c r="E63" i="3" s="1"/>
  <c r="G62" i="3"/>
  <c r="D62" i="3"/>
  <c r="H60" i="3"/>
  <c r="D58" i="3"/>
  <c r="H47" i="3" s="1"/>
  <c r="D57" i="3"/>
  <c r="D56" i="3"/>
  <c r="D55" i="3"/>
  <c r="E55" i="3" s="1"/>
  <c r="D54" i="3"/>
  <c r="D53" i="3"/>
  <c r="E53" i="3" s="1"/>
  <c r="D52" i="3"/>
  <c r="E52" i="3" s="1"/>
  <c r="D51" i="3"/>
  <c r="F50" i="3"/>
  <c r="F51" i="3" s="1"/>
  <c r="D50" i="3"/>
  <c r="E50" i="3" s="1"/>
  <c r="G49" i="3"/>
  <c r="D49" i="3"/>
  <c r="E49" i="3" s="1"/>
  <c r="D47" i="3"/>
  <c r="F37" i="3"/>
  <c r="G37" i="3" s="1"/>
  <c r="G36" i="3"/>
  <c r="D36" i="3"/>
  <c r="E35" i="3"/>
  <c r="D34" i="3"/>
  <c r="E34" i="3" s="1"/>
  <c r="H34" i="3" s="1"/>
  <c r="D32" i="3"/>
  <c r="D31" i="3"/>
  <c r="D30" i="3"/>
  <c r="D29" i="3"/>
  <c r="D28" i="3"/>
  <c r="D27" i="3"/>
  <c r="D26" i="3"/>
  <c r="D25" i="3"/>
  <c r="F24" i="3"/>
  <c r="G24" i="3" s="1"/>
  <c r="D24" i="3"/>
  <c r="G23" i="3"/>
  <c r="D23" i="3"/>
  <c r="D22" i="3"/>
  <c r="D21" i="3"/>
  <c r="D19" i="3"/>
  <c r="D18" i="3"/>
  <c r="D17" i="3"/>
  <c r="D16" i="3"/>
  <c r="D15" i="3"/>
  <c r="D14" i="3"/>
  <c r="D13" i="3"/>
  <c r="D12" i="3"/>
  <c r="F11" i="3"/>
  <c r="F12" i="3" s="1"/>
  <c r="F13" i="3" s="1"/>
  <c r="D11" i="3"/>
  <c r="G10" i="3"/>
  <c r="D10" i="3"/>
  <c r="D8" i="3"/>
  <c r="F38" i="3" l="1"/>
  <c r="G38" i="3" s="1"/>
  <c r="F90" i="3"/>
  <c r="F91" i="3" s="1"/>
  <c r="F92" i="3" s="1"/>
  <c r="G92" i="3" s="1"/>
  <c r="F25" i="3"/>
  <c r="F26" i="3" s="1"/>
  <c r="G26" i="3" s="1"/>
  <c r="E102" i="3"/>
  <c r="E101" i="3"/>
  <c r="E86" i="3"/>
  <c r="H88" i="3" s="1"/>
  <c r="E104" i="3"/>
  <c r="H39" i="3"/>
  <c r="E107" i="3"/>
  <c r="F39" i="3"/>
  <c r="G76" i="3"/>
  <c r="E14" i="3"/>
  <c r="E25" i="3"/>
  <c r="E8" i="3"/>
  <c r="H8" i="3" s="1"/>
  <c r="E22" i="3"/>
  <c r="E21" i="3"/>
  <c r="H21" i="3" s="1"/>
  <c r="H77" i="3"/>
  <c r="H53" i="3"/>
  <c r="G12" i="3"/>
  <c r="E18" i="3"/>
  <c r="E31" i="3"/>
  <c r="E76" i="3"/>
  <c r="H76" i="3" s="1"/>
  <c r="E13" i="3"/>
  <c r="H44" i="3"/>
  <c r="E51" i="3"/>
  <c r="H51" i="3" s="1"/>
  <c r="E64" i="3"/>
  <c r="H64" i="3" s="1"/>
  <c r="E82" i="3"/>
  <c r="H82" i="3" s="1"/>
  <c r="E96" i="3"/>
  <c r="E109" i="3"/>
  <c r="E26" i="3"/>
  <c r="E23" i="3"/>
  <c r="H78" i="3"/>
  <c r="E84" i="3"/>
  <c r="E15" i="3"/>
  <c r="E36" i="3"/>
  <c r="H36" i="3" s="1"/>
  <c r="H40" i="3"/>
  <c r="E54" i="3"/>
  <c r="H54" i="3" s="1"/>
  <c r="E74" i="3"/>
  <c r="H99" i="3"/>
  <c r="E105" i="3"/>
  <c r="H105" i="3" s="1"/>
  <c r="E11" i="3"/>
  <c r="E24" i="3"/>
  <c r="H41" i="3"/>
  <c r="E75" i="3"/>
  <c r="H75" i="3" s="1"/>
  <c r="E106" i="3"/>
  <c r="H106" i="3" s="1"/>
  <c r="E10" i="3"/>
  <c r="E28" i="3"/>
  <c r="E16" i="3"/>
  <c r="E29" i="3"/>
  <c r="E17" i="3"/>
  <c r="E30" i="3"/>
  <c r="H42" i="3"/>
  <c r="E68" i="3"/>
  <c r="H68" i="3" s="1"/>
  <c r="E79" i="3"/>
  <c r="H79" i="3" s="1"/>
  <c r="E93" i="3"/>
  <c r="H104" i="3"/>
  <c r="H43" i="3"/>
  <c r="E27" i="3"/>
  <c r="E12" i="3"/>
  <c r="E80" i="3"/>
  <c r="H80" i="3" s="1"/>
  <c r="H38" i="3"/>
  <c r="E57" i="3"/>
  <c r="H57" i="3" s="1"/>
  <c r="E70" i="3"/>
  <c r="H70" i="3" s="1"/>
  <c r="E81" i="3"/>
  <c r="H81" i="3" s="1"/>
  <c r="E95" i="3"/>
  <c r="E108" i="3"/>
  <c r="H108" i="3" s="1"/>
  <c r="H49" i="3"/>
  <c r="H66" i="3"/>
  <c r="H55" i="3"/>
  <c r="H67" i="3"/>
  <c r="G78" i="3"/>
  <c r="F79" i="3"/>
  <c r="F14" i="3"/>
  <c r="G13" i="3"/>
  <c r="H50" i="3"/>
  <c r="H63" i="3"/>
  <c r="H69" i="3"/>
  <c r="G51" i="3"/>
  <c r="F52" i="3"/>
  <c r="G64" i="3"/>
  <c r="F65" i="3"/>
  <c r="G103" i="3"/>
  <c r="F104" i="3"/>
  <c r="F40" i="3"/>
  <c r="G39" i="3"/>
  <c r="H52" i="3"/>
  <c r="H65" i="3"/>
  <c r="H83" i="3"/>
  <c r="G50" i="3"/>
  <c r="G102" i="3"/>
  <c r="G91" i="3"/>
  <c r="G77" i="3"/>
  <c r="E100" i="3"/>
  <c r="E61" i="3"/>
  <c r="H37" i="3"/>
  <c r="E56" i="3"/>
  <c r="H56" i="3" s="1"/>
  <c r="E62" i="3"/>
  <c r="H62" i="3" s="1"/>
  <c r="E103" i="3"/>
  <c r="G11" i="3"/>
  <c r="G63" i="3"/>
  <c r="H23" i="3" l="1"/>
  <c r="G90" i="3"/>
  <c r="H89" i="3"/>
  <c r="H95" i="3"/>
  <c r="H96" i="3"/>
  <c r="H86" i="3"/>
  <c r="H94" i="3"/>
  <c r="H92" i="3"/>
  <c r="H90" i="3"/>
  <c r="H93" i="3"/>
  <c r="H91" i="3"/>
  <c r="F93" i="3"/>
  <c r="G25" i="3"/>
  <c r="F27" i="3"/>
  <c r="G27" i="3" s="1"/>
  <c r="H16" i="3"/>
  <c r="H14" i="3"/>
  <c r="H13" i="3"/>
  <c r="H10" i="3"/>
  <c r="H18" i="3"/>
  <c r="H12" i="3"/>
  <c r="H17" i="3"/>
  <c r="H11" i="3"/>
  <c r="H28" i="3"/>
  <c r="H31" i="3"/>
  <c r="H27" i="3"/>
  <c r="H25" i="3"/>
  <c r="H103" i="3"/>
  <c r="H109" i="3"/>
  <c r="H101" i="3"/>
  <c r="H102" i="3"/>
  <c r="H29" i="3"/>
  <c r="H24" i="3"/>
  <c r="H26" i="3"/>
  <c r="H107" i="3"/>
  <c r="H15" i="3"/>
  <c r="H30" i="3"/>
  <c r="F15" i="3"/>
  <c r="G14" i="3"/>
  <c r="G79" i="3"/>
  <c r="F80" i="3"/>
  <c r="G65" i="3"/>
  <c r="F66" i="3"/>
  <c r="G40" i="3"/>
  <c r="F41" i="3"/>
  <c r="F53" i="3"/>
  <c r="G52" i="3"/>
  <c r="G93" i="3"/>
  <c r="F94" i="3"/>
  <c r="G104" i="3"/>
  <c r="F105" i="3"/>
  <c r="F28" i="3" l="1"/>
  <c r="F29" i="3" s="1"/>
  <c r="F67" i="3"/>
  <c r="G66" i="3"/>
  <c r="G105" i="3"/>
  <c r="F106" i="3"/>
  <c r="F95" i="3"/>
  <c r="G94" i="3"/>
  <c r="F42" i="3"/>
  <c r="G41" i="3"/>
  <c r="F81" i="3"/>
  <c r="G80" i="3"/>
  <c r="G15" i="3"/>
  <c r="F16" i="3"/>
  <c r="F54" i="3"/>
  <c r="G53" i="3"/>
  <c r="G28" i="3" l="1"/>
  <c r="G95" i="3"/>
  <c r="F96" i="3"/>
  <c r="G96" i="3" s="1"/>
  <c r="G16" i="3"/>
  <c r="F17" i="3"/>
  <c r="G29" i="3"/>
  <c r="F30" i="3"/>
  <c r="G106" i="3"/>
  <c r="F107" i="3"/>
  <c r="G54" i="3"/>
  <c r="F55" i="3"/>
  <c r="G67" i="3"/>
  <c r="F68" i="3"/>
  <c r="F43" i="3"/>
  <c r="G42" i="3"/>
  <c r="G81" i="3"/>
  <c r="F82" i="3"/>
  <c r="D19" i="4"/>
  <c r="E8" i="4" s="1"/>
  <c r="H8" i="4" s="1"/>
  <c r="D18" i="4"/>
  <c r="D17" i="4"/>
  <c r="D16" i="4"/>
  <c r="D15" i="4"/>
  <c r="D14" i="4"/>
  <c r="D13" i="4"/>
  <c r="D12" i="4"/>
  <c r="F11" i="4"/>
  <c r="F12" i="4" s="1"/>
  <c r="D11" i="4"/>
  <c r="G10" i="4"/>
  <c r="D10" i="4"/>
  <c r="E2" i="4"/>
  <c r="E5" i="4" s="1"/>
  <c r="G11" i="4" l="1"/>
  <c r="F31" i="3"/>
  <c r="G31" i="3" s="1"/>
  <c r="G30" i="3"/>
  <c r="G68" i="3"/>
  <c r="F69" i="3"/>
  <c r="F56" i="3"/>
  <c r="G55" i="3"/>
  <c r="F83" i="3"/>
  <c r="G83" i="3" s="1"/>
  <c r="G82" i="3"/>
  <c r="F108" i="3"/>
  <c r="G107" i="3"/>
  <c r="F18" i="3"/>
  <c r="G18" i="3" s="1"/>
  <c r="G17" i="3"/>
  <c r="G43" i="3"/>
  <c r="F44" i="3"/>
  <c r="G44" i="3" s="1"/>
  <c r="E13" i="4"/>
  <c r="E10" i="4"/>
  <c r="H10" i="4" s="1"/>
  <c r="E14" i="4"/>
  <c r="E17" i="4"/>
  <c r="E18" i="4"/>
  <c r="E11" i="4"/>
  <c r="E15" i="4"/>
  <c r="H15" i="4" s="1"/>
  <c r="E16" i="4"/>
  <c r="E12" i="4"/>
  <c r="F13" i="4"/>
  <c r="G12" i="4"/>
  <c r="H12" i="4" l="1"/>
  <c r="H16" i="4"/>
  <c r="F109" i="3"/>
  <c r="G109" i="3" s="1"/>
  <c r="G108" i="3"/>
  <c r="G56" i="3"/>
  <c r="F57" i="3"/>
  <c r="G57" i="3" s="1"/>
  <c r="F70" i="3"/>
  <c r="G70" i="3" s="1"/>
  <c r="G69" i="3"/>
  <c r="H14" i="4"/>
  <c r="H13" i="4"/>
  <c r="H11" i="4"/>
  <c r="H18" i="4"/>
  <c r="H17" i="4"/>
  <c r="G13" i="4"/>
  <c r="F14" i="4"/>
  <c r="F15" i="4" l="1"/>
  <c r="G14" i="4"/>
  <c r="F16" i="4" l="1"/>
  <c r="G15" i="4"/>
  <c r="G16" i="4" l="1"/>
  <c r="F17" i="4"/>
  <c r="F18" i="4" l="1"/>
  <c r="G18" i="4" s="1"/>
  <c r="G17" i="4"/>
</calcChain>
</file>

<file path=xl/sharedStrings.xml><?xml version="1.0" encoding="utf-8"?>
<sst xmlns="http://schemas.openxmlformats.org/spreadsheetml/2006/main" count="1994" uniqueCount="700">
  <si>
    <t>Date expt</t>
  </si>
  <si>
    <t>Ci/pmol</t>
  </si>
  <si>
    <t>[3H]CP55</t>
  </si>
  <si>
    <t>cpm/pmol</t>
  </si>
  <si>
    <t>HEK CB1 #20</t>
  </si>
  <si>
    <t>ml vol</t>
  </si>
  <si>
    <t>cpm added</t>
  </si>
  <si>
    <t>nM</t>
  </si>
  <si>
    <t>average</t>
  </si>
  <si>
    <t>specific</t>
  </si>
  <si>
    <t>[drug]</t>
  </si>
  <si>
    <t>log [drug]</t>
  </si>
  <si>
    <t>% total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</si>
  <si>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</si>
  <si>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</si>
  <si>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</si>
  <si>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</si>
  <si>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</si>
  <si>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</si>
  <si>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</si>
  <si>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</si>
  <si>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RUN INFORMATION:</t>
  </si>
  <si>
    <t>================</t>
  </si>
  <si>
    <t>CPM normalization protocol no: 91</t>
  </si>
  <si>
    <t>COLUMNS:</t>
  </si>
  <si>
    <t>========</t>
  </si>
  <si>
    <t xml:space="preserve"> </t>
  </si>
  <si>
    <t>SAMPLE</t>
  </si>
  <si>
    <t>POS</t>
  </si>
  <si>
    <t>CCPM1</t>
  </si>
  <si>
    <t>CCPM1%</t>
  </si>
  <si>
    <t>Unk_1</t>
  </si>
  <si>
    <t>A01</t>
  </si>
  <si>
    <t>Unk_2</t>
  </si>
  <si>
    <t>A02</t>
  </si>
  <si>
    <t>Unk_3</t>
  </si>
  <si>
    <t>A03</t>
  </si>
  <si>
    <t>Unk_4</t>
  </si>
  <si>
    <t>A04</t>
  </si>
  <si>
    <t>Unk_5</t>
  </si>
  <si>
    <t>A05</t>
  </si>
  <si>
    <t>Unk_6</t>
  </si>
  <si>
    <t>A06</t>
  </si>
  <si>
    <t>Unk_7</t>
  </si>
  <si>
    <t>A07</t>
  </si>
  <si>
    <t>Unk_8</t>
  </si>
  <si>
    <t>A08</t>
  </si>
  <si>
    <t>Unk_9</t>
  </si>
  <si>
    <t>A09</t>
  </si>
  <si>
    <t>Unk_10</t>
  </si>
  <si>
    <t>A10</t>
  </si>
  <si>
    <t>Unk_11</t>
  </si>
  <si>
    <t>A11</t>
  </si>
  <si>
    <t>Unk_12</t>
  </si>
  <si>
    <t>A12</t>
  </si>
  <si>
    <t>Unk_13</t>
  </si>
  <si>
    <t>B01</t>
  </si>
  <si>
    <t>Unk_14</t>
  </si>
  <si>
    <t>B02</t>
  </si>
  <si>
    <t>Unk_15</t>
  </si>
  <si>
    <t>B03</t>
  </si>
  <si>
    <t>Unk_16</t>
  </si>
  <si>
    <t>B04</t>
  </si>
  <si>
    <t>Unk_17</t>
  </si>
  <si>
    <t>B05</t>
  </si>
  <si>
    <t>Unk_18</t>
  </si>
  <si>
    <t>B06</t>
  </si>
  <si>
    <t>Unk_19</t>
  </si>
  <si>
    <t>B07</t>
  </si>
  <si>
    <t>Unk_20</t>
  </si>
  <si>
    <t>B08</t>
  </si>
  <si>
    <t>Unk_21</t>
  </si>
  <si>
    <t>B09</t>
  </si>
  <si>
    <t>Unk_22</t>
  </si>
  <si>
    <t>B10</t>
  </si>
  <si>
    <t>Unk_23</t>
  </si>
  <si>
    <t>B11</t>
  </si>
  <si>
    <t>Unk_24</t>
  </si>
  <si>
    <t>B12</t>
  </si>
  <si>
    <t>Unk_25</t>
  </si>
  <si>
    <t>C01</t>
  </si>
  <si>
    <t>Unk_26</t>
  </si>
  <si>
    <t>C02</t>
  </si>
  <si>
    <t>Unk_27</t>
  </si>
  <si>
    <t>C03</t>
  </si>
  <si>
    <t>Unk_28</t>
  </si>
  <si>
    <t>C04</t>
  </si>
  <si>
    <t>Unk_29</t>
  </si>
  <si>
    <t>C05</t>
  </si>
  <si>
    <t>Unk_30</t>
  </si>
  <si>
    <t>C06</t>
  </si>
  <si>
    <t>Unk_31</t>
  </si>
  <si>
    <t>C07</t>
  </si>
  <si>
    <t>Unk_32</t>
  </si>
  <si>
    <t>C08</t>
  </si>
  <si>
    <t>Unk_33</t>
  </si>
  <si>
    <t>C09</t>
  </si>
  <si>
    <t>Unk_34</t>
  </si>
  <si>
    <t>C10</t>
  </si>
  <si>
    <t>Unk_35</t>
  </si>
  <si>
    <t>C11</t>
  </si>
  <si>
    <t>Unk_36</t>
  </si>
  <si>
    <t>C12</t>
  </si>
  <si>
    <t>Unk_37</t>
  </si>
  <si>
    <t>D01</t>
  </si>
  <si>
    <t>Unk_38</t>
  </si>
  <si>
    <t>D02</t>
  </si>
  <si>
    <t>Unk_39</t>
  </si>
  <si>
    <t>D03</t>
  </si>
  <si>
    <t>Unk_40</t>
  </si>
  <si>
    <t>D04</t>
  </si>
  <si>
    <t>Unk_41</t>
  </si>
  <si>
    <t>D05</t>
  </si>
  <si>
    <t>Unk_42</t>
  </si>
  <si>
    <t>D06</t>
  </si>
  <si>
    <t>Unk_43</t>
  </si>
  <si>
    <t>D07</t>
  </si>
  <si>
    <t>Unk_44</t>
  </si>
  <si>
    <t>D08</t>
  </si>
  <si>
    <t>Unk_45</t>
  </si>
  <si>
    <t>D09</t>
  </si>
  <si>
    <t>Unk_46</t>
  </si>
  <si>
    <t>D10</t>
  </si>
  <si>
    <t>Unk_47</t>
  </si>
  <si>
    <t>D11</t>
  </si>
  <si>
    <t>Unk_48</t>
  </si>
  <si>
    <t>D12</t>
  </si>
  <si>
    <t>Unk_49</t>
  </si>
  <si>
    <t>E01</t>
  </si>
  <si>
    <t>Unk_50</t>
  </si>
  <si>
    <t>E02</t>
  </si>
  <si>
    <t>Unk_51</t>
  </si>
  <si>
    <t>E03</t>
  </si>
  <si>
    <t>Unk_52</t>
  </si>
  <si>
    <t>E04</t>
  </si>
  <si>
    <t>Unk_53</t>
  </si>
  <si>
    <t>E05</t>
  </si>
  <si>
    <t>Unk_54</t>
  </si>
  <si>
    <t>E06</t>
  </si>
  <si>
    <t>Unk_55</t>
  </si>
  <si>
    <t>E07</t>
  </si>
  <si>
    <t>Unk_56</t>
  </si>
  <si>
    <t>E08</t>
  </si>
  <si>
    <t>Unk_57</t>
  </si>
  <si>
    <t>E09</t>
  </si>
  <si>
    <t>Unk_58</t>
  </si>
  <si>
    <t>E10</t>
  </si>
  <si>
    <t>Unk_59</t>
  </si>
  <si>
    <t>E11</t>
  </si>
  <si>
    <t>Unk_60</t>
  </si>
  <si>
    <t>E12</t>
  </si>
  <si>
    <t>Unk_61</t>
  </si>
  <si>
    <t>F01</t>
  </si>
  <si>
    <t>Unk_62</t>
  </si>
  <si>
    <t>F02</t>
  </si>
  <si>
    <t>Unk_63</t>
  </si>
  <si>
    <t>F03</t>
  </si>
  <si>
    <t>Unk_64</t>
  </si>
  <si>
    <t>F04</t>
  </si>
  <si>
    <t>Unk_65</t>
  </si>
  <si>
    <t>F05</t>
  </si>
  <si>
    <t>Unk_66</t>
  </si>
  <si>
    <t>F06</t>
  </si>
  <si>
    <t>Unk_67</t>
  </si>
  <si>
    <t>F07</t>
  </si>
  <si>
    <t>Unk_68</t>
  </si>
  <si>
    <t>F08</t>
  </si>
  <si>
    <t>Unk_69</t>
  </si>
  <si>
    <t>F09</t>
  </si>
  <si>
    <t>Unk_70</t>
  </si>
  <si>
    <t>F10</t>
  </si>
  <si>
    <t>Unk_71</t>
  </si>
  <si>
    <t>F11</t>
  </si>
  <si>
    <t>Unk_72</t>
  </si>
  <si>
    <t>F12</t>
  </si>
  <si>
    <t>Unk_73</t>
  </si>
  <si>
    <t>G01</t>
  </si>
  <si>
    <t>Unk_74</t>
  </si>
  <si>
    <t>G02</t>
  </si>
  <si>
    <t>Unk_75</t>
  </si>
  <si>
    <t>G03</t>
  </si>
  <si>
    <t>Unk_76</t>
  </si>
  <si>
    <t>G04</t>
  </si>
  <si>
    <t>Unk_77</t>
  </si>
  <si>
    <t>G05</t>
  </si>
  <si>
    <t>Unk_78</t>
  </si>
  <si>
    <t>G06</t>
  </si>
  <si>
    <t>Unk_79</t>
  </si>
  <si>
    <t>G07</t>
  </si>
  <si>
    <t>Unk_80</t>
  </si>
  <si>
    <t>G08</t>
  </si>
  <si>
    <t>Unk_81</t>
  </si>
  <si>
    <t>G09</t>
  </si>
  <si>
    <t>Unk_82</t>
  </si>
  <si>
    <t>G10</t>
  </si>
  <si>
    <t>Unk_83</t>
  </si>
  <si>
    <t>G11</t>
  </si>
  <si>
    <t>Unk_84</t>
  </si>
  <si>
    <t>G12</t>
  </si>
  <si>
    <t>Unk_85</t>
  </si>
  <si>
    <t>H01</t>
  </si>
  <si>
    <t>Unk_86</t>
  </si>
  <si>
    <t>H02</t>
  </si>
  <si>
    <t>Unk_87</t>
  </si>
  <si>
    <t>H03</t>
  </si>
  <si>
    <t>Unk_88</t>
  </si>
  <si>
    <t>H04</t>
  </si>
  <si>
    <t>Unk_89</t>
  </si>
  <si>
    <t>H05</t>
  </si>
  <si>
    <t>Unk_90</t>
  </si>
  <si>
    <t>H06</t>
  </si>
  <si>
    <t>Unk_91</t>
  </si>
  <si>
    <t>H07</t>
  </si>
  <si>
    <t>Unk_92</t>
  </si>
  <si>
    <t>H08</t>
  </si>
  <si>
    <t>Unk_93</t>
  </si>
  <si>
    <t>H09</t>
  </si>
  <si>
    <t>Unk_94</t>
  </si>
  <si>
    <t>H10</t>
  </si>
  <si>
    <t>Unk_95</t>
  </si>
  <si>
    <t>H11</t>
  </si>
  <si>
    <t>Unk_96</t>
  </si>
  <si>
    <t>H12</t>
  </si>
  <si>
    <t>Unk_97</t>
  </si>
  <si>
    <t>Unk_98</t>
  </si>
  <si>
    <t>Unk_99</t>
  </si>
  <si>
    <t>Unk_100</t>
  </si>
  <si>
    <t>Unk_101</t>
  </si>
  <si>
    <t>Unk_102</t>
  </si>
  <si>
    <t>Unk_103</t>
  </si>
  <si>
    <t>Unk_104</t>
  </si>
  <si>
    <t>Unk_105</t>
  </si>
  <si>
    <t>Unk_106</t>
  </si>
  <si>
    <t>Unk_107</t>
  </si>
  <si>
    <t>Unk_108</t>
  </si>
  <si>
    <t>Unk_109</t>
  </si>
  <si>
    <t>Unk_110</t>
  </si>
  <si>
    <t>Unk_111</t>
  </si>
  <si>
    <t>Unk_112</t>
  </si>
  <si>
    <t>Unk_113</t>
  </si>
  <si>
    <t>Unk_114</t>
  </si>
  <si>
    <t>Unk_115</t>
  </si>
  <si>
    <t>Unk_116</t>
  </si>
  <si>
    <t>Unk_117</t>
  </si>
  <si>
    <t>Unk_118</t>
  </si>
  <si>
    <t>Unk_119</t>
  </si>
  <si>
    <t>Unk_120</t>
  </si>
  <si>
    <t>Unk_121</t>
  </si>
  <si>
    <t>Unk_122</t>
  </si>
  <si>
    <t>Unk_123</t>
  </si>
  <si>
    <t>Unk_124</t>
  </si>
  <si>
    <t>Unk_125</t>
  </si>
  <si>
    <t>Unk_126</t>
  </si>
  <si>
    <t>Unk_127</t>
  </si>
  <si>
    <t>Unk_128</t>
  </si>
  <si>
    <t>Unk_129</t>
  </si>
  <si>
    <t>Unk_130</t>
  </si>
  <si>
    <t>Unk_131</t>
  </si>
  <si>
    <t>Unk_132</t>
  </si>
  <si>
    <t>Unk_133</t>
  </si>
  <si>
    <t>Unk_134</t>
  </si>
  <si>
    <t>Unk_135</t>
  </si>
  <si>
    <t>Unk_136</t>
  </si>
  <si>
    <t>Unk_137</t>
  </si>
  <si>
    <t>Unk_138</t>
  </si>
  <si>
    <t>Unk_139</t>
  </si>
  <si>
    <t>Unk_140</t>
  </si>
  <si>
    <t>Unk_141</t>
  </si>
  <si>
    <t>Unk_142</t>
  </si>
  <si>
    <t>Unk_143</t>
  </si>
  <si>
    <t>Unk_144</t>
  </si>
  <si>
    <t>Unk_145</t>
  </si>
  <si>
    <t>Unk_146</t>
  </si>
  <si>
    <t>Unk_147</t>
  </si>
  <si>
    <t>Unk_148</t>
  </si>
  <si>
    <t>Unk_149</t>
  </si>
  <si>
    <t>Unk_150</t>
  </si>
  <si>
    <t>Unk_151</t>
  </si>
  <si>
    <t>Unk_152</t>
  </si>
  <si>
    <t>Unk_153</t>
  </si>
  <si>
    <t>Unk_154</t>
  </si>
  <si>
    <t>Unk_155</t>
  </si>
  <si>
    <t>Unk_156</t>
  </si>
  <si>
    <t>Unk_157</t>
  </si>
  <si>
    <t>Unk_158</t>
  </si>
  <si>
    <t>Unk_159</t>
  </si>
  <si>
    <t>Unk_160</t>
  </si>
  <si>
    <t>Unk_161</t>
  </si>
  <si>
    <t>Unk_162</t>
  </si>
  <si>
    <t>Unk_163</t>
  </si>
  <si>
    <t>Unk_164</t>
  </si>
  <si>
    <t>Unk_165</t>
  </si>
  <si>
    <t>Unk_166</t>
  </si>
  <si>
    <t>Unk_167</t>
  </si>
  <si>
    <t>Unk_168</t>
  </si>
  <si>
    <t>Unk_169</t>
  </si>
  <si>
    <t>Unk_170</t>
  </si>
  <si>
    <t>Unk_171</t>
  </si>
  <si>
    <t>Unk_172</t>
  </si>
  <si>
    <t>Unk_173</t>
  </si>
  <si>
    <t>Unk_174</t>
  </si>
  <si>
    <t>Unk_175</t>
  </si>
  <si>
    <t>Unk_176</t>
  </si>
  <si>
    <t>Unk_177</t>
  </si>
  <si>
    <t>Unk_178</t>
  </si>
  <si>
    <t>Unk_179</t>
  </si>
  <si>
    <t>Unk_180</t>
  </si>
  <si>
    <t>Unk_181</t>
  </si>
  <si>
    <t>Unk_182</t>
  </si>
  <si>
    <t>Unk_183</t>
  </si>
  <si>
    <t>Unk_184</t>
  </si>
  <si>
    <t>Unk_185</t>
  </si>
  <si>
    <t>Unk_186</t>
  </si>
  <si>
    <t>Unk_187</t>
  </si>
  <si>
    <t>Unk_188</t>
  </si>
  <si>
    <t>Unk_189</t>
  </si>
  <si>
    <t>Unk_190</t>
  </si>
  <si>
    <t>Unk_191</t>
  </si>
  <si>
    <t>Unk_192</t>
  </si>
  <si>
    <t>Unk_193</t>
  </si>
  <si>
    <t>Unk_194</t>
  </si>
  <si>
    <t>Unk_195</t>
  </si>
  <si>
    <t>Unk_196</t>
  </si>
  <si>
    <t>Unk_197</t>
  </si>
  <si>
    <t>Unk_198</t>
  </si>
  <si>
    <t>Unk_199</t>
  </si>
  <si>
    <t>Unk_200</t>
  </si>
  <si>
    <t>Unk_201</t>
  </si>
  <si>
    <t>Unk_202</t>
  </si>
  <si>
    <t>Unk_203</t>
  </si>
  <si>
    <t>Unk_204</t>
  </si>
  <si>
    <t>Unk_205</t>
  </si>
  <si>
    <t>Unk_206</t>
  </si>
  <si>
    <t>Unk_207</t>
  </si>
  <si>
    <t>Unk_208</t>
  </si>
  <si>
    <t>Unk_209</t>
  </si>
  <si>
    <t>Unk_210</t>
  </si>
  <si>
    <t>Unk_211</t>
  </si>
  <si>
    <t>Unk_212</t>
  </si>
  <si>
    <t>Unk_213</t>
  </si>
  <si>
    <t>Unk_214</t>
  </si>
  <si>
    <t>Unk_215</t>
  </si>
  <si>
    <t>Unk_216</t>
  </si>
  <si>
    <t>Unk_217</t>
  </si>
  <si>
    <t>Unk_218</t>
  </si>
  <si>
    <t>Unk_219</t>
  </si>
  <si>
    <t>Unk_220</t>
  </si>
  <si>
    <t>Unk_221</t>
  </si>
  <si>
    <t>Unk_222</t>
  </si>
  <si>
    <t>Unk_223</t>
  </si>
  <si>
    <t>Unk_224</t>
  </si>
  <si>
    <t>Unk_225</t>
  </si>
  <si>
    <t>Unk_226</t>
  </si>
  <si>
    <t>Unk_227</t>
  </si>
  <si>
    <t>Unk_228</t>
  </si>
  <si>
    <t>Unk_229</t>
  </si>
  <si>
    <t>Unk_230</t>
  </si>
  <si>
    <t>Unk_231</t>
  </si>
  <si>
    <t>Unk_232</t>
  </si>
  <si>
    <t>Unk_233</t>
  </si>
  <si>
    <t>Unk_234</t>
  </si>
  <si>
    <t>Unk_235</t>
  </si>
  <si>
    <t>Unk_236</t>
  </si>
  <si>
    <t>Unk_237</t>
  </si>
  <si>
    <t>Unk_238</t>
  </si>
  <si>
    <t>Unk_239</t>
  </si>
  <si>
    <t>Unk_240</t>
  </si>
  <si>
    <t>Unk_241</t>
  </si>
  <si>
    <t>Unk_242</t>
  </si>
  <si>
    <t>Unk_243</t>
  </si>
  <si>
    <t>Unk_244</t>
  </si>
  <si>
    <t>Unk_245</t>
  </si>
  <si>
    <t>Unk_246</t>
  </si>
  <si>
    <t>Unk_247</t>
  </si>
  <si>
    <t>Unk_248</t>
  </si>
  <si>
    <t>Unk_249</t>
  </si>
  <si>
    <t>Unk_250</t>
  </si>
  <si>
    <t>Unk_251</t>
  </si>
  <si>
    <t>Unk_252</t>
  </si>
  <si>
    <t>Unk_253</t>
  </si>
  <si>
    <t>Unk_254</t>
  </si>
  <si>
    <t>Unk_255</t>
  </si>
  <si>
    <t>Unk_256</t>
  </si>
  <si>
    <t>Unk_257</t>
  </si>
  <si>
    <t>Unk_258</t>
  </si>
  <si>
    <t>Unk_259</t>
  </si>
  <si>
    <t>Unk_260</t>
  </si>
  <si>
    <t>Unk_261</t>
  </si>
  <si>
    <t>Unk_262</t>
  </si>
  <si>
    <t>Unk_263</t>
  </si>
  <si>
    <t>Unk_264</t>
  </si>
  <si>
    <t>Unk_265</t>
  </si>
  <si>
    <t>Unk_266</t>
  </si>
  <si>
    <t>Unk_267</t>
  </si>
  <si>
    <t>Unk_268</t>
  </si>
  <si>
    <t>Unk_269</t>
  </si>
  <si>
    <t>Unk_270</t>
  </si>
  <si>
    <t>Unk_271</t>
  </si>
  <si>
    <t>Unk_272</t>
  </si>
  <si>
    <t>Unk_273</t>
  </si>
  <si>
    <t>Unk_274</t>
  </si>
  <si>
    <t>Unk_275</t>
  </si>
  <si>
    <t>Unk_276</t>
  </si>
  <si>
    <t>Unk_277</t>
  </si>
  <si>
    <t>Unk_278</t>
  </si>
  <si>
    <t>Unk_279</t>
  </si>
  <si>
    <t>Unk_280</t>
  </si>
  <si>
    <t>Unk_281</t>
  </si>
  <si>
    <t>Unk_282</t>
  </si>
  <si>
    <t>Unk_283</t>
  </si>
  <si>
    <t>Unk_284</t>
  </si>
  <si>
    <t>Unk_285</t>
  </si>
  <si>
    <t>Unk_286</t>
  </si>
  <si>
    <t>Unk_287</t>
  </si>
  <si>
    <t>Unk_288</t>
  </si>
  <si>
    <t>PLATES:</t>
  </si>
  <si>
    <t>=======</t>
  </si>
  <si>
    <t>Plate 1</t>
  </si>
  <si>
    <t>Cassette information:</t>
  </si>
  <si>
    <t>A</t>
  </si>
  <si>
    <t>B</t>
  </si>
  <si>
    <t>C</t>
  </si>
  <si>
    <t>D</t>
  </si>
  <si>
    <t>E</t>
  </si>
  <si>
    <t>F</t>
  </si>
  <si>
    <t>G</t>
  </si>
  <si>
    <t>H</t>
  </si>
  <si>
    <t>End of plate 1</t>
  </si>
  <si>
    <t>Plate 2</t>
  </si>
  <si>
    <t>End of plate 2</t>
  </si>
  <si>
    <t>Plate 3</t>
  </si>
  <si>
    <t>End of plate 3</t>
  </si>
  <si>
    <t>END</t>
  </si>
  <si>
    <t>Name: _3H__2_MIN</t>
  </si>
  <si>
    <t>tips program</t>
  </si>
  <si>
    <t>blue</t>
  </si>
  <si>
    <t>9S HHC -5</t>
  </si>
  <si>
    <t>5 ul [3H]CP55,940</t>
  </si>
  <si>
    <t>Assay:-/Prot:5/Cass:-/Func:-/Cassette no:   1/Shelf: 1/8*12</t>
  </si>
  <si>
    <t>Assay:-/Prot:-/Cass:-/Func:-/Cassette no:   2/Shelf: 2/8*12</t>
  </si>
  <si>
    <t>Assay:-/Prot:-/Cass:-/Func:-/Cassette no:   3/Shelf: 3/8*12</t>
  </si>
  <si>
    <t>Average Specific</t>
  </si>
  <si>
    <t>Average NSB</t>
  </si>
  <si>
    <r>
      <rPr>
        <sz val="10"/>
        <rFont val="Symbol"/>
        <family val="1"/>
        <charset val="2"/>
      </rPr>
      <t>D9</t>
    </r>
    <r>
      <rPr>
        <sz val="10"/>
        <rFont val="Arial"/>
        <family val="2"/>
      </rPr>
      <t>-THC-H -6</t>
    </r>
  </si>
  <si>
    <t>C:\mbw\results\A05_919.txt</t>
  </si>
  <si>
    <t>Counting protocol no:  5                                  Sat 13-Jan-2024 13:52</t>
  </si>
  <si>
    <t>Unk_289</t>
  </si>
  <si>
    <t>Unk_290</t>
  </si>
  <si>
    <t>Unk_291</t>
  </si>
  <si>
    <t>Unk_292</t>
  </si>
  <si>
    <t>Unk_293</t>
  </si>
  <si>
    <t>Unk_294</t>
  </si>
  <si>
    <t>Unk_295</t>
  </si>
  <si>
    <t>Unk_296</t>
  </si>
  <si>
    <t>Unk_297</t>
  </si>
  <si>
    <t>Unk_298</t>
  </si>
  <si>
    <t>Unk_299</t>
  </si>
  <si>
    <t>Unk_300</t>
  </si>
  <si>
    <t>Unk_301</t>
  </si>
  <si>
    <t>Unk_302</t>
  </si>
  <si>
    <t>Unk_303</t>
  </si>
  <si>
    <t>Unk_304</t>
  </si>
  <si>
    <t>Unk_305</t>
  </si>
  <si>
    <t>Unk_306</t>
  </si>
  <si>
    <t>Unk_307</t>
  </si>
  <si>
    <t>Unk_308</t>
  </si>
  <si>
    <t>Unk_309</t>
  </si>
  <si>
    <t>Unk_310</t>
  </si>
  <si>
    <t>Unk_311</t>
  </si>
  <si>
    <t>Unk_312</t>
  </si>
  <si>
    <t>Unk_313</t>
  </si>
  <si>
    <t>Unk_314</t>
  </si>
  <si>
    <t>Unk_315</t>
  </si>
  <si>
    <t>Unk_316</t>
  </si>
  <si>
    <t>Unk_317</t>
  </si>
  <si>
    <t>Unk_318</t>
  </si>
  <si>
    <t>Unk_319</t>
  </si>
  <si>
    <t>Unk_320</t>
  </si>
  <si>
    <t>Unk_321</t>
  </si>
  <si>
    <t>Unk_322</t>
  </si>
  <si>
    <t>Unk_323</t>
  </si>
  <si>
    <t>Unk_324</t>
  </si>
  <si>
    <t>Unk_325</t>
  </si>
  <si>
    <t>Unk_326</t>
  </si>
  <si>
    <t>Unk_327</t>
  </si>
  <si>
    <t>Unk_328</t>
  </si>
  <si>
    <t>Unk_329</t>
  </si>
  <si>
    <t>Unk_330</t>
  </si>
  <si>
    <t>Unk_331</t>
  </si>
  <si>
    <t>Unk_332</t>
  </si>
  <si>
    <t>Unk_333</t>
  </si>
  <si>
    <t>Unk_334</t>
  </si>
  <si>
    <t>Unk_335</t>
  </si>
  <si>
    <t>Unk_336</t>
  </si>
  <si>
    <t>Unk_337</t>
  </si>
  <si>
    <t>Unk_338</t>
  </si>
  <si>
    <t>Unk_339</t>
  </si>
  <si>
    <t>Unk_340</t>
  </si>
  <si>
    <t>Unk_341</t>
  </si>
  <si>
    <t>Unk_342</t>
  </si>
  <si>
    <t>Unk_343</t>
  </si>
  <si>
    <t>Unk_344</t>
  </si>
  <si>
    <t>Unk_345</t>
  </si>
  <si>
    <t>Unk_346</t>
  </si>
  <si>
    <t>Unk_347</t>
  </si>
  <si>
    <t>Unk_348</t>
  </si>
  <si>
    <t>Unk_349</t>
  </si>
  <si>
    <t>Unk_350</t>
  </si>
  <si>
    <t>Unk_351</t>
  </si>
  <si>
    <t>Unk_352</t>
  </si>
  <si>
    <t>Unk_353</t>
  </si>
  <si>
    <t>Unk_354</t>
  </si>
  <si>
    <t>Unk_355</t>
  </si>
  <si>
    <t>Unk_356</t>
  </si>
  <si>
    <t>Unk_357</t>
  </si>
  <si>
    <t>Unk_358</t>
  </si>
  <si>
    <t>Unk_359</t>
  </si>
  <si>
    <t>Unk_360</t>
  </si>
  <si>
    <t>Unk_361</t>
  </si>
  <si>
    <t>Unk_362</t>
  </si>
  <si>
    <t>Unk_363</t>
  </si>
  <si>
    <t>Unk_364</t>
  </si>
  <si>
    <t>Unk_365</t>
  </si>
  <si>
    <t>Unk_366</t>
  </si>
  <si>
    <t>Unk_367</t>
  </si>
  <si>
    <t>Unk_368</t>
  </si>
  <si>
    <t>Unk_369</t>
  </si>
  <si>
    <t>Unk_370</t>
  </si>
  <si>
    <t>Unk_371</t>
  </si>
  <si>
    <t>Unk_372</t>
  </si>
  <si>
    <t>Unk_373</t>
  </si>
  <si>
    <t>Unk_374</t>
  </si>
  <si>
    <t>Unk_375</t>
  </si>
  <si>
    <t>Unk_376</t>
  </si>
  <si>
    <t>Unk_377</t>
  </si>
  <si>
    <t>Unk_378</t>
  </si>
  <si>
    <t>Unk_379</t>
  </si>
  <si>
    <t>Unk_380</t>
  </si>
  <si>
    <t>Unk_381</t>
  </si>
  <si>
    <t>Unk_382</t>
  </si>
  <si>
    <t>Unk_383</t>
  </si>
  <si>
    <t>Unk_384</t>
  </si>
  <si>
    <t>Unk_385</t>
  </si>
  <si>
    <t>Unk_386</t>
  </si>
  <si>
    <t>Unk_387</t>
  </si>
  <si>
    <t>Unk_388</t>
  </si>
  <si>
    <t>Unk_389</t>
  </si>
  <si>
    <t>Unk_390</t>
  </si>
  <si>
    <t>Unk_391</t>
  </si>
  <si>
    <t>Unk_392</t>
  </si>
  <si>
    <t>Unk_393</t>
  </si>
  <si>
    <t>Unk_394</t>
  </si>
  <si>
    <t>Unk_395</t>
  </si>
  <si>
    <t>Unk_396</t>
  </si>
  <si>
    <t>Unk_397</t>
  </si>
  <si>
    <t>Unk_398</t>
  </si>
  <si>
    <t>Unk_399</t>
  </si>
  <si>
    <t>Unk_400</t>
  </si>
  <si>
    <t>Unk_401</t>
  </si>
  <si>
    <t>Unk_402</t>
  </si>
  <si>
    <t>Unk_403</t>
  </si>
  <si>
    <t>Unk_404</t>
  </si>
  <si>
    <t>Unk_405</t>
  </si>
  <si>
    <t>Unk_406</t>
  </si>
  <si>
    <t>Unk_407</t>
  </si>
  <si>
    <t>Unk_408</t>
  </si>
  <si>
    <t>Unk_409</t>
  </si>
  <si>
    <t>Unk_410</t>
  </si>
  <si>
    <t>Unk_411</t>
  </si>
  <si>
    <t>Unk_412</t>
  </si>
  <si>
    <t>Unk_413</t>
  </si>
  <si>
    <t>Unk_414</t>
  </si>
  <si>
    <t>Unk_415</t>
  </si>
  <si>
    <t>Unk_416</t>
  </si>
  <si>
    <t>Unk_417</t>
  </si>
  <si>
    <t>Unk_418</t>
  </si>
  <si>
    <t>Unk_419</t>
  </si>
  <si>
    <t>Unk_420</t>
  </si>
  <si>
    <t>Unk_421</t>
  </si>
  <si>
    <t>Unk_422</t>
  </si>
  <si>
    <t>Unk_423</t>
  </si>
  <si>
    <t>Unk_424</t>
  </si>
  <si>
    <t>Unk_425</t>
  </si>
  <si>
    <t>Unk_426</t>
  </si>
  <si>
    <t>Unk_427</t>
  </si>
  <si>
    <t>Unk_428</t>
  </si>
  <si>
    <t>Unk_429</t>
  </si>
  <si>
    <t>Unk_430</t>
  </si>
  <si>
    <t>Unk_431</t>
  </si>
  <si>
    <t>Unk_432</t>
  </si>
  <si>
    <t>Unk_433</t>
  </si>
  <si>
    <t>Unk_434</t>
  </si>
  <si>
    <t>Unk_435</t>
  </si>
  <si>
    <t>Unk_436</t>
  </si>
  <si>
    <t>Unk_437</t>
  </si>
  <si>
    <t>Unk_438</t>
  </si>
  <si>
    <t>Unk_439</t>
  </si>
  <si>
    <t>Unk_440</t>
  </si>
  <si>
    <t>Unk_441</t>
  </si>
  <si>
    <t>Unk_442</t>
  </si>
  <si>
    <t>Unk_443</t>
  </si>
  <si>
    <t>Unk_444</t>
  </si>
  <si>
    <t>Unk_445</t>
  </si>
  <si>
    <t>Unk_446</t>
  </si>
  <si>
    <t>Unk_447</t>
  </si>
  <si>
    <t>Unk_448</t>
  </si>
  <si>
    <t>Unk_449</t>
  </si>
  <si>
    <t>Unk_450</t>
  </si>
  <si>
    <t>Unk_451</t>
  </si>
  <si>
    <t>Unk_452</t>
  </si>
  <si>
    <t>Unk_453</t>
  </si>
  <si>
    <t>Unk_454</t>
  </si>
  <si>
    <t>Unk_455</t>
  </si>
  <si>
    <t>Unk_456</t>
  </si>
  <si>
    <t>Unk_457</t>
  </si>
  <si>
    <t>Unk_458</t>
  </si>
  <si>
    <t>Unk_459</t>
  </si>
  <si>
    <t>Unk_460</t>
  </si>
  <si>
    <t>Unk_461</t>
  </si>
  <si>
    <t>Unk_462</t>
  </si>
  <si>
    <t>Unk_463</t>
  </si>
  <si>
    <t>Unk_464</t>
  </si>
  <si>
    <t>Unk_465</t>
  </si>
  <si>
    <t>Unk_466</t>
  </si>
  <si>
    <t>Unk_467</t>
  </si>
  <si>
    <t>Unk_468</t>
  </si>
  <si>
    <t>Unk_469</t>
  </si>
  <si>
    <t>Unk_470</t>
  </si>
  <si>
    <t>Unk_471</t>
  </si>
  <si>
    <t>Unk_472</t>
  </si>
  <si>
    <t>Unk_473</t>
  </si>
  <si>
    <t>Unk_474</t>
  </si>
  <si>
    <t>Unk_475</t>
  </si>
  <si>
    <t>Unk_476</t>
  </si>
  <si>
    <t>Unk_477</t>
  </si>
  <si>
    <t>Unk_478</t>
  </si>
  <si>
    <t>Unk_479</t>
  </si>
  <si>
    <t>Unk_480</t>
  </si>
  <si>
    <t>Plate 4</t>
  </si>
  <si>
    <t>Assay:-/Prot:-/Cass:-/Func:-/Cassette no:   4/Shelf: 4/8*12</t>
  </si>
  <si>
    <t>End of plate 4</t>
  </si>
  <si>
    <t>Plate 5</t>
  </si>
  <si>
    <t>Assay:-/Prot:-/Cass:-/Func:STOP/Cassette no:   5/Shelf: 5/8*12</t>
  </si>
  <si>
    <t>End of plate 5</t>
  </si>
  <si>
    <t>Total count rate:   158236.4 CCPM</t>
  </si>
  <si>
    <t>Plate 1&amp;2</t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</si>
  <si>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9-THC -6</t>
    </r>
  </si>
  <si>
    <r>
      <rPr>
        <sz val="10"/>
        <rFont val="Symbol"/>
        <family val="1"/>
        <charset val="2"/>
      </rPr>
      <t>D8</t>
    </r>
    <r>
      <rPr>
        <sz val="10"/>
        <rFont val="Arial"/>
        <family val="1"/>
        <charset val="2"/>
      </rPr>
      <t>-THC -6</t>
    </r>
  </si>
  <si>
    <t>WIN55,212 -5</t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</si>
  <si>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9-THC-B -6</t>
    </r>
  </si>
  <si>
    <r>
      <rPr>
        <sz val="10"/>
        <rFont val="Symbol"/>
        <family val="1"/>
        <charset val="2"/>
      </rPr>
      <t>D8</t>
    </r>
    <r>
      <rPr>
        <sz val="10"/>
        <rFont val="Arial"/>
        <family val="2"/>
      </rPr>
      <t>-THC-P -7</t>
    </r>
  </si>
  <si>
    <r>
      <rPr>
        <sz val="10"/>
        <rFont val="Symbol"/>
        <family val="1"/>
        <charset val="2"/>
      </rPr>
      <t>D9</t>
    </r>
    <r>
      <rPr>
        <sz val="10"/>
        <rFont val="Arial"/>
        <family val="2"/>
      </rPr>
      <t>-THC -6</t>
    </r>
  </si>
  <si>
    <t>new blue</t>
  </si>
  <si>
    <t>FDA fresh aliquot</t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</si>
  <si>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8-THC-O -5</t>
    </r>
  </si>
  <si>
    <r>
      <rPr>
        <sz val="10"/>
        <rFont val="Symbol"/>
        <family val="1"/>
        <charset val="2"/>
      </rPr>
      <t>D8</t>
    </r>
    <r>
      <rPr>
        <sz val="10"/>
        <rFont val="Arial"/>
        <family val="2"/>
      </rPr>
      <t>-THC-V  -5</t>
    </r>
  </si>
  <si>
    <r>
      <rPr>
        <sz val="10"/>
        <rFont val="Symbol"/>
        <family val="1"/>
        <charset val="2"/>
      </rPr>
      <t>D9</t>
    </r>
    <r>
      <rPr>
        <sz val="10"/>
        <rFont val="Arial"/>
        <family val="1"/>
        <charset val="2"/>
      </rPr>
      <t>-THC-V  -5</t>
    </r>
  </si>
  <si>
    <t>Black</t>
  </si>
  <si>
    <t>new THC vial</t>
  </si>
  <si>
    <t>WIN 55,212 -5</t>
  </si>
  <si>
    <t>9S HHC-P -5</t>
  </si>
  <si>
    <t>new black</t>
  </si>
  <si>
    <t>9S HHC-O -5</t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</si>
  <si>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8-THC-H -6</t>
    </r>
  </si>
  <si>
    <t>4x 2p p11 11/29/23 JR</t>
  </si>
  <si>
    <t>in 22 ml</t>
  </si>
  <si>
    <t>9R?</t>
  </si>
  <si>
    <t>Plate totals</t>
  </si>
  <si>
    <t>Plate NSB</t>
  </si>
  <si>
    <t>Specific Bound</t>
  </si>
  <si>
    <t>Sheet automatically calculates average specific  and % total</t>
  </si>
  <si>
    <t>Make a separate template for each drug</t>
  </si>
  <si>
    <t>MAKE SURE THAT TOTALS/NSB are copied correctly for each plate</t>
  </si>
  <si>
    <t>[3H]CP55,940</t>
  </si>
  <si>
    <t>NAME each sheet by drug and top conc</t>
  </si>
  <si>
    <t>Plate 1, set 2</t>
  </si>
  <si>
    <t>Plate 1, set 1</t>
  </si>
  <si>
    <t>PLATE and SET</t>
  </si>
  <si>
    <t>DRUG NAME</t>
  </si>
  <si>
    <t>BLUE OR BLACK STOCK</t>
  </si>
  <si>
    <t>ANY EXTRA NOTES ON DRUG</t>
  </si>
  <si>
    <t>Make sure that information in Column A is updated for each curve</t>
  </si>
  <si>
    <t>2.  Paste standard counts for experiment into highlighted box.  Add corrrect date and tissue used for assay in column B row 1, and Column A rows 5-6, respectively</t>
  </si>
  <si>
    <t>3. copy column 1 and 12 into Plate Total L9 to L24</t>
  </si>
  <si>
    <t>4. copy column 2 (NS) into Plate NSB M9-M16)</t>
  </si>
  <si>
    <t>5. copy drug data (rows 1-2, 3-4, 5-6 or 7-8 based on plate layout) and transpose into column B/C rows 8-19.</t>
  </si>
  <si>
    <t>6.  VERIFY drug name and top concentration and make sure it is listed in column A and correctly calculated in Column F/Column G</t>
  </si>
  <si>
    <t>1. paste raw data into data sheet, label sheet with the date of the experiment</t>
  </si>
  <si>
    <t>used new THC vial</t>
  </si>
  <si>
    <t>THIS DATA IS NOT FOR THE FDA</t>
  </si>
  <si>
    <t>ALSO THIS CURVE is not a reasonable curve</t>
  </si>
  <si>
    <t>Plate 2, Set 1</t>
  </si>
  <si>
    <t>Plate 1, set 4</t>
  </si>
  <si>
    <t>Plate 2, set 6</t>
  </si>
  <si>
    <t>DATE OF ASSAY</t>
  </si>
  <si>
    <t>DETAILS ON TISSUE</t>
  </si>
  <si>
    <t>Tissue part 2</t>
  </si>
  <si>
    <t>This is the original data analysis spreadsheet for plates 1-2</t>
  </si>
  <si>
    <t>Plate 2, set 7</t>
  </si>
  <si>
    <t>Plate 2, set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</si>
</sst>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trike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name val="Symbol"/>
      <family val="1"/>
      <charset val="2"/>
    </font>
    <font>
      <sz val="10"/>
      <name val="Arial"/>
      <family val="1"/>
      <charset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1" fillId="2" borderId="0" xfId="1" applyFill="1"/>
    <xf numFmtId="2" fontId="1" fillId="2" borderId="0" xfId="1" applyNumberFormat="1" applyFill="1"/>
    <xf numFmtId="0" fontId="8" fillId="2" borderId="0" xfId="1" applyFont="1" applyFill="1"/>
    <xf numFmtId="0" fontId="0" fillId="2" borderId="0" xfId="0" applyFill="1"/>
    <xf numFmtId="0" fontId="1" fillId="0" borderId="0" xfId="1"/>
    <xf numFmtId="14" fontId="1" fillId="0" borderId="0" xfId="1" applyNumberFormat="1"/>
    <xf numFmtId="0" fontId="4" fillId="0" borderId="0" xfId="1" applyFont="1"/>
    <xf numFmtId="2" fontId="1" fillId="0" borderId="0" xfId="1" applyNumberFormat="1"/>
    <xf numFmtId="0" fontId="1" fillId="0" borderId="0" xfId="1" quotePrefix="1" applyAlignment="1">
      <alignment horizontal="left"/>
    </xf>
    <xf numFmtId="0" fontId="8" fillId="0" borderId="0" xfId="1" applyFont="1"/>
    <xf numFmtId="11" fontId="1" fillId="0" borderId="0" xfId="1" applyNumberFormat="1"/>
    <xf numFmtId="2" fontId="5" fillId="0" borderId="0" xfId="1" applyNumberFormat="1" applyFont="1"/>
    <xf numFmtId="0" fontId="6" fillId="0" borderId="0" xfId="0" applyFont="1"/>
    <xf numFmtId="2" fontId="8" fillId="0" borderId="0" xfId="1" applyNumberFormat="1" applyFont="1"/>
    <xf numFmtId="0" fontId="3" fillId="0" borderId="0" xfId="1" applyFont="1"/>
    <xf numFmtId="11" fontId="1" fillId="2" borderId="0" xfId="1" applyNumberFormat="1" applyFill="1"/>
    <xf numFmtId="0" fontId="6" fillId="2" borderId="0" xfId="0" applyFont="1" applyFill="1"/>
    <xf numFmtId="0" fontId="4" fillId="0" borderId="0" xfId="1" applyFont="1" applyAlignment="1">
      <alignment horizontal="center"/>
    </xf>
    <xf numFmtId="2" fontId="1" fillId="0" borderId="0" xfId="1" applyNumberFormat="1" applyAlignment="1">
      <alignment horizontal="center"/>
    </xf>
    <xf numFmtId="0" fontId="9" fillId="0" borderId="0" xfId="1" applyFont="1"/>
    <xf numFmtId="0" fontId="5" fillId="0" borderId="0" xfId="0" applyFont="1"/>
  </cellXfs>
  <cellStyles count="3">
    <cellStyle name="Normal" xfId="0" builtinId="0"/>
    <cellStyle name="Normal 2" xfId="1" xr:uid="{1195C2E6-AF1F-A149-B290-176906A9AA47}"/>
    <cellStyle name="Normal 3" xfId="2" xr:uid="{62043DED-F17D-3B4F-96C1-AD3325AF3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ACBE-98DE-AD47-ACC5-A28C2EB34352}">
  <dimension ref="A1:S605"/>
  <sheetViews>
    <sheetView topLeftCell="A562" zoomScaleNormal="100" workbookViewId="0">
      <selection activeCell="I500" sqref="I500"/>
    </sheetView>
  </sheetViews>
  <sheetFormatPr defaultColWidth="11" defaultRowHeight="15.75"/>
  <sheetData>
    <row r="1" spans="1:5">
      <c r="A1" t="s">
        <v>444</v>
      </c>
    </row>
    <row r="2" spans="1:5">
      <c r="A2" t="s">
        <v>21</v>
      </c>
    </row>
    <row r="3" spans="1:5">
      <c r="A3" t="s">
        <v>22</v>
      </c>
    </row>
    <row r="4" spans="1:5">
      <c r="A4" t="s">
        <v>445</v>
      </c>
    </row>
    <row r="5" spans="1:5">
      <c r="A5" t="s">
        <v>433</v>
      </c>
    </row>
    <row r="6" spans="1:5">
      <c r="A6" t="s">
        <v>23</v>
      </c>
    </row>
    <row r="9" spans="1:5">
      <c r="A9" t="s">
        <v>24</v>
      </c>
    </row>
    <row r="10" spans="1:5">
      <c r="A10" t="s">
        <v>25</v>
      </c>
    </row>
    <row r="11" spans="1:5">
      <c r="A11" t="s">
        <v>26</v>
      </c>
      <c r="B11" t="s">
        <v>27</v>
      </c>
      <c r="C11" t="s">
        <v>28</v>
      </c>
      <c r="D11" t="s">
        <v>29</v>
      </c>
      <c r="E11" t="s">
        <v>30</v>
      </c>
    </row>
    <row r="12" spans="1:5">
      <c r="A12" t="s">
        <v>26</v>
      </c>
      <c r="B12" t="s">
        <v>31</v>
      </c>
      <c r="C12" t="s">
        <v>32</v>
      </c>
      <c r="D12">
        <v>300</v>
      </c>
      <c r="E12">
        <v>8.4</v>
      </c>
    </row>
    <row r="13" spans="1:5">
      <c r="A13" t="s">
        <v>26</v>
      </c>
      <c r="B13" t="s">
        <v>33</v>
      </c>
      <c r="C13" t="s">
        <v>34</v>
      </c>
      <c r="D13">
        <v>174</v>
      </c>
      <c r="E13">
        <v>10.9</v>
      </c>
    </row>
    <row r="14" spans="1:5">
      <c r="A14" t="s">
        <v>26</v>
      </c>
      <c r="B14" t="s">
        <v>35</v>
      </c>
      <c r="C14" t="s">
        <v>36</v>
      </c>
      <c r="D14">
        <v>145</v>
      </c>
      <c r="E14">
        <v>11.9</v>
      </c>
    </row>
    <row r="15" spans="1:5">
      <c r="A15" t="s">
        <v>26</v>
      </c>
      <c r="B15" t="s">
        <v>37</v>
      </c>
      <c r="C15" t="s">
        <v>38</v>
      </c>
      <c r="D15">
        <v>195</v>
      </c>
      <c r="E15">
        <v>10.3</v>
      </c>
    </row>
    <row r="16" spans="1:5">
      <c r="A16" t="s">
        <v>26</v>
      </c>
      <c r="B16" t="s">
        <v>39</v>
      </c>
      <c r="C16" t="s">
        <v>40</v>
      </c>
      <c r="D16">
        <v>222</v>
      </c>
      <c r="E16">
        <v>9.8000000000000007</v>
      </c>
    </row>
    <row r="17" spans="1:5">
      <c r="A17" t="s">
        <v>26</v>
      </c>
      <c r="B17" t="s">
        <v>41</v>
      </c>
      <c r="C17" t="s">
        <v>42</v>
      </c>
      <c r="D17">
        <v>277</v>
      </c>
      <c r="E17">
        <v>8.8000000000000007</v>
      </c>
    </row>
    <row r="18" spans="1:5">
      <c r="A18" t="s">
        <v>26</v>
      </c>
      <c r="B18" t="s">
        <v>43</v>
      </c>
      <c r="C18" t="s">
        <v>44</v>
      </c>
      <c r="D18">
        <v>349</v>
      </c>
      <c r="E18">
        <v>7.9</v>
      </c>
    </row>
    <row r="19" spans="1:5">
      <c r="A19" t="s">
        <v>26</v>
      </c>
      <c r="B19" t="s">
        <v>45</v>
      </c>
      <c r="C19" t="s">
        <v>46</v>
      </c>
      <c r="D19">
        <v>341</v>
      </c>
      <c r="E19">
        <v>8</v>
      </c>
    </row>
    <row r="20" spans="1:5">
      <c r="A20" t="s">
        <v>26</v>
      </c>
      <c r="B20" t="s">
        <v>47</v>
      </c>
      <c r="C20" t="s">
        <v>48</v>
      </c>
      <c r="D20">
        <v>259</v>
      </c>
      <c r="E20">
        <v>9</v>
      </c>
    </row>
    <row r="21" spans="1:5">
      <c r="A21" t="s">
        <v>26</v>
      </c>
      <c r="B21" t="s">
        <v>49</v>
      </c>
      <c r="C21" t="s">
        <v>50</v>
      </c>
      <c r="D21">
        <v>313</v>
      </c>
      <c r="E21">
        <v>8.3000000000000007</v>
      </c>
    </row>
    <row r="22" spans="1:5">
      <c r="A22" t="s">
        <v>26</v>
      </c>
      <c r="B22" t="s">
        <v>51</v>
      </c>
      <c r="C22" t="s">
        <v>52</v>
      </c>
      <c r="D22">
        <v>250</v>
      </c>
      <c r="E22">
        <v>9.1999999999999993</v>
      </c>
    </row>
    <row r="23" spans="1:5">
      <c r="A23" t="s">
        <v>26</v>
      </c>
      <c r="B23" t="s">
        <v>53</v>
      </c>
      <c r="C23" t="s">
        <v>54</v>
      </c>
      <c r="D23">
        <v>307</v>
      </c>
      <c r="E23">
        <v>8.3000000000000007</v>
      </c>
    </row>
    <row r="24" spans="1:5">
      <c r="A24" t="s">
        <v>26</v>
      </c>
      <c r="B24" t="s">
        <v>55</v>
      </c>
      <c r="C24" t="s">
        <v>56</v>
      </c>
      <c r="D24">
        <v>344</v>
      </c>
      <c r="E24">
        <v>7.9</v>
      </c>
    </row>
    <row r="25" spans="1:5">
      <c r="A25" t="s">
        <v>26</v>
      </c>
      <c r="B25" t="s">
        <v>57</v>
      </c>
      <c r="C25" t="s">
        <v>58</v>
      </c>
      <c r="D25">
        <v>214</v>
      </c>
      <c r="E25">
        <v>9.9</v>
      </c>
    </row>
    <row r="26" spans="1:5">
      <c r="A26" t="s">
        <v>26</v>
      </c>
      <c r="B26" t="s">
        <v>59</v>
      </c>
      <c r="C26" t="s">
        <v>60</v>
      </c>
      <c r="D26">
        <v>140</v>
      </c>
      <c r="E26">
        <v>12.1</v>
      </c>
    </row>
    <row r="27" spans="1:5">
      <c r="A27" t="s">
        <v>26</v>
      </c>
      <c r="B27" t="s">
        <v>61</v>
      </c>
      <c r="C27" t="s">
        <v>62</v>
      </c>
      <c r="D27">
        <v>196</v>
      </c>
      <c r="E27">
        <v>10.3</v>
      </c>
    </row>
    <row r="28" spans="1:5">
      <c r="A28" t="s">
        <v>26</v>
      </c>
      <c r="B28" t="s">
        <v>63</v>
      </c>
      <c r="C28" t="s">
        <v>64</v>
      </c>
      <c r="D28">
        <v>243</v>
      </c>
      <c r="E28">
        <v>9.4</v>
      </c>
    </row>
    <row r="29" spans="1:5">
      <c r="A29" t="s">
        <v>26</v>
      </c>
      <c r="B29" t="s">
        <v>65</v>
      </c>
      <c r="C29" t="s">
        <v>66</v>
      </c>
      <c r="D29">
        <v>292</v>
      </c>
      <c r="E29">
        <v>8.6</v>
      </c>
    </row>
    <row r="30" spans="1:5">
      <c r="A30" t="s">
        <v>26</v>
      </c>
      <c r="B30" t="s">
        <v>67</v>
      </c>
      <c r="C30" t="s">
        <v>68</v>
      </c>
      <c r="D30">
        <v>436</v>
      </c>
      <c r="E30">
        <v>7.1</v>
      </c>
    </row>
    <row r="31" spans="1:5">
      <c r="A31" t="s">
        <v>26</v>
      </c>
      <c r="B31" t="s">
        <v>69</v>
      </c>
      <c r="C31" t="s">
        <v>70</v>
      </c>
      <c r="D31">
        <v>338</v>
      </c>
      <c r="E31">
        <v>8</v>
      </c>
    </row>
    <row r="32" spans="1:5">
      <c r="A32" t="s">
        <v>26</v>
      </c>
      <c r="B32" t="s">
        <v>71</v>
      </c>
      <c r="C32" t="s">
        <v>72</v>
      </c>
      <c r="D32">
        <v>276</v>
      </c>
      <c r="E32">
        <v>8.8000000000000007</v>
      </c>
    </row>
    <row r="33" spans="1:5">
      <c r="A33" t="s">
        <v>26</v>
      </c>
      <c r="B33" t="s">
        <v>73</v>
      </c>
      <c r="C33" t="s">
        <v>74</v>
      </c>
      <c r="D33">
        <v>272</v>
      </c>
      <c r="E33">
        <v>8.8000000000000007</v>
      </c>
    </row>
    <row r="34" spans="1:5">
      <c r="A34" t="s">
        <v>26</v>
      </c>
      <c r="B34" t="s">
        <v>75</v>
      </c>
      <c r="C34" t="s">
        <v>76</v>
      </c>
      <c r="D34">
        <v>270</v>
      </c>
      <c r="E34">
        <v>8.9</v>
      </c>
    </row>
    <row r="35" spans="1:5">
      <c r="A35" t="s">
        <v>26</v>
      </c>
      <c r="B35" t="s">
        <v>77</v>
      </c>
      <c r="C35" t="s">
        <v>78</v>
      </c>
      <c r="D35">
        <v>312</v>
      </c>
      <c r="E35">
        <v>8.3000000000000007</v>
      </c>
    </row>
    <row r="36" spans="1:5">
      <c r="A36" t="s">
        <v>26</v>
      </c>
      <c r="B36" t="s">
        <v>79</v>
      </c>
      <c r="C36" t="s">
        <v>80</v>
      </c>
      <c r="D36">
        <v>373</v>
      </c>
      <c r="E36">
        <v>7.6</v>
      </c>
    </row>
    <row r="37" spans="1:5">
      <c r="A37" t="s">
        <v>26</v>
      </c>
      <c r="B37" t="s">
        <v>81</v>
      </c>
      <c r="C37" t="s">
        <v>82</v>
      </c>
      <c r="D37">
        <v>212</v>
      </c>
      <c r="E37">
        <v>9.9</v>
      </c>
    </row>
    <row r="38" spans="1:5">
      <c r="A38" t="s">
        <v>26</v>
      </c>
      <c r="B38" t="s">
        <v>83</v>
      </c>
      <c r="C38" t="s">
        <v>84</v>
      </c>
      <c r="D38">
        <v>209</v>
      </c>
      <c r="E38">
        <v>10</v>
      </c>
    </row>
    <row r="39" spans="1:5">
      <c r="A39" t="s">
        <v>26</v>
      </c>
      <c r="B39" t="s">
        <v>85</v>
      </c>
      <c r="C39" t="s">
        <v>86</v>
      </c>
      <c r="D39">
        <v>202</v>
      </c>
      <c r="E39">
        <v>10.1</v>
      </c>
    </row>
    <row r="40" spans="1:5">
      <c r="A40" t="s">
        <v>26</v>
      </c>
      <c r="B40" t="s">
        <v>87</v>
      </c>
      <c r="C40" t="s">
        <v>88</v>
      </c>
      <c r="D40">
        <v>234</v>
      </c>
      <c r="E40">
        <v>9.5</v>
      </c>
    </row>
    <row r="41" spans="1:5">
      <c r="A41" t="s">
        <v>26</v>
      </c>
      <c r="B41" t="s">
        <v>89</v>
      </c>
      <c r="C41" t="s">
        <v>90</v>
      </c>
      <c r="D41">
        <v>331</v>
      </c>
      <c r="E41">
        <v>8.1</v>
      </c>
    </row>
    <row r="42" spans="1:5">
      <c r="A42" t="s">
        <v>26</v>
      </c>
      <c r="B42" t="s">
        <v>91</v>
      </c>
      <c r="C42" t="s">
        <v>92</v>
      </c>
      <c r="D42">
        <v>389</v>
      </c>
      <c r="E42">
        <v>7.5</v>
      </c>
    </row>
    <row r="43" spans="1:5">
      <c r="A43" t="s">
        <v>26</v>
      </c>
      <c r="B43" t="s">
        <v>93</v>
      </c>
      <c r="C43" t="s">
        <v>94</v>
      </c>
      <c r="D43">
        <v>341</v>
      </c>
      <c r="E43">
        <v>8</v>
      </c>
    </row>
    <row r="44" spans="1:5">
      <c r="A44" t="s">
        <v>26</v>
      </c>
      <c r="B44" t="s">
        <v>95</v>
      </c>
      <c r="C44" t="s">
        <v>96</v>
      </c>
      <c r="D44">
        <v>326</v>
      </c>
      <c r="E44">
        <v>8.1</v>
      </c>
    </row>
    <row r="45" spans="1:5">
      <c r="A45" t="s">
        <v>26</v>
      </c>
      <c r="B45" t="s">
        <v>97</v>
      </c>
      <c r="C45" t="s">
        <v>98</v>
      </c>
      <c r="D45">
        <v>358</v>
      </c>
      <c r="E45">
        <v>7.8</v>
      </c>
    </row>
    <row r="46" spans="1:5">
      <c r="A46" t="s">
        <v>26</v>
      </c>
      <c r="B46" t="s">
        <v>99</v>
      </c>
      <c r="C46" t="s">
        <v>100</v>
      </c>
      <c r="D46">
        <v>318</v>
      </c>
      <c r="E46">
        <v>8.1999999999999993</v>
      </c>
    </row>
    <row r="47" spans="1:5">
      <c r="A47" t="s">
        <v>26</v>
      </c>
      <c r="B47" t="s">
        <v>101</v>
      </c>
      <c r="C47" t="s">
        <v>102</v>
      </c>
      <c r="D47">
        <v>369</v>
      </c>
      <c r="E47">
        <v>7.6</v>
      </c>
    </row>
    <row r="48" spans="1:5">
      <c r="A48" t="s">
        <v>26</v>
      </c>
      <c r="B48" t="s">
        <v>103</v>
      </c>
      <c r="C48" t="s">
        <v>104</v>
      </c>
      <c r="D48">
        <v>506</v>
      </c>
      <c r="E48">
        <v>6.6</v>
      </c>
    </row>
    <row r="49" spans="1:5">
      <c r="A49" t="s">
        <v>26</v>
      </c>
      <c r="B49" t="s">
        <v>105</v>
      </c>
      <c r="C49" t="s">
        <v>106</v>
      </c>
      <c r="D49">
        <v>190</v>
      </c>
      <c r="E49">
        <v>10.4</v>
      </c>
    </row>
    <row r="50" spans="1:5">
      <c r="A50" t="s">
        <v>26</v>
      </c>
      <c r="B50" t="s">
        <v>107</v>
      </c>
      <c r="C50" t="s">
        <v>108</v>
      </c>
      <c r="D50">
        <v>149</v>
      </c>
      <c r="E50">
        <v>11.7</v>
      </c>
    </row>
    <row r="51" spans="1:5">
      <c r="A51" t="s">
        <v>26</v>
      </c>
      <c r="B51" t="s">
        <v>109</v>
      </c>
      <c r="C51" t="s">
        <v>110</v>
      </c>
      <c r="D51">
        <v>263</v>
      </c>
      <c r="E51">
        <v>8.9</v>
      </c>
    </row>
    <row r="52" spans="1:5">
      <c r="A52" t="s">
        <v>26</v>
      </c>
      <c r="B52" t="s">
        <v>111</v>
      </c>
      <c r="C52" t="s">
        <v>112</v>
      </c>
      <c r="D52">
        <v>325</v>
      </c>
      <c r="E52">
        <v>8.1999999999999993</v>
      </c>
    </row>
    <row r="53" spans="1:5">
      <c r="A53" t="s">
        <v>26</v>
      </c>
      <c r="B53" t="s">
        <v>113</v>
      </c>
      <c r="C53" t="s">
        <v>114</v>
      </c>
      <c r="D53">
        <v>321</v>
      </c>
      <c r="E53">
        <v>8.1999999999999993</v>
      </c>
    </row>
    <row r="54" spans="1:5">
      <c r="A54" t="s">
        <v>26</v>
      </c>
      <c r="B54" t="s">
        <v>115</v>
      </c>
      <c r="C54" t="s">
        <v>116</v>
      </c>
      <c r="D54">
        <v>374</v>
      </c>
      <c r="E54">
        <v>7.6</v>
      </c>
    </row>
    <row r="55" spans="1:5">
      <c r="A55" t="s">
        <v>26</v>
      </c>
      <c r="B55" t="s">
        <v>117</v>
      </c>
      <c r="C55" t="s">
        <v>118</v>
      </c>
      <c r="D55">
        <v>372</v>
      </c>
      <c r="E55">
        <v>7.7</v>
      </c>
    </row>
    <row r="56" spans="1:5">
      <c r="A56" t="s">
        <v>26</v>
      </c>
      <c r="B56" t="s">
        <v>119</v>
      </c>
      <c r="C56" t="s">
        <v>120</v>
      </c>
      <c r="D56">
        <v>341</v>
      </c>
      <c r="E56">
        <v>7.9</v>
      </c>
    </row>
    <row r="57" spans="1:5">
      <c r="A57" t="s">
        <v>26</v>
      </c>
      <c r="B57" t="s">
        <v>121</v>
      </c>
      <c r="C57" t="s">
        <v>122</v>
      </c>
      <c r="D57">
        <v>334</v>
      </c>
      <c r="E57">
        <v>8</v>
      </c>
    </row>
    <row r="58" spans="1:5">
      <c r="A58" t="s">
        <v>26</v>
      </c>
      <c r="B58" t="s">
        <v>123</v>
      </c>
      <c r="C58" t="s">
        <v>124</v>
      </c>
      <c r="D58">
        <v>333</v>
      </c>
      <c r="E58">
        <v>8</v>
      </c>
    </row>
    <row r="59" spans="1:5">
      <c r="A59" t="s">
        <v>26</v>
      </c>
      <c r="B59" t="s">
        <v>125</v>
      </c>
      <c r="C59" t="s">
        <v>126</v>
      </c>
      <c r="D59">
        <v>385</v>
      </c>
      <c r="E59">
        <v>7.5</v>
      </c>
    </row>
    <row r="60" spans="1:5">
      <c r="A60" t="s">
        <v>26</v>
      </c>
      <c r="B60" t="s">
        <v>127</v>
      </c>
      <c r="C60" t="s">
        <v>128</v>
      </c>
      <c r="D60">
        <v>358</v>
      </c>
      <c r="E60">
        <v>7.8</v>
      </c>
    </row>
    <row r="61" spans="1:5">
      <c r="A61" t="s">
        <v>26</v>
      </c>
      <c r="B61" t="s">
        <v>129</v>
      </c>
      <c r="C61" t="s">
        <v>130</v>
      </c>
      <c r="D61">
        <v>265</v>
      </c>
      <c r="E61">
        <v>9</v>
      </c>
    </row>
    <row r="62" spans="1:5">
      <c r="A62" t="s">
        <v>26</v>
      </c>
      <c r="B62" t="s">
        <v>131</v>
      </c>
      <c r="C62" t="s">
        <v>132</v>
      </c>
      <c r="D62">
        <v>209</v>
      </c>
      <c r="E62">
        <v>10.1</v>
      </c>
    </row>
    <row r="63" spans="1:5">
      <c r="A63" t="s">
        <v>26</v>
      </c>
      <c r="B63" t="s">
        <v>133</v>
      </c>
      <c r="C63" t="s">
        <v>134</v>
      </c>
      <c r="D63">
        <v>282</v>
      </c>
      <c r="E63">
        <v>8.6999999999999993</v>
      </c>
    </row>
    <row r="64" spans="1:5">
      <c r="A64" t="s">
        <v>26</v>
      </c>
      <c r="B64" t="s">
        <v>135</v>
      </c>
      <c r="C64" t="s">
        <v>136</v>
      </c>
      <c r="D64">
        <v>487</v>
      </c>
      <c r="E64">
        <v>6.8</v>
      </c>
    </row>
    <row r="65" spans="1:5">
      <c r="A65" t="s">
        <v>26</v>
      </c>
      <c r="B65" t="s">
        <v>137</v>
      </c>
      <c r="C65" t="s">
        <v>138</v>
      </c>
      <c r="D65">
        <v>421</v>
      </c>
      <c r="E65">
        <v>7.3</v>
      </c>
    </row>
    <row r="66" spans="1:5">
      <c r="A66" t="s">
        <v>26</v>
      </c>
      <c r="B66" t="s">
        <v>139</v>
      </c>
      <c r="C66" t="s">
        <v>140</v>
      </c>
      <c r="D66">
        <v>454</v>
      </c>
      <c r="E66">
        <v>7</v>
      </c>
    </row>
    <row r="67" spans="1:5">
      <c r="A67" t="s">
        <v>26</v>
      </c>
      <c r="B67" t="s">
        <v>141</v>
      </c>
      <c r="C67" t="s">
        <v>142</v>
      </c>
      <c r="D67">
        <v>398</v>
      </c>
      <c r="E67">
        <v>7.5</v>
      </c>
    </row>
    <row r="68" spans="1:5">
      <c r="A68" t="s">
        <v>26</v>
      </c>
      <c r="B68" t="s">
        <v>143</v>
      </c>
      <c r="C68" t="s">
        <v>144</v>
      </c>
      <c r="D68">
        <v>335</v>
      </c>
      <c r="E68">
        <v>8.1</v>
      </c>
    </row>
    <row r="69" spans="1:5">
      <c r="A69" t="s">
        <v>26</v>
      </c>
      <c r="B69" t="s">
        <v>145</v>
      </c>
      <c r="C69" t="s">
        <v>146</v>
      </c>
      <c r="D69">
        <v>441</v>
      </c>
      <c r="E69">
        <v>7.1</v>
      </c>
    </row>
    <row r="70" spans="1:5">
      <c r="A70" t="s">
        <v>26</v>
      </c>
      <c r="B70" t="s">
        <v>147</v>
      </c>
      <c r="C70" t="s">
        <v>148</v>
      </c>
      <c r="D70">
        <v>343</v>
      </c>
      <c r="E70">
        <v>8</v>
      </c>
    </row>
    <row r="71" spans="1:5">
      <c r="A71" t="s">
        <v>26</v>
      </c>
      <c r="B71" t="s">
        <v>149</v>
      </c>
      <c r="C71" t="s">
        <v>150</v>
      </c>
      <c r="D71">
        <v>334</v>
      </c>
      <c r="E71">
        <v>8.1</v>
      </c>
    </row>
    <row r="72" spans="1:5">
      <c r="A72" t="s">
        <v>26</v>
      </c>
      <c r="B72" t="s">
        <v>151</v>
      </c>
      <c r="C72" t="s">
        <v>152</v>
      </c>
      <c r="D72">
        <v>565</v>
      </c>
      <c r="E72">
        <v>6.3</v>
      </c>
    </row>
    <row r="73" spans="1:5">
      <c r="A73" t="s">
        <v>26</v>
      </c>
      <c r="B73" t="s">
        <v>153</v>
      </c>
      <c r="C73" t="s">
        <v>154</v>
      </c>
      <c r="D73">
        <v>162</v>
      </c>
      <c r="E73">
        <v>11.4</v>
      </c>
    </row>
    <row r="74" spans="1:5">
      <c r="A74" t="s">
        <v>26</v>
      </c>
      <c r="B74" t="s">
        <v>155</v>
      </c>
      <c r="C74" t="s">
        <v>156</v>
      </c>
      <c r="D74">
        <v>158</v>
      </c>
      <c r="E74">
        <v>11.6</v>
      </c>
    </row>
    <row r="75" spans="1:5">
      <c r="A75" t="s">
        <v>26</v>
      </c>
      <c r="B75" t="s">
        <v>157</v>
      </c>
      <c r="C75" t="s">
        <v>158</v>
      </c>
      <c r="D75">
        <v>364</v>
      </c>
      <c r="E75">
        <v>7.7</v>
      </c>
    </row>
    <row r="76" spans="1:5">
      <c r="A76" t="s">
        <v>26</v>
      </c>
      <c r="B76" t="s">
        <v>159</v>
      </c>
      <c r="C76" t="s">
        <v>160</v>
      </c>
      <c r="D76">
        <v>435</v>
      </c>
      <c r="E76">
        <v>7.2</v>
      </c>
    </row>
    <row r="77" spans="1:5">
      <c r="A77" t="s">
        <v>26</v>
      </c>
      <c r="B77" t="s">
        <v>161</v>
      </c>
      <c r="C77" t="s">
        <v>162</v>
      </c>
      <c r="D77">
        <v>425</v>
      </c>
      <c r="E77">
        <v>7.2</v>
      </c>
    </row>
    <row r="78" spans="1:5">
      <c r="A78" t="s">
        <v>26</v>
      </c>
      <c r="B78" t="s">
        <v>163</v>
      </c>
      <c r="C78" t="s">
        <v>164</v>
      </c>
      <c r="D78">
        <v>497</v>
      </c>
      <c r="E78">
        <v>6.7</v>
      </c>
    </row>
    <row r="79" spans="1:5">
      <c r="A79" t="s">
        <v>26</v>
      </c>
      <c r="B79" t="s">
        <v>165</v>
      </c>
      <c r="C79" t="s">
        <v>166</v>
      </c>
      <c r="D79">
        <v>476</v>
      </c>
      <c r="E79">
        <v>6.9</v>
      </c>
    </row>
    <row r="80" spans="1:5">
      <c r="A80" t="s">
        <v>26</v>
      </c>
      <c r="B80" t="s">
        <v>167</v>
      </c>
      <c r="C80" t="s">
        <v>168</v>
      </c>
      <c r="D80">
        <v>352</v>
      </c>
      <c r="E80">
        <v>7.9</v>
      </c>
    </row>
    <row r="81" spans="1:5">
      <c r="A81" t="s">
        <v>26</v>
      </c>
      <c r="B81" t="s">
        <v>169</v>
      </c>
      <c r="C81" t="s">
        <v>170</v>
      </c>
      <c r="D81">
        <v>474</v>
      </c>
      <c r="E81">
        <v>6.9</v>
      </c>
    </row>
    <row r="82" spans="1:5">
      <c r="A82" t="s">
        <v>26</v>
      </c>
      <c r="B82" t="s">
        <v>171</v>
      </c>
      <c r="C82" t="s">
        <v>172</v>
      </c>
      <c r="D82">
        <v>327</v>
      </c>
      <c r="E82">
        <v>8.1999999999999993</v>
      </c>
    </row>
    <row r="83" spans="1:5">
      <c r="A83" t="s">
        <v>26</v>
      </c>
      <c r="B83" t="s">
        <v>173</v>
      </c>
      <c r="C83" t="s">
        <v>174</v>
      </c>
      <c r="D83">
        <v>413</v>
      </c>
      <c r="E83">
        <v>7.4</v>
      </c>
    </row>
    <row r="84" spans="1:5">
      <c r="A84" t="s">
        <v>26</v>
      </c>
      <c r="B84" t="s">
        <v>175</v>
      </c>
      <c r="C84" t="s">
        <v>176</v>
      </c>
      <c r="D84">
        <v>361</v>
      </c>
      <c r="E84">
        <v>7.8</v>
      </c>
    </row>
    <row r="85" spans="1:5">
      <c r="A85" t="s">
        <v>26</v>
      </c>
      <c r="B85" t="s">
        <v>177</v>
      </c>
      <c r="C85" t="s">
        <v>178</v>
      </c>
      <c r="D85">
        <v>176</v>
      </c>
      <c r="E85">
        <v>11</v>
      </c>
    </row>
    <row r="86" spans="1:5">
      <c r="A86" t="s">
        <v>26</v>
      </c>
      <c r="B86" t="s">
        <v>179</v>
      </c>
      <c r="C86" t="s">
        <v>180</v>
      </c>
      <c r="D86">
        <v>161</v>
      </c>
      <c r="E86">
        <v>11.5</v>
      </c>
    </row>
    <row r="87" spans="1:5">
      <c r="A87" t="s">
        <v>26</v>
      </c>
      <c r="B87" t="s">
        <v>181</v>
      </c>
      <c r="C87" t="s">
        <v>182</v>
      </c>
      <c r="D87">
        <v>261</v>
      </c>
      <c r="E87">
        <v>9.1</v>
      </c>
    </row>
    <row r="88" spans="1:5">
      <c r="A88" t="s">
        <v>26</v>
      </c>
      <c r="B88" t="s">
        <v>183</v>
      </c>
      <c r="C88" t="s">
        <v>184</v>
      </c>
      <c r="D88">
        <v>262</v>
      </c>
      <c r="E88">
        <v>9.1</v>
      </c>
    </row>
    <row r="89" spans="1:5">
      <c r="A89" t="s">
        <v>26</v>
      </c>
      <c r="B89" t="s">
        <v>185</v>
      </c>
      <c r="C89" t="s">
        <v>186</v>
      </c>
      <c r="D89">
        <v>387</v>
      </c>
      <c r="E89">
        <v>7.6</v>
      </c>
    </row>
    <row r="90" spans="1:5">
      <c r="A90" t="s">
        <v>26</v>
      </c>
      <c r="B90" t="s">
        <v>187</v>
      </c>
      <c r="C90" t="s">
        <v>188</v>
      </c>
      <c r="D90">
        <v>430</v>
      </c>
      <c r="E90">
        <v>7.2</v>
      </c>
    </row>
    <row r="91" spans="1:5">
      <c r="A91" t="s">
        <v>26</v>
      </c>
      <c r="B91" t="s">
        <v>189</v>
      </c>
      <c r="C91" t="s">
        <v>190</v>
      </c>
      <c r="D91">
        <v>380</v>
      </c>
      <c r="E91">
        <v>7.6</v>
      </c>
    </row>
    <row r="92" spans="1:5">
      <c r="A92" t="s">
        <v>26</v>
      </c>
      <c r="B92" t="s">
        <v>191</v>
      </c>
      <c r="C92" t="s">
        <v>192</v>
      </c>
      <c r="D92">
        <v>314</v>
      </c>
      <c r="E92">
        <v>8.4</v>
      </c>
    </row>
    <row r="93" spans="1:5">
      <c r="A93" t="s">
        <v>26</v>
      </c>
      <c r="B93" t="s">
        <v>193</v>
      </c>
      <c r="C93" t="s">
        <v>194</v>
      </c>
      <c r="D93">
        <v>375</v>
      </c>
      <c r="E93">
        <v>7.7</v>
      </c>
    </row>
    <row r="94" spans="1:5">
      <c r="A94" t="s">
        <v>26</v>
      </c>
      <c r="B94" t="s">
        <v>195</v>
      </c>
      <c r="C94" t="s">
        <v>196</v>
      </c>
      <c r="D94">
        <v>396</v>
      </c>
      <c r="E94">
        <v>7.5</v>
      </c>
    </row>
    <row r="95" spans="1:5">
      <c r="A95" t="s">
        <v>26</v>
      </c>
      <c r="B95" t="s">
        <v>197</v>
      </c>
      <c r="C95" t="s">
        <v>198</v>
      </c>
      <c r="D95">
        <v>422</v>
      </c>
      <c r="E95">
        <v>7.3</v>
      </c>
    </row>
    <row r="96" spans="1:5">
      <c r="A96" t="s">
        <v>26</v>
      </c>
      <c r="B96" t="s">
        <v>199</v>
      </c>
      <c r="C96" t="s">
        <v>200</v>
      </c>
      <c r="D96">
        <v>352</v>
      </c>
      <c r="E96">
        <v>7.9</v>
      </c>
    </row>
    <row r="97" spans="1:5">
      <c r="A97" t="s">
        <v>26</v>
      </c>
      <c r="B97" t="s">
        <v>201</v>
      </c>
      <c r="C97" t="s">
        <v>202</v>
      </c>
      <c r="D97">
        <v>197</v>
      </c>
      <c r="E97">
        <v>10.4</v>
      </c>
    </row>
    <row r="98" spans="1:5">
      <c r="A98" t="s">
        <v>26</v>
      </c>
      <c r="B98" t="s">
        <v>203</v>
      </c>
      <c r="C98" t="s">
        <v>204</v>
      </c>
      <c r="D98">
        <v>149</v>
      </c>
      <c r="E98">
        <v>11.9</v>
      </c>
    </row>
    <row r="99" spans="1:5">
      <c r="A99" t="s">
        <v>26</v>
      </c>
      <c r="B99" t="s">
        <v>205</v>
      </c>
      <c r="C99" t="s">
        <v>206</v>
      </c>
      <c r="D99">
        <v>279</v>
      </c>
      <c r="E99">
        <v>8.8000000000000007</v>
      </c>
    </row>
    <row r="100" spans="1:5">
      <c r="A100" t="s">
        <v>26</v>
      </c>
      <c r="B100" t="s">
        <v>207</v>
      </c>
      <c r="C100" t="s">
        <v>208</v>
      </c>
      <c r="D100">
        <v>280</v>
      </c>
      <c r="E100">
        <v>8.8000000000000007</v>
      </c>
    </row>
    <row r="101" spans="1:5">
      <c r="A101" t="s">
        <v>26</v>
      </c>
      <c r="B101" t="s">
        <v>209</v>
      </c>
      <c r="C101" t="s">
        <v>210</v>
      </c>
      <c r="D101">
        <v>394</v>
      </c>
      <c r="E101">
        <v>7.5</v>
      </c>
    </row>
    <row r="102" spans="1:5">
      <c r="A102" t="s">
        <v>26</v>
      </c>
      <c r="B102" t="s">
        <v>211</v>
      </c>
      <c r="C102" t="s">
        <v>212</v>
      </c>
      <c r="D102">
        <v>502</v>
      </c>
      <c r="E102">
        <v>6.7</v>
      </c>
    </row>
    <row r="103" spans="1:5">
      <c r="A103" t="s">
        <v>26</v>
      </c>
      <c r="B103" t="s">
        <v>213</v>
      </c>
      <c r="C103" t="s">
        <v>214</v>
      </c>
      <c r="D103">
        <v>347</v>
      </c>
      <c r="E103">
        <v>8</v>
      </c>
    </row>
    <row r="104" spans="1:5">
      <c r="A104" t="s">
        <v>26</v>
      </c>
      <c r="B104" t="s">
        <v>215</v>
      </c>
      <c r="C104" t="s">
        <v>216</v>
      </c>
      <c r="D104">
        <v>337</v>
      </c>
      <c r="E104">
        <v>8.1</v>
      </c>
    </row>
    <row r="105" spans="1:5">
      <c r="A105" t="s">
        <v>26</v>
      </c>
      <c r="B105" t="s">
        <v>217</v>
      </c>
      <c r="C105" t="s">
        <v>218</v>
      </c>
      <c r="D105">
        <v>446</v>
      </c>
      <c r="E105">
        <v>7.1</v>
      </c>
    </row>
    <row r="106" spans="1:5">
      <c r="A106" t="s">
        <v>26</v>
      </c>
      <c r="B106" t="s">
        <v>219</v>
      </c>
      <c r="C106" t="s">
        <v>220</v>
      </c>
      <c r="D106">
        <v>395</v>
      </c>
      <c r="E106">
        <v>7.5</v>
      </c>
    </row>
    <row r="107" spans="1:5">
      <c r="A107" t="s">
        <v>26</v>
      </c>
      <c r="B107" t="s">
        <v>221</v>
      </c>
      <c r="C107" t="s">
        <v>222</v>
      </c>
      <c r="D107">
        <v>353</v>
      </c>
      <c r="E107">
        <v>7.9</v>
      </c>
    </row>
    <row r="108" spans="1:5">
      <c r="A108" t="s">
        <v>26</v>
      </c>
      <c r="B108" t="s">
        <v>223</v>
      </c>
      <c r="C108" t="s">
        <v>32</v>
      </c>
      <c r="D108">
        <v>343</v>
      </c>
      <c r="E108">
        <v>7.9</v>
      </c>
    </row>
    <row r="109" spans="1:5">
      <c r="A109" t="s">
        <v>26</v>
      </c>
      <c r="B109" t="s">
        <v>224</v>
      </c>
      <c r="C109" t="s">
        <v>34</v>
      </c>
      <c r="D109">
        <v>148</v>
      </c>
      <c r="E109">
        <v>11.8</v>
      </c>
    </row>
    <row r="110" spans="1:5">
      <c r="A110" t="s">
        <v>26</v>
      </c>
      <c r="B110" t="s">
        <v>225</v>
      </c>
      <c r="C110" t="s">
        <v>36</v>
      </c>
      <c r="D110">
        <v>143</v>
      </c>
      <c r="E110">
        <v>12</v>
      </c>
    </row>
    <row r="111" spans="1:5">
      <c r="A111" t="s">
        <v>26</v>
      </c>
      <c r="B111" t="s">
        <v>226</v>
      </c>
      <c r="C111" t="s">
        <v>38</v>
      </c>
      <c r="D111">
        <v>151</v>
      </c>
      <c r="E111">
        <v>11.7</v>
      </c>
    </row>
    <row r="112" spans="1:5">
      <c r="A112" t="s">
        <v>26</v>
      </c>
      <c r="B112" t="s">
        <v>227</v>
      </c>
      <c r="C112" t="s">
        <v>40</v>
      </c>
      <c r="D112">
        <v>297</v>
      </c>
      <c r="E112">
        <v>8.5</v>
      </c>
    </row>
    <row r="113" spans="1:5">
      <c r="A113" t="s">
        <v>26</v>
      </c>
      <c r="B113" t="s">
        <v>228</v>
      </c>
      <c r="C113" t="s">
        <v>42</v>
      </c>
      <c r="D113">
        <v>208</v>
      </c>
      <c r="E113">
        <v>10.1</v>
      </c>
    </row>
    <row r="114" spans="1:5">
      <c r="A114" t="s">
        <v>26</v>
      </c>
      <c r="B114" t="s">
        <v>229</v>
      </c>
      <c r="C114" t="s">
        <v>44</v>
      </c>
      <c r="D114">
        <v>286</v>
      </c>
      <c r="E114">
        <v>8.6999999999999993</v>
      </c>
    </row>
    <row r="115" spans="1:5">
      <c r="A115" t="s">
        <v>26</v>
      </c>
      <c r="B115" t="s">
        <v>230</v>
      </c>
      <c r="C115" t="s">
        <v>46</v>
      </c>
      <c r="D115">
        <v>284</v>
      </c>
      <c r="E115">
        <v>8.6999999999999993</v>
      </c>
    </row>
    <row r="116" spans="1:5">
      <c r="A116" t="s">
        <v>26</v>
      </c>
      <c r="B116" t="s">
        <v>231</v>
      </c>
      <c r="C116" t="s">
        <v>48</v>
      </c>
      <c r="D116">
        <v>306</v>
      </c>
      <c r="E116">
        <v>8.3000000000000007</v>
      </c>
    </row>
    <row r="117" spans="1:5">
      <c r="A117" t="s">
        <v>26</v>
      </c>
      <c r="B117" t="s">
        <v>232</v>
      </c>
      <c r="C117" t="s">
        <v>50</v>
      </c>
      <c r="D117">
        <v>288</v>
      </c>
      <c r="E117">
        <v>8.6</v>
      </c>
    </row>
    <row r="118" spans="1:5">
      <c r="A118" t="s">
        <v>26</v>
      </c>
      <c r="B118" t="s">
        <v>233</v>
      </c>
      <c r="C118" t="s">
        <v>52</v>
      </c>
      <c r="D118">
        <v>321</v>
      </c>
      <c r="E118">
        <v>8.1999999999999993</v>
      </c>
    </row>
    <row r="119" spans="1:5">
      <c r="A119" t="s">
        <v>26</v>
      </c>
      <c r="B119" t="s">
        <v>234</v>
      </c>
      <c r="C119" t="s">
        <v>54</v>
      </c>
      <c r="D119">
        <v>304</v>
      </c>
      <c r="E119">
        <v>8.4</v>
      </c>
    </row>
    <row r="120" spans="1:5">
      <c r="A120" t="s">
        <v>26</v>
      </c>
      <c r="B120" t="s">
        <v>235</v>
      </c>
      <c r="C120" t="s">
        <v>56</v>
      </c>
      <c r="D120">
        <v>344</v>
      </c>
      <c r="E120">
        <v>7.9</v>
      </c>
    </row>
    <row r="121" spans="1:5">
      <c r="A121" t="s">
        <v>26</v>
      </c>
      <c r="B121" t="s">
        <v>236</v>
      </c>
      <c r="C121" t="s">
        <v>58</v>
      </c>
      <c r="D121">
        <v>108</v>
      </c>
      <c r="E121">
        <v>13.8</v>
      </c>
    </row>
    <row r="122" spans="1:5">
      <c r="A122" t="s">
        <v>26</v>
      </c>
      <c r="B122" t="s">
        <v>237</v>
      </c>
      <c r="C122" t="s">
        <v>60</v>
      </c>
      <c r="D122">
        <v>102</v>
      </c>
      <c r="E122">
        <v>14.1</v>
      </c>
    </row>
    <row r="123" spans="1:5">
      <c r="A123" t="s">
        <v>26</v>
      </c>
      <c r="B123" t="s">
        <v>238</v>
      </c>
      <c r="C123" t="s">
        <v>62</v>
      </c>
      <c r="D123">
        <v>120</v>
      </c>
      <c r="E123">
        <v>13.1</v>
      </c>
    </row>
    <row r="124" spans="1:5">
      <c r="A124" t="s">
        <v>26</v>
      </c>
      <c r="B124" t="s">
        <v>239</v>
      </c>
      <c r="C124" t="s">
        <v>64</v>
      </c>
      <c r="D124">
        <v>143</v>
      </c>
      <c r="E124">
        <v>12.1</v>
      </c>
    </row>
    <row r="125" spans="1:5">
      <c r="A125" t="s">
        <v>26</v>
      </c>
      <c r="B125" t="s">
        <v>240</v>
      </c>
      <c r="C125" t="s">
        <v>66</v>
      </c>
      <c r="D125">
        <v>235</v>
      </c>
      <c r="E125">
        <v>9.5</v>
      </c>
    </row>
    <row r="126" spans="1:5">
      <c r="A126" t="s">
        <v>26</v>
      </c>
      <c r="B126" t="s">
        <v>241</v>
      </c>
      <c r="C126" t="s">
        <v>68</v>
      </c>
      <c r="D126">
        <v>267</v>
      </c>
      <c r="E126">
        <v>9</v>
      </c>
    </row>
    <row r="127" spans="1:5">
      <c r="A127" t="s">
        <v>26</v>
      </c>
      <c r="B127" t="s">
        <v>242</v>
      </c>
      <c r="C127" t="s">
        <v>70</v>
      </c>
      <c r="D127">
        <v>282</v>
      </c>
      <c r="E127">
        <v>8.6999999999999993</v>
      </c>
    </row>
    <row r="128" spans="1:5">
      <c r="A128" t="s">
        <v>26</v>
      </c>
      <c r="B128" t="s">
        <v>243</v>
      </c>
      <c r="C128" t="s">
        <v>72</v>
      </c>
      <c r="D128">
        <v>287</v>
      </c>
      <c r="E128">
        <v>8.6</v>
      </c>
    </row>
    <row r="129" spans="1:5">
      <c r="A129" t="s">
        <v>26</v>
      </c>
      <c r="B129" t="s">
        <v>244</v>
      </c>
      <c r="C129" t="s">
        <v>74</v>
      </c>
      <c r="D129">
        <v>265</v>
      </c>
      <c r="E129">
        <v>8.9</v>
      </c>
    </row>
    <row r="130" spans="1:5">
      <c r="A130" t="s">
        <v>26</v>
      </c>
      <c r="B130" t="s">
        <v>245</v>
      </c>
      <c r="C130" t="s">
        <v>76</v>
      </c>
      <c r="D130">
        <v>278</v>
      </c>
      <c r="E130">
        <v>8.6999999999999993</v>
      </c>
    </row>
    <row r="131" spans="1:5">
      <c r="A131" t="s">
        <v>26</v>
      </c>
      <c r="B131" t="s">
        <v>246</v>
      </c>
      <c r="C131" t="s">
        <v>78</v>
      </c>
      <c r="D131">
        <v>339</v>
      </c>
      <c r="E131">
        <v>8</v>
      </c>
    </row>
    <row r="132" spans="1:5">
      <c r="A132" t="s">
        <v>26</v>
      </c>
      <c r="B132" t="s">
        <v>247</v>
      </c>
      <c r="C132" t="s">
        <v>80</v>
      </c>
      <c r="D132">
        <v>322</v>
      </c>
      <c r="E132">
        <v>8.1</v>
      </c>
    </row>
    <row r="133" spans="1:5">
      <c r="A133" t="s">
        <v>26</v>
      </c>
      <c r="B133" t="s">
        <v>248</v>
      </c>
      <c r="C133" t="s">
        <v>82</v>
      </c>
      <c r="D133">
        <v>183</v>
      </c>
      <c r="E133">
        <v>10.6</v>
      </c>
    </row>
    <row r="134" spans="1:5">
      <c r="A134" t="s">
        <v>26</v>
      </c>
      <c r="B134" t="s">
        <v>249</v>
      </c>
      <c r="C134" t="s">
        <v>84</v>
      </c>
      <c r="D134">
        <v>226</v>
      </c>
      <c r="E134">
        <v>9.6</v>
      </c>
    </row>
    <row r="135" spans="1:5">
      <c r="A135" t="s">
        <v>26</v>
      </c>
      <c r="B135" t="s">
        <v>250</v>
      </c>
      <c r="C135" t="s">
        <v>86</v>
      </c>
      <c r="D135">
        <v>232</v>
      </c>
      <c r="E135">
        <v>9.5</v>
      </c>
    </row>
    <row r="136" spans="1:5">
      <c r="A136" t="s">
        <v>26</v>
      </c>
      <c r="B136" t="s">
        <v>251</v>
      </c>
      <c r="C136" t="s">
        <v>88</v>
      </c>
      <c r="D136">
        <v>286</v>
      </c>
      <c r="E136">
        <v>8.6999999999999993</v>
      </c>
    </row>
    <row r="137" spans="1:5">
      <c r="A137" t="s">
        <v>26</v>
      </c>
      <c r="B137" t="s">
        <v>252</v>
      </c>
      <c r="C137" t="s">
        <v>90</v>
      </c>
      <c r="D137">
        <v>361</v>
      </c>
      <c r="E137">
        <v>7.8</v>
      </c>
    </row>
    <row r="138" spans="1:5">
      <c r="A138" t="s">
        <v>26</v>
      </c>
      <c r="B138" t="s">
        <v>253</v>
      </c>
      <c r="C138" t="s">
        <v>92</v>
      </c>
      <c r="D138">
        <v>310</v>
      </c>
      <c r="E138">
        <v>8.4</v>
      </c>
    </row>
    <row r="139" spans="1:5">
      <c r="A139" t="s">
        <v>26</v>
      </c>
      <c r="B139" t="s">
        <v>254</v>
      </c>
      <c r="C139" t="s">
        <v>94</v>
      </c>
      <c r="D139">
        <v>325</v>
      </c>
      <c r="E139">
        <v>8.1999999999999993</v>
      </c>
    </row>
    <row r="140" spans="1:5">
      <c r="A140" t="s">
        <v>26</v>
      </c>
      <c r="B140" t="s">
        <v>255</v>
      </c>
      <c r="C140" t="s">
        <v>96</v>
      </c>
      <c r="D140">
        <v>339</v>
      </c>
      <c r="E140">
        <v>8</v>
      </c>
    </row>
    <row r="141" spans="1:5">
      <c r="A141" t="s">
        <v>26</v>
      </c>
      <c r="B141" t="s">
        <v>256</v>
      </c>
      <c r="C141" t="s">
        <v>98</v>
      </c>
      <c r="D141">
        <v>299</v>
      </c>
      <c r="E141">
        <v>8.4</v>
      </c>
    </row>
    <row r="142" spans="1:5">
      <c r="A142" t="s">
        <v>26</v>
      </c>
      <c r="B142" t="s">
        <v>257</v>
      </c>
      <c r="C142" t="s">
        <v>100</v>
      </c>
      <c r="D142">
        <v>353</v>
      </c>
      <c r="E142">
        <v>7.8</v>
      </c>
    </row>
    <row r="143" spans="1:5">
      <c r="A143" t="s">
        <v>26</v>
      </c>
      <c r="B143" t="s">
        <v>258</v>
      </c>
      <c r="C143" t="s">
        <v>102</v>
      </c>
      <c r="D143">
        <v>302</v>
      </c>
      <c r="E143">
        <v>8.4</v>
      </c>
    </row>
    <row r="144" spans="1:5">
      <c r="A144" t="s">
        <v>26</v>
      </c>
      <c r="B144" t="s">
        <v>259</v>
      </c>
      <c r="C144" t="s">
        <v>104</v>
      </c>
      <c r="D144">
        <v>449</v>
      </c>
      <c r="E144">
        <v>6.9</v>
      </c>
    </row>
    <row r="145" spans="1:5">
      <c r="A145" t="s">
        <v>26</v>
      </c>
      <c r="B145" t="s">
        <v>260</v>
      </c>
      <c r="C145" t="s">
        <v>106</v>
      </c>
      <c r="D145">
        <v>147</v>
      </c>
      <c r="E145">
        <v>11.8</v>
      </c>
    </row>
    <row r="146" spans="1:5">
      <c r="A146" t="s">
        <v>26</v>
      </c>
      <c r="B146" t="s">
        <v>261</v>
      </c>
      <c r="C146" t="s">
        <v>108</v>
      </c>
      <c r="D146">
        <v>153</v>
      </c>
      <c r="E146">
        <v>11.6</v>
      </c>
    </row>
    <row r="147" spans="1:5">
      <c r="A147" t="s">
        <v>26</v>
      </c>
      <c r="B147" t="s">
        <v>262</v>
      </c>
      <c r="C147" t="s">
        <v>110</v>
      </c>
      <c r="D147">
        <v>166</v>
      </c>
      <c r="E147">
        <v>11.1</v>
      </c>
    </row>
    <row r="148" spans="1:5">
      <c r="A148" t="s">
        <v>26</v>
      </c>
      <c r="B148" t="s">
        <v>263</v>
      </c>
      <c r="C148" t="s">
        <v>112</v>
      </c>
      <c r="D148">
        <v>317</v>
      </c>
      <c r="E148">
        <v>8.3000000000000007</v>
      </c>
    </row>
    <row r="149" spans="1:5">
      <c r="A149" t="s">
        <v>26</v>
      </c>
      <c r="B149" t="s">
        <v>264</v>
      </c>
      <c r="C149" t="s">
        <v>114</v>
      </c>
      <c r="D149">
        <v>275</v>
      </c>
      <c r="E149">
        <v>8.8000000000000007</v>
      </c>
    </row>
    <row r="150" spans="1:5">
      <c r="A150" t="s">
        <v>26</v>
      </c>
      <c r="B150" t="s">
        <v>265</v>
      </c>
      <c r="C150" t="s">
        <v>116</v>
      </c>
      <c r="D150">
        <v>337</v>
      </c>
      <c r="E150">
        <v>8</v>
      </c>
    </row>
    <row r="151" spans="1:5">
      <c r="A151" t="s">
        <v>26</v>
      </c>
      <c r="B151" t="s">
        <v>266</v>
      </c>
      <c r="C151" t="s">
        <v>118</v>
      </c>
      <c r="D151">
        <v>313</v>
      </c>
      <c r="E151">
        <v>8.3000000000000007</v>
      </c>
    </row>
    <row r="152" spans="1:5">
      <c r="A152" t="s">
        <v>26</v>
      </c>
      <c r="B152" t="s">
        <v>267</v>
      </c>
      <c r="C152" t="s">
        <v>120</v>
      </c>
      <c r="D152">
        <v>344</v>
      </c>
      <c r="E152">
        <v>7.9</v>
      </c>
    </row>
    <row r="153" spans="1:5">
      <c r="A153" t="s">
        <v>26</v>
      </c>
      <c r="B153" t="s">
        <v>268</v>
      </c>
      <c r="C153" t="s">
        <v>122</v>
      </c>
      <c r="D153">
        <v>346</v>
      </c>
      <c r="E153">
        <v>7.9</v>
      </c>
    </row>
    <row r="154" spans="1:5">
      <c r="A154" t="s">
        <v>26</v>
      </c>
      <c r="B154" t="s">
        <v>269</v>
      </c>
      <c r="C154" t="s">
        <v>124</v>
      </c>
      <c r="D154">
        <v>368</v>
      </c>
      <c r="E154">
        <v>7.7</v>
      </c>
    </row>
    <row r="155" spans="1:5">
      <c r="A155" t="s">
        <v>26</v>
      </c>
      <c r="B155" t="s">
        <v>270</v>
      </c>
      <c r="C155" t="s">
        <v>126</v>
      </c>
      <c r="D155">
        <v>372</v>
      </c>
      <c r="E155">
        <v>7.6</v>
      </c>
    </row>
    <row r="156" spans="1:5">
      <c r="A156" t="s">
        <v>26</v>
      </c>
      <c r="B156" t="s">
        <v>271</v>
      </c>
      <c r="C156" t="s">
        <v>128</v>
      </c>
      <c r="D156">
        <v>305</v>
      </c>
      <c r="E156">
        <v>8.4</v>
      </c>
    </row>
    <row r="157" spans="1:5">
      <c r="A157" t="s">
        <v>26</v>
      </c>
      <c r="B157" t="s">
        <v>272</v>
      </c>
      <c r="C157" t="s">
        <v>130</v>
      </c>
      <c r="D157">
        <v>201</v>
      </c>
      <c r="E157">
        <v>10.3</v>
      </c>
    </row>
    <row r="158" spans="1:5">
      <c r="A158" t="s">
        <v>26</v>
      </c>
      <c r="B158" t="s">
        <v>273</v>
      </c>
      <c r="C158" t="s">
        <v>132</v>
      </c>
      <c r="D158">
        <v>156</v>
      </c>
      <c r="E158">
        <v>11.6</v>
      </c>
    </row>
    <row r="159" spans="1:5">
      <c r="A159" t="s">
        <v>26</v>
      </c>
      <c r="B159" t="s">
        <v>274</v>
      </c>
      <c r="C159" t="s">
        <v>134</v>
      </c>
      <c r="D159">
        <v>188</v>
      </c>
      <c r="E159">
        <v>10.6</v>
      </c>
    </row>
    <row r="160" spans="1:5">
      <c r="A160" t="s">
        <v>26</v>
      </c>
      <c r="B160" t="s">
        <v>275</v>
      </c>
      <c r="C160" t="s">
        <v>136</v>
      </c>
      <c r="D160">
        <v>316</v>
      </c>
      <c r="E160">
        <v>8.3000000000000007</v>
      </c>
    </row>
    <row r="161" spans="1:5">
      <c r="A161" t="s">
        <v>26</v>
      </c>
      <c r="B161" t="s">
        <v>276</v>
      </c>
      <c r="C161" t="s">
        <v>138</v>
      </c>
      <c r="D161">
        <v>384</v>
      </c>
      <c r="E161">
        <v>7.6</v>
      </c>
    </row>
    <row r="162" spans="1:5">
      <c r="A162" t="s">
        <v>26</v>
      </c>
      <c r="B162" t="s">
        <v>277</v>
      </c>
      <c r="C162" t="s">
        <v>140</v>
      </c>
      <c r="D162">
        <v>383</v>
      </c>
      <c r="E162">
        <v>7.6</v>
      </c>
    </row>
    <row r="163" spans="1:5">
      <c r="A163" t="s">
        <v>26</v>
      </c>
      <c r="B163" t="s">
        <v>278</v>
      </c>
      <c r="C163" t="s">
        <v>142</v>
      </c>
      <c r="D163">
        <v>373</v>
      </c>
      <c r="E163">
        <v>7.7</v>
      </c>
    </row>
    <row r="164" spans="1:5">
      <c r="A164" t="s">
        <v>26</v>
      </c>
      <c r="B164" t="s">
        <v>279</v>
      </c>
      <c r="C164" t="s">
        <v>144</v>
      </c>
      <c r="D164">
        <v>725</v>
      </c>
      <c r="E164">
        <v>5.7</v>
      </c>
    </row>
    <row r="165" spans="1:5">
      <c r="A165" t="s">
        <v>26</v>
      </c>
      <c r="B165" t="s">
        <v>280</v>
      </c>
      <c r="C165" t="s">
        <v>146</v>
      </c>
      <c r="D165">
        <v>327</v>
      </c>
      <c r="E165">
        <v>8.1999999999999993</v>
      </c>
    </row>
    <row r="166" spans="1:5">
      <c r="A166" t="s">
        <v>26</v>
      </c>
      <c r="B166" t="s">
        <v>281</v>
      </c>
      <c r="C166" t="s">
        <v>148</v>
      </c>
      <c r="D166">
        <v>371</v>
      </c>
      <c r="E166">
        <v>7.7</v>
      </c>
    </row>
    <row r="167" spans="1:5">
      <c r="A167" t="s">
        <v>26</v>
      </c>
      <c r="B167" t="s">
        <v>282</v>
      </c>
      <c r="C167" t="s">
        <v>150</v>
      </c>
      <c r="D167">
        <v>363</v>
      </c>
      <c r="E167">
        <v>7.8</v>
      </c>
    </row>
    <row r="168" spans="1:5">
      <c r="A168" t="s">
        <v>26</v>
      </c>
      <c r="B168" t="s">
        <v>283</v>
      </c>
      <c r="C168" t="s">
        <v>152</v>
      </c>
      <c r="D168">
        <v>335</v>
      </c>
      <c r="E168">
        <v>8.1</v>
      </c>
    </row>
    <row r="169" spans="1:5">
      <c r="A169" t="s">
        <v>26</v>
      </c>
      <c r="B169" t="s">
        <v>284</v>
      </c>
      <c r="C169" t="s">
        <v>154</v>
      </c>
      <c r="D169">
        <v>135</v>
      </c>
      <c r="E169">
        <v>12.5</v>
      </c>
    </row>
    <row r="170" spans="1:5">
      <c r="A170" t="s">
        <v>26</v>
      </c>
      <c r="B170" t="s">
        <v>285</v>
      </c>
      <c r="C170" t="s">
        <v>156</v>
      </c>
      <c r="D170">
        <v>159</v>
      </c>
      <c r="E170">
        <v>11.5</v>
      </c>
    </row>
    <row r="171" spans="1:5">
      <c r="A171" t="s">
        <v>26</v>
      </c>
      <c r="B171" t="s">
        <v>286</v>
      </c>
      <c r="C171" t="s">
        <v>158</v>
      </c>
      <c r="D171">
        <v>205</v>
      </c>
      <c r="E171">
        <v>10.199999999999999</v>
      </c>
    </row>
    <row r="172" spans="1:5">
      <c r="A172" t="s">
        <v>26</v>
      </c>
      <c r="B172" t="s">
        <v>287</v>
      </c>
      <c r="C172" t="s">
        <v>160</v>
      </c>
      <c r="D172">
        <v>289</v>
      </c>
      <c r="E172">
        <v>8.6999999999999993</v>
      </c>
    </row>
    <row r="173" spans="1:5">
      <c r="A173" t="s">
        <v>26</v>
      </c>
      <c r="B173" t="s">
        <v>288</v>
      </c>
      <c r="C173" t="s">
        <v>162</v>
      </c>
      <c r="D173">
        <v>308</v>
      </c>
      <c r="E173">
        <v>8.4</v>
      </c>
    </row>
    <row r="174" spans="1:5">
      <c r="A174" t="s">
        <v>26</v>
      </c>
      <c r="B174" t="s">
        <v>289</v>
      </c>
      <c r="C174" t="s">
        <v>164</v>
      </c>
      <c r="D174">
        <v>390</v>
      </c>
      <c r="E174">
        <v>7.5</v>
      </c>
    </row>
    <row r="175" spans="1:5">
      <c r="A175" t="s">
        <v>26</v>
      </c>
      <c r="B175" t="s">
        <v>290</v>
      </c>
      <c r="C175" t="s">
        <v>166</v>
      </c>
      <c r="D175">
        <v>410</v>
      </c>
      <c r="E175">
        <v>7.4</v>
      </c>
    </row>
    <row r="176" spans="1:5">
      <c r="A176" t="s">
        <v>26</v>
      </c>
      <c r="B176" t="s">
        <v>291</v>
      </c>
      <c r="C176" t="s">
        <v>168</v>
      </c>
      <c r="D176">
        <v>416</v>
      </c>
      <c r="E176">
        <v>7.3</v>
      </c>
    </row>
    <row r="177" spans="1:5">
      <c r="A177" t="s">
        <v>26</v>
      </c>
      <c r="B177" t="s">
        <v>292</v>
      </c>
      <c r="C177" t="s">
        <v>170</v>
      </c>
      <c r="D177">
        <v>366</v>
      </c>
      <c r="E177">
        <v>7.8</v>
      </c>
    </row>
    <row r="178" spans="1:5">
      <c r="A178" t="s">
        <v>26</v>
      </c>
      <c r="B178" t="s">
        <v>293</v>
      </c>
      <c r="C178" t="s">
        <v>172</v>
      </c>
      <c r="D178">
        <v>380</v>
      </c>
      <c r="E178">
        <v>7.7</v>
      </c>
    </row>
    <row r="179" spans="1:5">
      <c r="A179" t="s">
        <v>26</v>
      </c>
      <c r="B179" t="s">
        <v>294</v>
      </c>
      <c r="C179" t="s">
        <v>174</v>
      </c>
      <c r="D179">
        <v>369</v>
      </c>
      <c r="E179">
        <v>7.8</v>
      </c>
    </row>
    <row r="180" spans="1:5">
      <c r="A180" t="s">
        <v>26</v>
      </c>
      <c r="B180" t="s">
        <v>295</v>
      </c>
      <c r="C180" t="s">
        <v>176</v>
      </c>
      <c r="D180">
        <v>387</v>
      </c>
      <c r="E180">
        <v>7.5</v>
      </c>
    </row>
    <row r="181" spans="1:5">
      <c r="A181" t="s">
        <v>26</v>
      </c>
      <c r="B181" t="s">
        <v>296</v>
      </c>
      <c r="C181" t="s">
        <v>178</v>
      </c>
      <c r="D181">
        <v>144</v>
      </c>
      <c r="E181">
        <v>12.1</v>
      </c>
    </row>
    <row r="182" spans="1:5">
      <c r="A182" t="s">
        <v>26</v>
      </c>
      <c r="B182" t="s">
        <v>297</v>
      </c>
      <c r="C182" t="s">
        <v>180</v>
      </c>
      <c r="D182">
        <v>165</v>
      </c>
      <c r="E182">
        <v>11.3</v>
      </c>
    </row>
    <row r="183" spans="1:5">
      <c r="A183" t="s">
        <v>26</v>
      </c>
      <c r="B183" t="s">
        <v>298</v>
      </c>
      <c r="C183" t="s">
        <v>182</v>
      </c>
      <c r="D183">
        <v>204</v>
      </c>
      <c r="E183">
        <v>10.199999999999999</v>
      </c>
    </row>
    <row r="184" spans="1:5">
      <c r="A184" t="s">
        <v>26</v>
      </c>
      <c r="B184" t="s">
        <v>299</v>
      </c>
      <c r="C184" t="s">
        <v>184</v>
      </c>
      <c r="D184">
        <v>288</v>
      </c>
      <c r="E184">
        <v>8.6999999999999993</v>
      </c>
    </row>
    <row r="185" spans="1:5">
      <c r="A185" t="s">
        <v>26</v>
      </c>
      <c r="B185" t="s">
        <v>300</v>
      </c>
      <c r="C185" t="s">
        <v>186</v>
      </c>
      <c r="D185">
        <v>366</v>
      </c>
      <c r="E185">
        <v>7.8</v>
      </c>
    </row>
    <row r="186" spans="1:5">
      <c r="A186" t="s">
        <v>26</v>
      </c>
      <c r="B186" t="s">
        <v>301</v>
      </c>
      <c r="C186" t="s">
        <v>188</v>
      </c>
      <c r="D186">
        <v>369</v>
      </c>
      <c r="E186">
        <v>7.7</v>
      </c>
    </row>
    <row r="187" spans="1:5">
      <c r="A187" t="s">
        <v>26</v>
      </c>
      <c r="B187" t="s">
        <v>302</v>
      </c>
      <c r="C187" t="s">
        <v>190</v>
      </c>
      <c r="D187">
        <v>445</v>
      </c>
      <c r="E187">
        <v>7.1</v>
      </c>
    </row>
    <row r="188" spans="1:5">
      <c r="A188" t="s">
        <v>26</v>
      </c>
      <c r="B188" t="s">
        <v>303</v>
      </c>
      <c r="C188" t="s">
        <v>192</v>
      </c>
      <c r="D188">
        <v>385</v>
      </c>
      <c r="E188">
        <v>7.6</v>
      </c>
    </row>
    <row r="189" spans="1:5">
      <c r="A189" t="s">
        <v>26</v>
      </c>
      <c r="B189" t="s">
        <v>304</v>
      </c>
      <c r="C189" t="s">
        <v>194</v>
      </c>
      <c r="D189">
        <v>363</v>
      </c>
      <c r="E189">
        <v>7.8</v>
      </c>
    </row>
    <row r="190" spans="1:5">
      <c r="A190" t="s">
        <v>26</v>
      </c>
      <c r="B190" t="s">
        <v>305</v>
      </c>
      <c r="C190" t="s">
        <v>196</v>
      </c>
      <c r="D190">
        <v>327</v>
      </c>
      <c r="E190">
        <v>8.1999999999999993</v>
      </c>
    </row>
    <row r="191" spans="1:5">
      <c r="A191" t="s">
        <v>26</v>
      </c>
      <c r="B191" t="s">
        <v>306</v>
      </c>
      <c r="C191" t="s">
        <v>198</v>
      </c>
      <c r="D191">
        <v>388</v>
      </c>
      <c r="E191">
        <v>7.6</v>
      </c>
    </row>
    <row r="192" spans="1:5">
      <c r="A192" t="s">
        <v>26</v>
      </c>
      <c r="B192" t="s">
        <v>307</v>
      </c>
      <c r="C192" t="s">
        <v>200</v>
      </c>
      <c r="D192">
        <v>281</v>
      </c>
      <c r="E192">
        <v>8.8000000000000007</v>
      </c>
    </row>
    <row r="193" spans="1:5">
      <c r="A193" t="s">
        <v>26</v>
      </c>
      <c r="B193" t="s">
        <v>308</v>
      </c>
      <c r="C193" t="s">
        <v>202</v>
      </c>
      <c r="D193">
        <v>208</v>
      </c>
      <c r="E193">
        <v>10.1</v>
      </c>
    </row>
    <row r="194" spans="1:5">
      <c r="A194" t="s">
        <v>26</v>
      </c>
      <c r="B194" t="s">
        <v>309</v>
      </c>
      <c r="C194" t="s">
        <v>204</v>
      </c>
      <c r="D194">
        <v>166</v>
      </c>
      <c r="E194">
        <v>11.3</v>
      </c>
    </row>
    <row r="195" spans="1:5">
      <c r="A195" t="s">
        <v>26</v>
      </c>
      <c r="B195" t="s">
        <v>310</v>
      </c>
      <c r="C195" t="s">
        <v>206</v>
      </c>
      <c r="D195">
        <v>264</v>
      </c>
      <c r="E195">
        <v>9</v>
      </c>
    </row>
    <row r="196" spans="1:5">
      <c r="A196" t="s">
        <v>26</v>
      </c>
      <c r="B196" t="s">
        <v>311</v>
      </c>
      <c r="C196" t="s">
        <v>208</v>
      </c>
      <c r="D196">
        <v>299</v>
      </c>
      <c r="E196">
        <v>8.5</v>
      </c>
    </row>
    <row r="197" spans="1:5">
      <c r="A197" t="s">
        <v>26</v>
      </c>
      <c r="B197" t="s">
        <v>312</v>
      </c>
      <c r="C197" t="s">
        <v>210</v>
      </c>
      <c r="D197">
        <v>467</v>
      </c>
      <c r="E197">
        <v>6.9</v>
      </c>
    </row>
    <row r="198" spans="1:5">
      <c r="A198" t="s">
        <v>26</v>
      </c>
      <c r="B198" t="s">
        <v>313</v>
      </c>
      <c r="C198" t="s">
        <v>212</v>
      </c>
      <c r="D198">
        <v>413</v>
      </c>
      <c r="E198">
        <v>7.3</v>
      </c>
    </row>
    <row r="199" spans="1:5">
      <c r="A199" t="s">
        <v>26</v>
      </c>
      <c r="B199" t="s">
        <v>314</v>
      </c>
      <c r="C199" t="s">
        <v>214</v>
      </c>
      <c r="D199">
        <v>548</v>
      </c>
      <c r="E199">
        <v>6.4</v>
      </c>
    </row>
    <row r="200" spans="1:5">
      <c r="A200" t="s">
        <v>26</v>
      </c>
      <c r="B200" t="s">
        <v>315</v>
      </c>
      <c r="C200" t="s">
        <v>216</v>
      </c>
      <c r="D200">
        <v>493</v>
      </c>
      <c r="E200">
        <v>6.8</v>
      </c>
    </row>
    <row r="201" spans="1:5">
      <c r="A201" t="s">
        <v>26</v>
      </c>
      <c r="B201" t="s">
        <v>316</v>
      </c>
      <c r="C201" t="s">
        <v>218</v>
      </c>
      <c r="D201">
        <v>474</v>
      </c>
      <c r="E201">
        <v>6.9</v>
      </c>
    </row>
    <row r="202" spans="1:5">
      <c r="A202" t="s">
        <v>26</v>
      </c>
      <c r="B202" t="s">
        <v>317</v>
      </c>
      <c r="C202" t="s">
        <v>220</v>
      </c>
      <c r="D202">
        <v>377</v>
      </c>
      <c r="E202">
        <v>7.7</v>
      </c>
    </row>
    <row r="203" spans="1:5">
      <c r="A203" t="s">
        <v>26</v>
      </c>
      <c r="B203" t="s">
        <v>318</v>
      </c>
      <c r="C203" t="s">
        <v>222</v>
      </c>
      <c r="D203">
        <v>404</v>
      </c>
      <c r="E203">
        <v>7.4</v>
      </c>
    </row>
    <row r="204" spans="1:5">
      <c r="A204" t="s">
        <v>26</v>
      </c>
      <c r="B204" t="s">
        <v>319</v>
      </c>
      <c r="C204" t="s">
        <v>32</v>
      </c>
      <c r="D204">
        <v>258</v>
      </c>
      <c r="E204">
        <v>9</v>
      </c>
    </row>
    <row r="205" spans="1:5">
      <c r="A205" t="s">
        <v>26</v>
      </c>
      <c r="B205" t="s">
        <v>320</v>
      </c>
      <c r="C205" t="s">
        <v>34</v>
      </c>
      <c r="D205">
        <v>130</v>
      </c>
      <c r="E205">
        <v>12.5</v>
      </c>
    </row>
    <row r="206" spans="1:5">
      <c r="A206" t="s">
        <v>26</v>
      </c>
      <c r="B206" t="s">
        <v>321</v>
      </c>
      <c r="C206" t="s">
        <v>36</v>
      </c>
      <c r="D206">
        <v>124</v>
      </c>
      <c r="E206">
        <v>12.8</v>
      </c>
    </row>
    <row r="207" spans="1:5">
      <c r="A207" t="s">
        <v>26</v>
      </c>
      <c r="B207" t="s">
        <v>322</v>
      </c>
      <c r="C207" t="s">
        <v>38</v>
      </c>
      <c r="D207">
        <v>159</v>
      </c>
      <c r="E207">
        <v>11.4</v>
      </c>
    </row>
    <row r="208" spans="1:5">
      <c r="A208" t="s">
        <v>26</v>
      </c>
      <c r="B208" t="s">
        <v>323</v>
      </c>
      <c r="C208" t="s">
        <v>40</v>
      </c>
      <c r="D208">
        <v>228</v>
      </c>
      <c r="E208">
        <v>9.6999999999999993</v>
      </c>
    </row>
    <row r="209" spans="1:5">
      <c r="A209" t="s">
        <v>26</v>
      </c>
      <c r="B209" t="s">
        <v>324</v>
      </c>
      <c r="C209" t="s">
        <v>42</v>
      </c>
      <c r="D209">
        <v>214</v>
      </c>
      <c r="E209">
        <v>10</v>
      </c>
    </row>
    <row r="210" spans="1:5">
      <c r="A210" t="s">
        <v>26</v>
      </c>
      <c r="B210" t="s">
        <v>325</v>
      </c>
      <c r="C210" t="s">
        <v>44</v>
      </c>
      <c r="D210">
        <v>308</v>
      </c>
      <c r="E210">
        <v>8.4</v>
      </c>
    </row>
    <row r="211" spans="1:5">
      <c r="A211" t="s">
        <v>26</v>
      </c>
      <c r="B211" t="s">
        <v>326</v>
      </c>
      <c r="C211" t="s">
        <v>46</v>
      </c>
      <c r="D211">
        <v>348</v>
      </c>
      <c r="E211">
        <v>7.9</v>
      </c>
    </row>
    <row r="212" spans="1:5">
      <c r="A212" t="s">
        <v>26</v>
      </c>
      <c r="B212" t="s">
        <v>327</v>
      </c>
      <c r="C212" t="s">
        <v>48</v>
      </c>
      <c r="D212">
        <v>282</v>
      </c>
      <c r="E212">
        <v>8.6999999999999993</v>
      </c>
    </row>
    <row r="213" spans="1:5">
      <c r="A213" t="s">
        <v>26</v>
      </c>
      <c r="B213" t="s">
        <v>328</v>
      </c>
      <c r="C213" t="s">
        <v>50</v>
      </c>
      <c r="D213">
        <v>301</v>
      </c>
      <c r="E213">
        <v>8.4</v>
      </c>
    </row>
    <row r="214" spans="1:5">
      <c r="A214" t="s">
        <v>26</v>
      </c>
      <c r="B214" t="s">
        <v>329</v>
      </c>
      <c r="C214" t="s">
        <v>52</v>
      </c>
      <c r="D214">
        <v>264</v>
      </c>
      <c r="E214">
        <v>9</v>
      </c>
    </row>
    <row r="215" spans="1:5">
      <c r="A215" t="s">
        <v>26</v>
      </c>
      <c r="B215" t="s">
        <v>330</v>
      </c>
      <c r="C215" t="s">
        <v>54</v>
      </c>
      <c r="D215">
        <v>284</v>
      </c>
      <c r="E215">
        <v>8.6</v>
      </c>
    </row>
    <row r="216" spans="1:5">
      <c r="A216" t="s">
        <v>26</v>
      </c>
      <c r="B216" t="s">
        <v>331</v>
      </c>
      <c r="C216" t="s">
        <v>56</v>
      </c>
      <c r="D216">
        <v>384</v>
      </c>
      <c r="E216">
        <v>7.5</v>
      </c>
    </row>
    <row r="217" spans="1:5">
      <c r="A217" t="s">
        <v>26</v>
      </c>
      <c r="B217" t="s">
        <v>332</v>
      </c>
      <c r="C217" t="s">
        <v>58</v>
      </c>
      <c r="D217">
        <v>163</v>
      </c>
      <c r="E217">
        <v>11.3</v>
      </c>
    </row>
    <row r="218" spans="1:5">
      <c r="A218" t="s">
        <v>26</v>
      </c>
      <c r="B218" t="s">
        <v>333</v>
      </c>
      <c r="C218" t="s">
        <v>60</v>
      </c>
      <c r="D218">
        <v>113</v>
      </c>
      <c r="E218">
        <v>13.4</v>
      </c>
    </row>
    <row r="219" spans="1:5">
      <c r="A219" t="s">
        <v>26</v>
      </c>
      <c r="B219" t="s">
        <v>334</v>
      </c>
      <c r="C219" t="s">
        <v>62</v>
      </c>
      <c r="D219">
        <v>149</v>
      </c>
      <c r="E219">
        <v>11.7</v>
      </c>
    </row>
    <row r="220" spans="1:5">
      <c r="A220" t="s">
        <v>26</v>
      </c>
      <c r="B220" t="s">
        <v>335</v>
      </c>
      <c r="C220" t="s">
        <v>64</v>
      </c>
      <c r="D220">
        <v>220</v>
      </c>
      <c r="E220">
        <v>9.8000000000000007</v>
      </c>
    </row>
    <row r="221" spans="1:5">
      <c r="A221" t="s">
        <v>26</v>
      </c>
      <c r="B221" t="s">
        <v>336</v>
      </c>
      <c r="C221" t="s">
        <v>66</v>
      </c>
      <c r="D221">
        <v>282</v>
      </c>
      <c r="E221">
        <v>8.6999999999999993</v>
      </c>
    </row>
    <row r="222" spans="1:5">
      <c r="A222" t="s">
        <v>26</v>
      </c>
      <c r="B222" t="s">
        <v>337</v>
      </c>
      <c r="C222" t="s">
        <v>68</v>
      </c>
      <c r="D222">
        <v>313</v>
      </c>
      <c r="E222">
        <v>8.3000000000000007</v>
      </c>
    </row>
    <row r="223" spans="1:5">
      <c r="A223" t="s">
        <v>26</v>
      </c>
      <c r="B223" t="s">
        <v>338</v>
      </c>
      <c r="C223" t="s">
        <v>70</v>
      </c>
      <c r="D223">
        <v>316</v>
      </c>
      <c r="E223">
        <v>8.3000000000000007</v>
      </c>
    </row>
    <row r="224" spans="1:5">
      <c r="A224" t="s">
        <v>26</v>
      </c>
      <c r="B224" t="s">
        <v>339</v>
      </c>
      <c r="C224" t="s">
        <v>72</v>
      </c>
      <c r="D224">
        <v>282</v>
      </c>
      <c r="E224">
        <v>8.6999999999999993</v>
      </c>
    </row>
    <row r="225" spans="1:5">
      <c r="A225" t="s">
        <v>26</v>
      </c>
      <c r="B225" t="s">
        <v>340</v>
      </c>
      <c r="C225" t="s">
        <v>74</v>
      </c>
      <c r="D225">
        <v>292</v>
      </c>
      <c r="E225">
        <v>8.5</v>
      </c>
    </row>
    <row r="226" spans="1:5">
      <c r="A226" t="s">
        <v>26</v>
      </c>
      <c r="B226" t="s">
        <v>341</v>
      </c>
      <c r="C226" t="s">
        <v>76</v>
      </c>
      <c r="D226">
        <v>310</v>
      </c>
      <c r="E226">
        <v>8.3000000000000007</v>
      </c>
    </row>
    <row r="227" spans="1:5">
      <c r="A227" t="s">
        <v>26</v>
      </c>
      <c r="B227" t="s">
        <v>342</v>
      </c>
      <c r="C227" t="s">
        <v>78</v>
      </c>
      <c r="D227">
        <v>302</v>
      </c>
      <c r="E227">
        <v>8.4</v>
      </c>
    </row>
    <row r="228" spans="1:5">
      <c r="A228" t="s">
        <v>26</v>
      </c>
      <c r="B228" t="s">
        <v>343</v>
      </c>
      <c r="C228" t="s">
        <v>80</v>
      </c>
      <c r="D228">
        <v>262</v>
      </c>
      <c r="E228">
        <v>8.9</v>
      </c>
    </row>
    <row r="229" spans="1:5">
      <c r="A229" t="s">
        <v>26</v>
      </c>
      <c r="B229" t="s">
        <v>344</v>
      </c>
      <c r="C229" t="s">
        <v>82</v>
      </c>
      <c r="D229">
        <v>133</v>
      </c>
      <c r="E229">
        <v>12.4</v>
      </c>
    </row>
    <row r="230" spans="1:5">
      <c r="A230" t="s">
        <v>26</v>
      </c>
      <c r="B230" t="s">
        <v>345</v>
      </c>
      <c r="C230" t="s">
        <v>84</v>
      </c>
      <c r="D230">
        <v>233</v>
      </c>
      <c r="E230">
        <v>9.5</v>
      </c>
    </row>
    <row r="231" spans="1:5">
      <c r="A231" t="s">
        <v>26</v>
      </c>
      <c r="B231" t="s">
        <v>346</v>
      </c>
      <c r="C231" t="s">
        <v>86</v>
      </c>
      <c r="D231">
        <v>201</v>
      </c>
      <c r="E231">
        <v>10.199999999999999</v>
      </c>
    </row>
    <row r="232" spans="1:5">
      <c r="A232" t="s">
        <v>26</v>
      </c>
      <c r="B232" t="s">
        <v>347</v>
      </c>
      <c r="C232" t="s">
        <v>88</v>
      </c>
      <c r="D232">
        <v>262</v>
      </c>
      <c r="E232">
        <v>9</v>
      </c>
    </row>
    <row r="233" spans="1:5">
      <c r="A233" t="s">
        <v>26</v>
      </c>
      <c r="B233" t="s">
        <v>348</v>
      </c>
      <c r="C233" t="s">
        <v>90</v>
      </c>
      <c r="D233">
        <v>273</v>
      </c>
      <c r="E233">
        <v>8.9</v>
      </c>
    </row>
    <row r="234" spans="1:5">
      <c r="A234" t="s">
        <v>26</v>
      </c>
      <c r="B234" t="s">
        <v>349</v>
      </c>
      <c r="C234" t="s">
        <v>92</v>
      </c>
      <c r="D234">
        <v>324</v>
      </c>
      <c r="E234">
        <v>8.1999999999999993</v>
      </c>
    </row>
    <row r="235" spans="1:5">
      <c r="A235" t="s">
        <v>26</v>
      </c>
      <c r="B235" t="s">
        <v>350</v>
      </c>
      <c r="C235" t="s">
        <v>94</v>
      </c>
      <c r="D235">
        <v>405</v>
      </c>
      <c r="E235">
        <v>7.4</v>
      </c>
    </row>
    <row r="236" spans="1:5">
      <c r="A236" t="s">
        <v>26</v>
      </c>
      <c r="B236" t="s">
        <v>351</v>
      </c>
      <c r="C236" t="s">
        <v>96</v>
      </c>
      <c r="D236">
        <v>330</v>
      </c>
      <c r="E236">
        <v>8.1</v>
      </c>
    </row>
    <row r="237" spans="1:5">
      <c r="A237" t="s">
        <v>26</v>
      </c>
      <c r="B237" t="s">
        <v>352</v>
      </c>
      <c r="C237" t="s">
        <v>98</v>
      </c>
      <c r="D237">
        <v>279</v>
      </c>
      <c r="E237">
        <v>8.6999999999999993</v>
      </c>
    </row>
    <row r="238" spans="1:5">
      <c r="A238" t="s">
        <v>26</v>
      </c>
      <c r="B238" t="s">
        <v>353</v>
      </c>
      <c r="C238" t="s">
        <v>100</v>
      </c>
      <c r="D238">
        <v>276</v>
      </c>
      <c r="E238">
        <v>8.8000000000000007</v>
      </c>
    </row>
    <row r="239" spans="1:5">
      <c r="A239" t="s">
        <v>26</v>
      </c>
      <c r="B239" t="s">
        <v>354</v>
      </c>
      <c r="C239" t="s">
        <v>102</v>
      </c>
      <c r="D239">
        <v>276</v>
      </c>
      <c r="E239">
        <v>8.8000000000000007</v>
      </c>
    </row>
    <row r="240" spans="1:5">
      <c r="A240" t="s">
        <v>26</v>
      </c>
      <c r="B240" t="s">
        <v>355</v>
      </c>
      <c r="C240" t="s">
        <v>104</v>
      </c>
      <c r="D240">
        <v>447</v>
      </c>
      <c r="E240">
        <v>7</v>
      </c>
    </row>
    <row r="241" spans="1:5">
      <c r="A241" t="s">
        <v>26</v>
      </c>
      <c r="B241" t="s">
        <v>356</v>
      </c>
      <c r="C241" t="s">
        <v>106</v>
      </c>
      <c r="D241">
        <v>109</v>
      </c>
      <c r="E241">
        <v>13.7</v>
      </c>
    </row>
    <row r="242" spans="1:5">
      <c r="A242" t="s">
        <v>26</v>
      </c>
      <c r="B242" t="s">
        <v>357</v>
      </c>
      <c r="C242" t="s">
        <v>108</v>
      </c>
      <c r="D242">
        <v>138</v>
      </c>
      <c r="E242">
        <v>12.2</v>
      </c>
    </row>
    <row r="243" spans="1:5">
      <c r="A243" t="s">
        <v>26</v>
      </c>
      <c r="B243" t="s">
        <v>358</v>
      </c>
      <c r="C243" t="s">
        <v>110</v>
      </c>
      <c r="D243">
        <v>182</v>
      </c>
      <c r="E243">
        <v>10.7</v>
      </c>
    </row>
    <row r="244" spans="1:5">
      <c r="A244" t="s">
        <v>26</v>
      </c>
      <c r="B244" t="s">
        <v>359</v>
      </c>
      <c r="C244" t="s">
        <v>112</v>
      </c>
      <c r="D244">
        <v>292</v>
      </c>
      <c r="E244">
        <v>8.6</v>
      </c>
    </row>
    <row r="245" spans="1:5">
      <c r="A245" t="s">
        <v>26</v>
      </c>
      <c r="B245" t="s">
        <v>360</v>
      </c>
      <c r="C245" t="s">
        <v>114</v>
      </c>
      <c r="D245">
        <v>262</v>
      </c>
      <c r="E245">
        <v>9</v>
      </c>
    </row>
    <row r="246" spans="1:5">
      <c r="A246" t="s">
        <v>26</v>
      </c>
      <c r="B246" t="s">
        <v>361</v>
      </c>
      <c r="C246" t="s">
        <v>116</v>
      </c>
      <c r="D246">
        <v>379</v>
      </c>
      <c r="E246">
        <v>7.6</v>
      </c>
    </row>
    <row r="247" spans="1:5">
      <c r="A247" t="s">
        <v>26</v>
      </c>
      <c r="B247" t="s">
        <v>362</v>
      </c>
      <c r="C247" t="s">
        <v>118</v>
      </c>
      <c r="D247">
        <v>354</v>
      </c>
      <c r="E247">
        <v>7.8</v>
      </c>
    </row>
    <row r="248" spans="1:5">
      <c r="A248" t="s">
        <v>26</v>
      </c>
      <c r="B248" t="s">
        <v>363</v>
      </c>
      <c r="C248" t="s">
        <v>120</v>
      </c>
      <c r="D248">
        <v>342</v>
      </c>
      <c r="E248">
        <v>7.9</v>
      </c>
    </row>
    <row r="249" spans="1:5">
      <c r="A249" t="s">
        <v>26</v>
      </c>
      <c r="B249" t="s">
        <v>364</v>
      </c>
      <c r="C249" t="s">
        <v>122</v>
      </c>
      <c r="D249">
        <v>355</v>
      </c>
      <c r="E249">
        <v>7.8</v>
      </c>
    </row>
    <row r="250" spans="1:5">
      <c r="A250" t="s">
        <v>26</v>
      </c>
      <c r="B250" t="s">
        <v>365</v>
      </c>
      <c r="C250" t="s">
        <v>124</v>
      </c>
      <c r="D250">
        <v>286</v>
      </c>
      <c r="E250">
        <v>8.6</v>
      </c>
    </row>
    <row r="251" spans="1:5">
      <c r="A251" t="s">
        <v>26</v>
      </c>
      <c r="B251" t="s">
        <v>366</v>
      </c>
      <c r="C251" t="s">
        <v>126</v>
      </c>
      <c r="D251">
        <v>290</v>
      </c>
      <c r="E251">
        <v>8.6</v>
      </c>
    </row>
    <row r="252" spans="1:5">
      <c r="A252" t="s">
        <v>26</v>
      </c>
      <c r="B252" t="s">
        <v>367</v>
      </c>
      <c r="C252" t="s">
        <v>128</v>
      </c>
      <c r="D252">
        <v>393</v>
      </c>
      <c r="E252">
        <v>7.5</v>
      </c>
    </row>
    <row r="253" spans="1:5">
      <c r="A253" t="s">
        <v>26</v>
      </c>
      <c r="B253" t="s">
        <v>368</v>
      </c>
      <c r="C253" t="s">
        <v>130</v>
      </c>
      <c r="D253">
        <v>167</v>
      </c>
      <c r="E253">
        <v>11.3</v>
      </c>
    </row>
    <row r="254" spans="1:5">
      <c r="A254" t="s">
        <v>26</v>
      </c>
      <c r="B254" t="s">
        <v>369</v>
      </c>
      <c r="C254" t="s">
        <v>132</v>
      </c>
      <c r="D254">
        <v>145</v>
      </c>
      <c r="E254">
        <v>12.1</v>
      </c>
    </row>
    <row r="255" spans="1:5">
      <c r="A255" t="s">
        <v>26</v>
      </c>
      <c r="B255" t="s">
        <v>370</v>
      </c>
      <c r="C255" t="s">
        <v>134</v>
      </c>
      <c r="D255">
        <v>200</v>
      </c>
      <c r="E255">
        <v>10.3</v>
      </c>
    </row>
    <row r="256" spans="1:5">
      <c r="A256" t="s">
        <v>26</v>
      </c>
      <c r="B256" t="s">
        <v>371</v>
      </c>
      <c r="C256" t="s">
        <v>136</v>
      </c>
      <c r="D256">
        <v>411</v>
      </c>
      <c r="E256">
        <v>7.4</v>
      </c>
    </row>
    <row r="257" spans="1:5">
      <c r="A257" t="s">
        <v>26</v>
      </c>
      <c r="B257" t="s">
        <v>372</v>
      </c>
      <c r="C257" t="s">
        <v>138</v>
      </c>
      <c r="D257">
        <v>305</v>
      </c>
      <c r="E257">
        <v>8.5</v>
      </c>
    </row>
    <row r="258" spans="1:5">
      <c r="A258" t="s">
        <v>26</v>
      </c>
      <c r="B258" t="s">
        <v>373</v>
      </c>
      <c r="C258" t="s">
        <v>140</v>
      </c>
      <c r="D258">
        <v>371</v>
      </c>
      <c r="E258">
        <v>7.7</v>
      </c>
    </row>
    <row r="259" spans="1:5">
      <c r="A259" t="s">
        <v>26</v>
      </c>
      <c r="B259" t="s">
        <v>374</v>
      </c>
      <c r="C259" t="s">
        <v>142</v>
      </c>
      <c r="D259">
        <v>412</v>
      </c>
      <c r="E259">
        <v>7.3</v>
      </c>
    </row>
    <row r="260" spans="1:5">
      <c r="A260" t="s">
        <v>26</v>
      </c>
      <c r="B260" t="s">
        <v>375</v>
      </c>
      <c r="C260" t="s">
        <v>144</v>
      </c>
      <c r="D260">
        <v>283</v>
      </c>
      <c r="E260">
        <v>8.8000000000000007</v>
      </c>
    </row>
    <row r="261" spans="1:5">
      <c r="A261" t="s">
        <v>26</v>
      </c>
      <c r="B261" t="s">
        <v>376</v>
      </c>
      <c r="C261" t="s">
        <v>146</v>
      </c>
      <c r="D261">
        <v>340</v>
      </c>
      <c r="E261">
        <v>8.1</v>
      </c>
    </row>
    <row r="262" spans="1:5">
      <c r="A262" t="s">
        <v>26</v>
      </c>
      <c r="B262" t="s">
        <v>377</v>
      </c>
      <c r="C262" t="s">
        <v>148</v>
      </c>
      <c r="D262">
        <v>338</v>
      </c>
      <c r="E262">
        <v>8.1</v>
      </c>
    </row>
    <row r="263" spans="1:5">
      <c r="A263" t="s">
        <v>26</v>
      </c>
      <c r="B263" t="s">
        <v>378</v>
      </c>
      <c r="C263" t="s">
        <v>150</v>
      </c>
      <c r="D263">
        <v>321</v>
      </c>
      <c r="E263">
        <v>8.3000000000000007</v>
      </c>
    </row>
    <row r="264" spans="1:5">
      <c r="A264" t="s">
        <v>26</v>
      </c>
      <c r="B264" t="s">
        <v>379</v>
      </c>
      <c r="C264" t="s">
        <v>152</v>
      </c>
      <c r="D264">
        <v>298</v>
      </c>
      <c r="E264">
        <v>8.5</v>
      </c>
    </row>
    <row r="265" spans="1:5">
      <c r="A265" t="s">
        <v>26</v>
      </c>
      <c r="B265" t="s">
        <v>380</v>
      </c>
      <c r="C265" t="s">
        <v>154</v>
      </c>
      <c r="D265">
        <v>111</v>
      </c>
      <c r="E265">
        <v>13.7</v>
      </c>
    </row>
    <row r="266" spans="1:5">
      <c r="A266" t="s">
        <v>26</v>
      </c>
      <c r="B266" t="s">
        <v>381</v>
      </c>
      <c r="C266" t="s">
        <v>156</v>
      </c>
      <c r="D266">
        <v>180</v>
      </c>
      <c r="E266">
        <v>10.8</v>
      </c>
    </row>
    <row r="267" spans="1:5">
      <c r="A267" t="s">
        <v>26</v>
      </c>
      <c r="B267" t="s">
        <v>382</v>
      </c>
      <c r="C267" t="s">
        <v>158</v>
      </c>
      <c r="D267">
        <v>170</v>
      </c>
      <c r="E267">
        <v>11.2</v>
      </c>
    </row>
    <row r="268" spans="1:5">
      <c r="A268" t="s">
        <v>26</v>
      </c>
      <c r="B268" t="s">
        <v>383</v>
      </c>
      <c r="C268" t="s">
        <v>160</v>
      </c>
      <c r="D268">
        <v>356</v>
      </c>
      <c r="E268">
        <v>7.9</v>
      </c>
    </row>
    <row r="269" spans="1:5">
      <c r="A269" t="s">
        <v>26</v>
      </c>
      <c r="B269" t="s">
        <v>384</v>
      </c>
      <c r="C269" t="s">
        <v>162</v>
      </c>
      <c r="D269">
        <v>251</v>
      </c>
      <c r="E269">
        <v>9.3000000000000007</v>
      </c>
    </row>
    <row r="270" spans="1:5">
      <c r="A270" t="s">
        <v>26</v>
      </c>
      <c r="B270" t="s">
        <v>385</v>
      </c>
      <c r="C270" t="s">
        <v>164</v>
      </c>
      <c r="D270">
        <v>375</v>
      </c>
      <c r="E270">
        <v>7.7</v>
      </c>
    </row>
    <row r="271" spans="1:5">
      <c r="A271" t="s">
        <v>26</v>
      </c>
      <c r="B271" t="s">
        <v>386</v>
      </c>
      <c r="C271" t="s">
        <v>166</v>
      </c>
      <c r="D271">
        <v>375</v>
      </c>
      <c r="E271">
        <v>7.7</v>
      </c>
    </row>
    <row r="272" spans="1:5">
      <c r="A272" t="s">
        <v>26</v>
      </c>
      <c r="B272" t="s">
        <v>387</v>
      </c>
      <c r="C272" t="s">
        <v>168</v>
      </c>
      <c r="D272">
        <v>343</v>
      </c>
      <c r="E272">
        <v>8</v>
      </c>
    </row>
    <row r="273" spans="1:5">
      <c r="A273" t="s">
        <v>26</v>
      </c>
      <c r="B273" t="s">
        <v>388</v>
      </c>
      <c r="C273" t="s">
        <v>170</v>
      </c>
      <c r="D273">
        <v>237</v>
      </c>
      <c r="E273">
        <v>9.6</v>
      </c>
    </row>
    <row r="274" spans="1:5">
      <c r="A274" t="s">
        <v>26</v>
      </c>
      <c r="B274" t="s">
        <v>389</v>
      </c>
      <c r="C274" t="s">
        <v>172</v>
      </c>
      <c r="D274">
        <v>272</v>
      </c>
      <c r="E274">
        <v>9</v>
      </c>
    </row>
    <row r="275" spans="1:5">
      <c r="A275" t="s">
        <v>26</v>
      </c>
      <c r="B275" t="s">
        <v>390</v>
      </c>
      <c r="C275" t="s">
        <v>174</v>
      </c>
      <c r="D275">
        <v>271</v>
      </c>
      <c r="E275">
        <v>9</v>
      </c>
    </row>
    <row r="276" spans="1:5">
      <c r="A276" t="s">
        <v>26</v>
      </c>
      <c r="B276" t="s">
        <v>391</v>
      </c>
      <c r="C276" t="s">
        <v>176</v>
      </c>
      <c r="D276">
        <v>803</v>
      </c>
      <c r="E276">
        <v>5.4</v>
      </c>
    </row>
    <row r="277" spans="1:5">
      <c r="A277" t="s">
        <v>26</v>
      </c>
      <c r="B277" t="s">
        <v>392</v>
      </c>
      <c r="C277" t="s">
        <v>178</v>
      </c>
      <c r="D277">
        <v>137</v>
      </c>
      <c r="E277">
        <v>12.4</v>
      </c>
    </row>
    <row r="278" spans="1:5">
      <c r="A278" t="s">
        <v>26</v>
      </c>
      <c r="B278" t="s">
        <v>393</v>
      </c>
      <c r="C278" t="s">
        <v>180</v>
      </c>
      <c r="D278">
        <v>137</v>
      </c>
      <c r="E278">
        <v>12.4</v>
      </c>
    </row>
    <row r="279" spans="1:5">
      <c r="A279" t="s">
        <v>26</v>
      </c>
      <c r="B279" t="s">
        <v>394</v>
      </c>
      <c r="C279" t="s">
        <v>182</v>
      </c>
      <c r="D279">
        <v>214</v>
      </c>
      <c r="E279">
        <v>10</v>
      </c>
    </row>
    <row r="280" spans="1:5">
      <c r="A280" t="s">
        <v>26</v>
      </c>
      <c r="B280" t="s">
        <v>395</v>
      </c>
      <c r="C280" t="s">
        <v>184</v>
      </c>
      <c r="D280">
        <v>277</v>
      </c>
      <c r="E280">
        <v>8.9</v>
      </c>
    </row>
    <row r="281" spans="1:5">
      <c r="A281" t="s">
        <v>26</v>
      </c>
      <c r="B281" t="s">
        <v>396</v>
      </c>
      <c r="C281" t="s">
        <v>186</v>
      </c>
      <c r="D281">
        <v>247</v>
      </c>
      <c r="E281">
        <v>9.4</v>
      </c>
    </row>
    <row r="282" spans="1:5">
      <c r="A282" t="s">
        <v>26</v>
      </c>
      <c r="B282" t="s">
        <v>397</v>
      </c>
      <c r="C282" t="s">
        <v>188</v>
      </c>
      <c r="D282">
        <v>305</v>
      </c>
      <c r="E282">
        <v>8.5</v>
      </c>
    </row>
    <row r="283" spans="1:5">
      <c r="A283" t="s">
        <v>26</v>
      </c>
      <c r="B283" t="s">
        <v>398</v>
      </c>
      <c r="C283" t="s">
        <v>190</v>
      </c>
      <c r="D283">
        <v>335</v>
      </c>
      <c r="E283">
        <v>8.1</v>
      </c>
    </row>
    <row r="284" spans="1:5">
      <c r="A284" t="s">
        <v>26</v>
      </c>
      <c r="B284" t="s">
        <v>399</v>
      </c>
      <c r="C284" t="s">
        <v>192</v>
      </c>
      <c r="D284">
        <v>253</v>
      </c>
      <c r="E284">
        <v>9.3000000000000007</v>
      </c>
    </row>
    <row r="285" spans="1:5">
      <c r="A285" t="s">
        <v>26</v>
      </c>
      <c r="B285" t="s">
        <v>400</v>
      </c>
      <c r="C285" t="s">
        <v>194</v>
      </c>
      <c r="D285">
        <v>356</v>
      </c>
      <c r="E285">
        <v>7.9</v>
      </c>
    </row>
    <row r="286" spans="1:5">
      <c r="A286" t="s">
        <v>26</v>
      </c>
      <c r="B286" t="s">
        <v>401</v>
      </c>
      <c r="C286" t="s">
        <v>196</v>
      </c>
      <c r="D286">
        <v>349</v>
      </c>
      <c r="E286">
        <v>8</v>
      </c>
    </row>
    <row r="287" spans="1:5">
      <c r="A287" t="s">
        <v>26</v>
      </c>
      <c r="B287" t="s">
        <v>402</v>
      </c>
      <c r="C287" t="s">
        <v>198</v>
      </c>
      <c r="D287">
        <v>360</v>
      </c>
      <c r="E287">
        <v>7.8</v>
      </c>
    </row>
    <row r="288" spans="1:5">
      <c r="A288" t="s">
        <v>26</v>
      </c>
      <c r="B288" t="s">
        <v>403</v>
      </c>
      <c r="C288" t="s">
        <v>200</v>
      </c>
      <c r="D288">
        <v>253</v>
      </c>
      <c r="E288">
        <v>9.1999999999999993</v>
      </c>
    </row>
    <row r="289" spans="1:5">
      <c r="A289" t="s">
        <v>26</v>
      </c>
      <c r="B289" t="s">
        <v>404</v>
      </c>
      <c r="C289" t="s">
        <v>202</v>
      </c>
      <c r="D289">
        <v>177</v>
      </c>
      <c r="E289">
        <v>10.9</v>
      </c>
    </row>
    <row r="290" spans="1:5">
      <c r="A290" t="s">
        <v>26</v>
      </c>
      <c r="B290" t="s">
        <v>405</v>
      </c>
      <c r="C290" t="s">
        <v>204</v>
      </c>
      <c r="D290">
        <v>145</v>
      </c>
      <c r="E290">
        <v>12</v>
      </c>
    </row>
    <row r="291" spans="1:5">
      <c r="A291" t="s">
        <v>26</v>
      </c>
      <c r="B291" t="s">
        <v>406</v>
      </c>
      <c r="C291" t="s">
        <v>206</v>
      </c>
      <c r="D291">
        <v>217</v>
      </c>
      <c r="E291">
        <v>9.9</v>
      </c>
    </row>
    <row r="292" spans="1:5">
      <c r="A292" t="s">
        <v>26</v>
      </c>
      <c r="B292" t="s">
        <v>407</v>
      </c>
      <c r="C292" t="s">
        <v>208</v>
      </c>
      <c r="D292">
        <v>242</v>
      </c>
      <c r="E292">
        <v>9.5</v>
      </c>
    </row>
    <row r="293" spans="1:5">
      <c r="A293" t="s">
        <v>26</v>
      </c>
      <c r="B293" t="s">
        <v>408</v>
      </c>
      <c r="C293" t="s">
        <v>210</v>
      </c>
      <c r="D293">
        <v>278</v>
      </c>
      <c r="E293">
        <v>8.8000000000000007</v>
      </c>
    </row>
    <row r="294" spans="1:5">
      <c r="A294" t="s">
        <v>26</v>
      </c>
      <c r="B294" t="s">
        <v>409</v>
      </c>
      <c r="C294" t="s">
        <v>212</v>
      </c>
      <c r="D294">
        <v>327</v>
      </c>
      <c r="E294">
        <v>8.1999999999999993</v>
      </c>
    </row>
    <row r="295" spans="1:5">
      <c r="A295" t="s">
        <v>26</v>
      </c>
      <c r="B295" t="s">
        <v>410</v>
      </c>
      <c r="C295" t="s">
        <v>214</v>
      </c>
      <c r="D295">
        <v>275</v>
      </c>
      <c r="E295">
        <v>8.9</v>
      </c>
    </row>
    <row r="296" spans="1:5">
      <c r="A296" t="s">
        <v>26</v>
      </c>
      <c r="B296" t="s">
        <v>411</v>
      </c>
      <c r="C296" t="s">
        <v>216</v>
      </c>
      <c r="D296">
        <v>355</v>
      </c>
      <c r="E296">
        <v>7.9</v>
      </c>
    </row>
    <row r="297" spans="1:5">
      <c r="A297" t="s">
        <v>26</v>
      </c>
      <c r="B297" t="s">
        <v>412</v>
      </c>
      <c r="C297" t="s">
        <v>218</v>
      </c>
      <c r="D297">
        <v>287</v>
      </c>
      <c r="E297">
        <v>8.6999999999999993</v>
      </c>
    </row>
    <row r="298" spans="1:5">
      <c r="A298" t="s">
        <v>26</v>
      </c>
      <c r="B298" t="s">
        <v>413</v>
      </c>
      <c r="C298" t="s">
        <v>220</v>
      </c>
      <c r="D298">
        <v>275</v>
      </c>
      <c r="E298">
        <v>8.9</v>
      </c>
    </row>
    <row r="299" spans="1:5">
      <c r="A299" t="s">
        <v>26</v>
      </c>
      <c r="B299" t="s">
        <v>414</v>
      </c>
      <c r="C299" t="s">
        <v>222</v>
      </c>
      <c r="D299">
        <v>346</v>
      </c>
      <c r="E299">
        <v>8</v>
      </c>
    </row>
    <row r="300" spans="1:5">
      <c r="A300" t="s">
        <v>26</v>
      </c>
      <c r="B300" t="s">
        <v>446</v>
      </c>
      <c r="C300" t="s">
        <v>32</v>
      </c>
      <c r="D300">
        <v>417</v>
      </c>
      <c r="E300">
        <v>7.2</v>
      </c>
    </row>
    <row r="301" spans="1:5">
      <c r="A301" t="s">
        <v>26</v>
      </c>
      <c r="B301" t="s">
        <v>447</v>
      </c>
      <c r="C301" t="s">
        <v>34</v>
      </c>
      <c r="D301">
        <v>189</v>
      </c>
      <c r="E301">
        <v>10.5</v>
      </c>
    </row>
    <row r="302" spans="1:5">
      <c r="A302" t="s">
        <v>26</v>
      </c>
      <c r="B302" t="s">
        <v>448</v>
      </c>
      <c r="C302" t="s">
        <v>36</v>
      </c>
      <c r="D302">
        <v>229</v>
      </c>
      <c r="E302">
        <v>9.5</v>
      </c>
    </row>
    <row r="303" spans="1:5">
      <c r="A303" t="s">
        <v>26</v>
      </c>
      <c r="B303" t="s">
        <v>449</v>
      </c>
      <c r="C303" t="s">
        <v>38</v>
      </c>
      <c r="D303">
        <v>248</v>
      </c>
      <c r="E303">
        <v>9.1999999999999993</v>
      </c>
    </row>
    <row r="304" spans="1:5">
      <c r="A304" t="s">
        <v>26</v>
      </c>
      <c r="B304" t="s">
        <v>450</v>
      </c>
      <c r="C304" t="s">
        <v>40</v>
      </c>
      <c r="D304">
        <v>292</v>
      </c>
      <c r="E304">
        <v>8.6</v>
      </c>
    </row>
    <row r="305" spans="1:5">
      <c r="A305" t="s">
        <v>26</v>
      </c>
      <c r="B305" t="s">
        <v>451</v>
      </c>
      <c r="C305" t="s">
        <v>42</v>
      </c>
      <c r="D305">
        <v>339</v>
      </c>
      <c r="E305">
        <v>8</v>
      </c>
    </row>
    <row r="306" spans="1:5">
      <c r="A306" t="s">
        <v>26</v>
      </c>
      <c r="B306" t="s">
        <v>452</v>
      </c>
      <c r="C306" t="s">
        <v>44</v>
      </c>
      <c r="D306">
        <v>349</v>
      </c>
      <c r="E306">
        <v>7.9</v>
      </c>
    </row>
    <row r="307" spans="1:5">
      <c r="A307" t="s">
        <v>26</v>
      </c>
      <c r="B307" t="s">
        <v>453</v>
      </c>
      <c r="C307" t="s">
        <v>46</v>
      </c>
      <c r="D307">
        <v>334</v>
      </c>
      <c r="E307">
        <v>8.1</v>
      </c>
    </row>
    <row r="308" spans="1:5">
      <c r="A308" t="s">
        <v>26</v>
      </c>
      <c r="B308" t="s">
        <v>454</v>
      </c>
      <c r="C308" t="s">
        <v>48</v>
      </c>
      <c r="D308">
        <v>360</v>
      </c>
      <c r="E308">
        <v>7.7</v>
      </c>
    </row>
    <row r="309" spans="1:5">
      <c r="A309" t="s">
        <v>26</v>
      </c>
      <c r="B309" t="s">
        <v>455</v>
      </c>
      <c r="C309" t="s">
        <v>50</v>
      </c>
      <c r="D309">
        <v>304</v>
      </c>
      <c r="E309">
        <v>8.4</v>
      </c>
    </row>
    <row r="310" spans="1:5">
      <c r="A310" t="s">
        <v>26</v>
      </c>
      <c r="B310" t="s">
        <v>456</v>
      </c>
      <c r="C310" t="s">
        <v>52</v>
      </c>
      <c r="D310">
        <v>323</v>
      </c>
      <c r="E310">
        <v>8.1</v>
      </c>
    </row>
    <row r="311" spans="1:5">
      <c r="A311" t="s">
        <v>26</v>
      </c>
      <c r="B311" t="s">
        <v>457</v>
      </c>
      <c r="C311" t="s">
        <v>54</v>
      </c>
      <c r="D311">
        <v>341</v>
      </c>
      <c r="E311">
        <v>7.9</v>
      </c>
    </row>
    <row r="312" spans="1:5">
      <c r="A312" t="s">
        <v>26</v>
      </c>
      <c r="B312" t="s">
        <v>458</v>
      </c>
      <c r="C312" t="s">
        <v>56</v>
      </c>
      <c r="D312">
        <v>362</v>
      </c>
      <c r="E312">
        <v>7.7</v>
      </c>
    </row>
    <row r="313" spans="1:5">
      <c r="A313" t="s">
        <v>26</v>
      </c>
      <c r="B313" t="s">
        <v>459</v>
      </c>
      <c r="C313" t="s">
        <v>58</v>
      </c>
      <c r="D313">
        <v>191</v>
      </c>
      <c r="E313">
        <v>10.4</v>
      </c>
    </row>
    <row r="314" spans="1:5">
      <c r="A314" t="s">
        <v>26</v>
      </c>
      <c r="B314" t="s">
        <v>460</v>
      </c>
      <c r="C314" t="s">
        <v>60</v>
      </c>
      <c r="D314">
        <v>225</v>
      </c>
      <c r="E314">
        <v>9.6</v>
      </c>
    </row>
    <row r="315" spans="1:5">
      <c r="A315" t="s">
        <v>26</v>
      </c>
      <c r="B315" t="s">
        <v>461</v>
      </c>
      <c r="C315" t="s">
        <v>62</v>
      </c>
      <c r="D315">
        <v>224</v>
      </c>
      <c r="E315">
        <v>9.6</v>
      </c>
    </row>
    <row r="316" spans="1:5">
      <c r="A316" t="s">
        <v>26</v>
      </c>
      <c r="B316" t="s">
        <v>462</v>
      </c>
      <c r="C316" t="s">
        <v>64</v>
      </c>
      <c r="D316">
        <v>274</v>
      </c>
      <c r="E316">
        <v>8.9</v>
      </c>
    </row>
    <row r="317" spans="1:5">
      <c r="A317" t="s">
        <v>26</v>
      </c>
      <c r="B317" t="s">
        <v>463</v>
      </c>
      <c r="C317" t="s">
        <v>66</v>
      </c>
      <c r="D317">
        <v>300</v>
      </c>
      <c r="E317">
        <v>8.5</v>
      </c>
    </row>
    <row r="318" spans="1:5">
      <c r="A318" t="s">
        <v>26</v>
      </c>
      <c r="B318" t="s">
        <v>464</v>
      </c>
      <c r="C318" t="s">
        <v>68</v>
      </c>
      <c r="D318">
        <v>290</v>
      </c>
      <c r="E318">
        <v>8.6</v>
      </c>
    </row>
    <row r="319" spans="1:5">
      <c r="A319" t="s">
        <v>26</v>
      </c>
      <c r="B319" t="s">
        <v>465</v>
      </c>
      <c r="C319" t="s">
        <v>70</v>
      </c>
      <c r="D319">
        <v>305</v>
      </c>
      <c r="E319">
        <v>8.4</v>
      </c>
    </row>
    <row r="320" spans="1:5">
      <c r="A320" t="s">
        <v>26</v>
      </c>
      <c r="B320" t="s">
        <v>466</v>
      </c>
      <c r="C320" t="s">
        <v>72</v>
      </c>
      <c r="D320">
        <v>378</v>
      </c>
      <c r="E320">
        <v>7.6</v>
      </c>
    </row>
    <row r="321" spans="1:5">
      <c r="A321" t="s">
        <v>26</v>
      </c>
      <c r="B321" t="s">
        <v>467</v>
      </c>
      <c r="C321" t="s">
        <v>74</v>
      </c>
      <c r="D321">
        <v>360</v>
      </c>
      <c r="E321">
        <v>7.7</v>
      </c>
    </row>
    <row r="322" spans="1:5">
      <c r="A322" t="s">
        <v>26</v>
      </c>
      <c r="B322" t="s">
        <v>468</v>
      </c>
      <c r="C322" t="s">
        <v>76</v>
      </c>
      <c r="D322">
        <v>294</v>
      </c>
      <c r="E322">
        <v>8.5</v>
      </c>
    </row>
    <row r="323" spans="1:5">
      <c r="A323" t="s">
        <v>26</v>
      </c>
      <c r="B323" t="s">
        <v>469</v>
      </c>
      <c r="C323" t="s">
        <v>78</v>
      </c>
      <c r="D323">
        <v>312</v>
      </c>
      <c r="E323">
        <v>8.3000000000000007</v>
      </c>
    </row>
    <row r="324" spans="1:5">
      <c r="A324" t="s">
        <v>26</v>
      </c>
      <c r="B324" t="s">
        <v>470</v>
      </c>
      <c r="C324" t="s">
        <v>80</v>
      </c>
      <c r="D324">
        <v>424</v>
      </c>
      <c r="E324">
        <v>7.1</v>
      </c>
    </row>
    <row r="325" spans="1:5">
      <c r="A325" t="s">
        <v>26</v>
      </c>
      <c r="B325" t="s">
        <v>471</v>
      </c>
      <c r="C325" t="s">
        <v>82</v>
      </c>
      <c r="D325">
        <v>189</v>
      </c>
      <c r="E325">
        <v>10.5</v>
      </c>
    </row>
    <row r="326" spans="1:5">
      <c r="A326" t="s">
        <v>26</v>
      </c>
      <c r="B326" t="s">
        <v>472</v>
      </c>
      <c r="C326" t="s">
        <v>84</v>
      </c>
      <c r="D326">
        <v>187</v>
      </c>
      <c r="E326">
        <v>10.5</v>
      </c>
    </row>
    <row r="327" spans="1:5">
      <c r="A327" t="s">
        <v>26</v>
      </c>
      <c r="B327" t="s">
        <v>473</v>
      </c>
      <c r="C327" t="s">
        <v>86</v>
      </c>
      <c r="D327">
        <v>253</v>
      </c>
      <c r="E327">
        <v>9.1</v>
      </c>
    </row>
    <row r="328" spans="1:5">
      <c r="A328" t="s">
        <v>26</v>
      </c>
      <c r="B328" t="s">
        <v>474</v>
      </c>
      <c r="C328" t="s">
        <v>88</v>
      </c>
      <c r="D328">
        <v>186</v>
      </c>
      <c r="E328">
        <v>10.7</v>
      </c>
    </row>
    <row r="329" spans="1:5">
      <c r="A329" t="s">
        <v>26</v>
      </c>
      <c r="B329" t="s">
        <v>475</v>
      </c>
      <c r="C329" t="s">
        <v>90</v>
      </c>
      <c r="D329">
        <v>199</v>
      </c>
      <c r="E329">
        <v>10.3</v>
      </c>
    </row>
    <row r="330" spans="1:5">
      <c r="A330" t="s">
        <v>26</v>
      </c>
      <c r="B330" t="s">
        <v>476</v>
      </c>
      <c r="C330" t="s">
        <v>92</v>
      </c>
      <c r="D330">
        <v>125</v>
      </c>
      <c r="E330">
        <v>12.9</v>
      </c>
    </row>
    <row r="331" spans="1:5">
      <c r="A331" t="s">
        <v>26</v>
      </c>
      <c r="B331" t="s">
        <v>477</v>
      </c>
      <c r="C331" t="s">
        <v>94</v>
      </c>
      <c r="D331">
        <v>199</v>
      </c>
      <c r="E331">
        <v>10.3</v>
      </c>
    </row>
    <row r="332" spans="1:5">
      <c r="A332" t="s">
        <v>26</v>
      </c>
      <c r="B332" t="s">
        <v>478</v>
      </c>
      <c r="C332" t="s">
        <v>96</v>
      </c>
      <c r="D332">
        <v>258</v>
      </c>
      <c r="E332">
        <v>9.1</v>
      </c>
    </row>
    <row r="333" spans="1:5">
      <c r="A333" t="s">
        <v>26</v>
      </c>
      <c r="B333" t="s">
        <v>479</v>
      </c>
      <c r="C333" t="s">
        <v>98</v>
      </c>
      <c r="D333">
        <v>335</v>
      </c>
      <c r="E333">
        <v>8</v>
      </c>
    </row>
    <row r="334" spans="1:5">
      <c r="A334" t="s">
        <v>26</v>
      </c>
      <c r="B334" t="s">
        <v>480</v>
      </c>
      <c r="C334" t="s">
        <v>100</v>
      </c>
      <c r="D334">
        <v>364</v>
      </c>
      <c r="E334">
        <v>7.7</v>
      </c>
    </row>
    <row r="335" spans="1:5">
      <c r="A335" t="s">
        <v>26</v>
      </c>
      <c r="B335" t="s">
        <v>481</v>
      </c>
      <c r="C335" t="s">
        <v>102</v>
      </c>
      <c r="D335">
        <v>378</v>
      </c>
      <c r="E335">
        <v>7.6</v>
      </c>
    </row>
    <row r="336" spans="1:5">
      <c r="A336" t="s">
        <v>26</v>
      </c>
      <c r="B336" t="s">
        <v>482</v>
      </c>
      <c r="C336" t="s">
        <v>104</v>
      </c>
      <c r="D336">
        <v>543</v>
      </c>
      <c r="E336">
        <v>6.4</v>
      </c>
    </row>
    <row r="337" spans="1:5">
      <c r="A337" t="s">
        <v>26</v>
      </c>
      <c r="B337" t="s">
        <v>483</v>
      </c>
      <c r="C337" t="s">
        <v>106</v>
      </c>
      <c r="D337">
        <v>188</v>
      </c>
      <c r="E337">
        <v>10.5</v>
      </c>
    </row>
    <row r="338" spans="1:5">
      <c r="A338" t="s">
        <v>26</v>
      </c>
      <c r="B338" t="s">
        <v>484</v>
      </c>
      <c r="C338" t="s">
        <v>108</v>
      </c>
      <c r="D338">
        <v>169</v>
      </c>
      <c r="E338">
        <v>11</v>
      </c>
    </row>
    <row r="339" spans="1:5">
      <c r="A339" t="s">
        <v>26</v>
      </c>
      <c r="B339" t="s">
        <v>485</v>
      </c>
      <c r="C339" t="s">
        <v>110</v>
      </c>
      <c r="D339">
        <v>188</v>
      </c>
      <c r="E339">
        <v>10.5</v>
      </c>
    </row>
    <row r="340" spans="1:5">
      <c r="A340" t="s">
        <v>26</v>
      </c>
      <c r="B340" t="s">
        <v>486</v>
      </c>
      <c r="C340" t="s">
        <v>112</v>
      </c>
      <c r="D340">
        <v>281</v>
      </c>
      <c r="E340">
        <v>8.8000000000000007</v>
      </c>
    </row>
    <row r="341" spans="1:5">
      <c r="A341" t="s">
        <v>26</v>
      </c>
      <c r="B341" t="s">
        <v>487</v>
      </c>
      <c r="C341" t="s">
        <v>114</v>
      </c>
      <c r="D341">
        <v>188</v>
      </c>
      <c r="E341">
        <v>10.6</v>
      </c>
    </row>
    <row r="342" spans="1:5">
      <c r="A342" t="s">
        <v>26</v>
      </c>
      <c r="B342" t="s">
        <v>488</v>
      </c>
      <c r="C342" t="s">
        <v>116</v>
      </c>
      <c r="D342">
        <v>178</v>
      </c>
      <c r="E342">
        <v>10.9</v>
      </c>
    </row>
    <row r="343" spans="1:5">
      <c r="A343" t="s">
        <v>26</v>
      </c>
      <c r="B343" t="s">
        <v>489</v>
      </c>
      <c r="C343" t="s">
        <v>118</v>
      </c>
      <c r="D343">
        <v>229</v>
      </c>
      <c r="E343">
        <v>9.6999999999999993</v>
      </c>
    </row>
    <row r="344" spans="1:5">
      <c r="A344" t="s">
        <v>26</v>
      </c>
      <c r="B344" t="s">
        <v>490</v>
      </c>
      <c r="C344" t="s">
        <v>120</v>
      </c>
      <c r="D344">
        <v>311</v>
      </c>
      <c r="E344">
        <v>8.3000000000000007</v>
      </c>
    </row>
    <row r="345" spans="1:5">
      <c r="A345" t="s">
        <v>26</v>
      </c>
      <c r="B345" t="s">
        <v>491</v>
      </c>
      <c r="C345" t="s">
        <v>122</v>
      </c>
      <c r="D345">
        <v>335</v>
      </c>
      <c r="E345">
        <v>8</v>
      </c>
    </row>
    <row r="346" spans="1:5">
      <c r="A346" t="s">
        <v>26</v>
      </c>
      <c r="B346" t="s">
        <v>492</v>
      </c>
      <c r="C346" t="s">
        <v>124</v>
      </c>
      <c r="D346">
        <v>394</v>
      </c>
      <c r="E346">
        <v>7.4</v>
      </c>
    </row>
    <row r="347" spans="1:5">
      <c r="A347" t="s">
        <v>26</v>
      </c>
      <c r="B347" t="s">
        <v>493</v>
      </c>
      <c r="C347" t="s">
        <v>126</v>
      </c>
      <c r="D347">
        <v>445</v>
      </c>
      <c r="E347">
        <v>7</v>
      </c>
    </row>
    <row r="348" spans="1:5">
      <c r="A348" t="s">
        <v>26</v>
      </c>
      <c r="B348" t="s">
        <v>494</v>
      </c>
      <c r="C348" t="s">
        <v>128</v>
      </c>
      <c r="D348">
        <v>424</v>
      </c>
      <c r="E348">
        <v>7.2</v>
      </c>
    </row>
    <row r="349" spans="1:5">
      <c r="A349" t="s">
        <v>26</v>
      </c>
      <c r="B349" t="s">
        <v>495</v>
      </c>
      <c r="C349" t="s">
        <v>130</v>
      </c>
      <c r="D349">
        <v>285</v>
      </c>
      <c r="E349">
        <v>8.6999999999999993</v>
      </c>
    </row>
    <row r="350" spans="1:5">
      <c r="A350" t="s">
        <v>26</v>
      </c>
      <c r="B350" t="s">
        <v>496</v>
      </c>
      <c r="C350" t="s">
        <v>132</v>
      </c>
      <c r="D350">
        <v>395</v>
      </c>
      <c r="E350">
        <v>7.5</v>
      </c>
    </row>
    <row r="351" spans="1:5">
      <c r="A351" t="s">
        <v>26</v>
      </c>
      <c r="B351" t="s">
        <v>497</v>
      </c>
      <c r="C351" t="s">
        <v>134</v>
      </c>
      <c r="D351">
        <v>410</v>
      </c>
      <c r="E351">
        <v>7.3</v>
      </c>
    </row>
    <row r="352" spans="1:5">
      <c r="A352" t="s">
        <v>26</v>
      </c>
      <c r="B352" t="s">
        <v>498</v>
      </c>
      <c r="C352" t="s">
        <v>136</v>
      </c>
      <c r="D352">
        <v>458</v>
      </c>
      <c r="E352">
        <v>7</v>
      </c>
    </row>
    <row r="353" spans="1:5">
      <c r="A353" t="s">
        <v>26</v>
      </c>
      <c r="B353" t="s">
        <v>499</v>
      </c>
      <c r="C353" t="s">
        <v>138</v>
      </c>
      <c r="D353">
        <v>484</v>
      </c>
      <c r="E353">
        <v>6.8</v>
      </c>
    </row>
    <row r="354" spans="1:5">
      <c r="A354" t="s">
        <v>26</v>
      </c>
      <c r="B354" t="s">
        <v>500</v>
      </c>
      <c r="C354" t="s">
        <v>140</v>
      </c>
      <c r="D354">
        <v>372</v>
      </c>
      <c r="E354">
        <v>7.7</v>
      </c>
    </row>
    <row r="355" spans="1:5">
      <c r="A355" t="s">
        <v>26</v>
      </c>
      <c r="B355" t="s">
        <v>501</v>
      </c>
      <c r="C355" t="s">
        <v>142</v>
      </c>
      <c r="D355">
        <v>399</v>
      </c>
      <c r="E355">
        <v>7.5</v>
      </c>
    </row>
    <row r="356" spans="1:5">
      <c r="A356" t="s">
        <v>26</v>
      </c>
      <c r="B356" t="s">
        <v>502</v>
      </c>
      <c r="C356" t="s">
        <v>144</v>
      </c>
      <c r="D356">
        <v>324</v>
      </c>
      <c r="E356">
        <v>8.1999999999999993</v>
      </c>
    </row>
    <row r="357" spans="1:5">
      <c r="A357" t="s">
        <v>26</v>
      </c>
      <c r="B357" t="s">
        <v>503</v>
      </c>
      <c r="C357" t="s">
        <v>146</v>
      </c>
      <c r="D357">
        <v>400</v>
      </c>
      <c r="E357">
        <v>7.5</v>
      </c>
    </row>
    <row r="358" spans="1:5">
      <c r="A358" t="s">
        <v>26</v>
      </c>
      <c r="B358" t="s">
        <v>504</v>
      </c>
      <c r="C358" t="s">
        <v>148</v>
      </c>
      <c r="D358">
        <v>314</v>
      </c>
      <c r="E358">
        <v>8.4</v>
      </c>
    </row>
    <row r="359" spans="1:5">
      <c r="A359" t="s">
        <v>26</v>
      </c>
      <c r="B359" t="s">
        <v>505</v>
      </c>
      <c r="C359" t="s">
        <v>150</v>
      </c>
      <c r="D359">
        <v>393</v>
      </c>
      <c r="E359">
        <v>7.5</v>
      </c>
    </row>
    <row r="360" spans="1:5">
      <c r="A360" t="s">
        <v>26</v>
      </c>
      <c r="B360" t="s">
        <v>506</v>
      </c>
      <c r="C360" t="s">
        <v>152</v>
      </c>
      <c r="D360">
        <v>445</v>
      </c>
      <c r="E360">
        <v>7.1</v>
      </c>
    </row>
    <row r="361" spans="1:5">
      <c r="A361" t="s">
        <v>26</v>
      </c>
      <c r="B361" t="s">
        <v>507</v>
      </c>
      <c r="C361" t="s">
        <v>154</v>
      </c>
      <c r="D361">
        <v>251</v>
      </c>
      <c r="E361">
        <v>9.1999999999999993</v>
      </c>
    </row>
    <row r="362" spans="1:5">
      <c r="A362" t="s">
        <v>26</v>
      </c>
      <c r="B362" t="s">
        <v>508</v>
      </c>
      <c r="C362" t="s">
        <v>156</v>
      </c>
      <c r="D362">
        <v>339</v>
      </c>
      <c r="E362">
        <v>8</v>
      </c>
    </row>
    <row r="363" spans="1:5">
      <c r="A363" t="s">
        <v>26</v>
      </c>
      <c r="B363" t="s">
        <v>509</v>
      </c>
      <c r="C363" t="s">
        <v>158</v>
      </c>
      <c r="D363">
        <v>435</v>
      </c>
      <c r="E363">
        <v>7.1</v>
      </c>
    </row>
    <row r="364" spans="1:5">
      <c r="A364" t="s">
        <v>26</v>
      </c>
      <c r="B364" t="s">
        <v>510</v>
      </c>
      <c r="C364" t="s">
        <v>160</v>
      </c>
      <c r="D364">
        <v>415</v>
      </c>
      <c r="E364">
        <v>7.3</v>
      </c>
    </row>
    <row r="365" spans="1:5">
      <c r="A365" t="s">
        <v>26</v>
      </c>
      <c r="B365" t="s">
        <v>511</v>
      </c>
      <c r="C365" t="s">
        <v>162</v>
      </c>
      <c r="D365">
        <v>445</v>
      </c>
      <c r="E365">
        <v>7.1</v>
      </c>
    </row>
    <row r="366" spans="1:5">
      <c r="A366" t="s">
        <v>26</v>
      </c>
      <c r="B366" t="s">
        <v>512</v>
      </c>
      <c r="C366" t="s">
        <v>164</v>
      </c>
      <c r="D366">
        <v>345</v>
      </c>
      <c r="E366">
        <v>8</v>
      </c>
    </row>
    <row r="367" spans="1:5">
      <c r="A367" t="s">
        <v>26</v>
      </c>
      <c r="B367" t="s">
        <v>513</v>
      </c>
      <c r="C367" t="s">
        <v>166</v>
      </c>
      <c r="D367">
        <v>408</v>
      </c>
      <c r="E367">
        <v>7.4</v>
      </c>
    </row>
    <row r="368" spans="1:5">
      <c r="A368" t="s">
        <v>26</v>
      </c>
      <c r="B368" t="s">
        <v>514</v>
      </c>
      <c r="C368" t="s">
        <v>168</v>
      </c>
      <c r="D368">
        <v>507</v>
      </c>
      <c r="E368">
        <v>6.7</v>
      </c>
    </row>
    <row r="369" spans="1:5">
      <c r="A369" t="s">
        <v>26</v>
      </c>
      <c r="B369" t="s">
        <v>515</v>
      </c>
      <c r="C369" t="s">
        <v>170</v>
      </c>
      <c r="D369">
        <v>392</v>
      </c>
      <c r="E369">
        <v>7.5</v>
      </c>
    </row>
    <row r="370" spans="1:5">
      <c r="A370" t="s">
        <v>26</v>
      </c>
      <c r="B370" t="s">
        <v>516</v>
      </c>
      <c r="C370" t="s">
        <v>172</v>
      </c>
      <c r="D370">
        <v>419</v>
      </c>
      <c r="E370">
        <v>7.3</v>
      </c>
    </row>
    <row r="371" spans="1:5">
      <c r="A371" t="s">
        <v>26</v>
      </c>
      <c r="B371" t="s">
        <v>517</v>
      </c>
      <c r="C371" t="s">
        <v>174</v>
      </c>
      <c r="D371">
        <v>411</v>
      </c>
      <c r="E371">
        <v>7.4</v>
      </c>
    </row>
    <row r="372" spans="1:5">
      <c r="A372" t="s">
        <v>26</v>
      </c>
      <c r="B372" t="s">
        <v>518</v>
      </c>
      <c r="C372" t="s">
        <v>176</v>
      </c>
      <c r="D372">
        <v>423</v>
      </c>
      <c r="E372">
        <v>7.2</v>
      </c>
    </row>
    <row r="373" spans="1:5">
      <c r="A373" t="s">
        <v>26</v>
      </c>
      <c r="B373" t="s">
        <v>519</v>
      </c>
      <c r="C373" t="s">
        <v>178</v>
      </c>
      <c r="D373">
        <v>218</v>
      </c>
      <c r="E373">
        <v>9.9</v>
      </c>
    </row>
    <row r="374" spans="1:5">
      <c r="A374" t="s">
        <v>26</v>
      </c>
      <c r="B374" t="s">
        <v>520</v>
      </c>
      <c r="C374" t="s">
        <v>180</v>
      </c>
      <c r="D374">
        <v>176</v>
      </c>
      <c r="E374">
        <v>11</v>
      </c>
    </row>
    <row r="375" spans="1:5">
      <c r="A375" t="s">
        <v>26</v>
      </c>
      <c r="B375" t="s">
        <v>521</v>
      </c>
      <c r="C375" t="s">
        <v>182</v>
      </c>
      <c r="D375">
        <v>224</v>
      </c>
      <c r="E375">
        <v>9.8000000000000007</v>
      </c>
    </row>
    <row r="376" spans="1:5">
      <c r="A376" t="s">
        <v>26</v>
      </c>
      <c r="B376" t="s">
        <v>522</v>
      </c>
      <c r="C376" t="s">
        <v>184</v>
      </c>
      <c r="D376">
        <v>257</v>
      </c>
      <c r="E376">
        <v>9.1999999999999993</v>
      </c>
    </row>
    <row r="377" spans="1:5">
      <c r="A377" t="s">
        <v>26</v>
      </c>
      <c r="B377" t="s">
        <v>523</v>
      </c>
      <c r="C377" t="s">
        <v>186</v>
      </c>
      <c r="D377">
        <v>387</v>
      </c>
      <c r="E377">
        <v>7.6</v>
      </c>
    </row>
    <row r="378" spans="1:5">
      <c r="A378" t="s">
        <v>26</v>
      </c>
      <c r="B378" t="s">
        <v>524</v>
      </c>
      <c r="C378" t="s">
        <v>188</v>
      </c>
      <c r="D378">
        <v>294</v>
      </c>
      <c r="E378">
        <v>8.6</v>
      </c>
    </row>
    <row r="379" spans="1:5">
      <c r="A379" t="s">
        <v>26</v>
      </c>
      <c r="B379" t="s">
        <v>525</v>
      </c>
      <c r="C379" t="s">
        <v>190</v>
      </c>
      <c r="D379">
        <v>414</v>
      </c>
      <c r="E379">
        <v>7.3</v>
      </c>
    </row>
    <row r="380" spans="1:5">
      <c r="A380" t="s">
        <v>26</v>
      </c>
      <c r="B380" t="s">
        <v>526</v>
      </c>
      <c r="C380" t="s">
        <v>192</v>
      </c>
      <c r="D380">
        <v>444</v>
      </c>
      <c r="E380">
        <v>7.1</v>
      </c>
    </row>
    <row r="381" spans="1:5">
      <c r="A381" t="s">
        <v>26</v>
      </c>
      <c r="B381" t="s">
        <v>527</v>
      </c>
      <c r="C381" t="s">
        <v>194</v>
      </c>
      <c r="D381">
        <v>406</v>
      </c>
      <c r="E381">
        <v>7.4</v>
      </c>
    </row>
    <row r="382" spans="1:5">
      <c r="A382" t="s">
        <v>26</v>
      </c>
      <c r="B382" t="s">
        <v>528</v>
      </c>
      <c r="C382" t="s">
        <v>196</v>
      </c>
      <c r="D382">
        <v>439</v>
      </c>
      <c r="E382">
        <v>7.2</v>
      </c>
    </row>
    <row r="383" spans="1:5">
      <c r="A383" t="s">
        <v>26</v>
      </c>
      <c r="B383" t="s">
        <v>529</v>
      </c>
      <c r="C383" t="s">
        <v>198</v>
      </c>
      <c r="D383">
        <v>401</v>
      </c>
      <c r="E383">
        <v>7.5</v>
      </c>
    </row>
    <row r="384" spans="1:5">
      <c r="A384" t="s">
        <v>26</v>
      </c>
      <c r="B384" t="s">
        <v>530</v>
      </c>
      <c r="C384" t="s">
        <v>200</v>
      </c>
      <c r="D384">
        <v>516</v>
      </c>
      <c r="E384">
        <v>6.6</v>
      </c>
    </row>
    <row r="385" spans="1:5">
      <c r="A385" t="s">
        <v>26</v>
      </c>
      <c r="B385" t="s">
        <v>531</v>
      </c>
      <c r="C385" t="s">
        <v>202</v>
      </c>
      <c r="D385">
        <v>288</v>
      </c>
      <c r="E385">
        <v>8.6</v>
      </c>
    </row>
    <row r="386" spans="1:5">
      <c r="A386" t="s">
        <v>26</v>
      </c>
      <c r="B386" t="s">
        <v>532</v>
      </c>
      <c r="C386" t="s">
        <v>204</v>
      </c>
      <c r="D386">
        <v>172</v>
      </c>
      <c r="E386">
        <v>11.1</v>
      </c>
    </row>
    <row r="387" spans="1:5">
      <c r="A387" t="s">
        <v>26</v>
      </c>
      <c r="B387" t="s">
        <v>533</v>
      </c>
      <c r="C387" t="s">
        <v>206</v>
      </c>
      <c r="D387">
        <v>209</v>
      </c>
      <c r="E387">
        <v>10.1</v>
      </c>
    </row>
    <row r="388" spans="1:5">
      <c r="A388" t="s">
        <v>26</v>
      </c>
      <c r="B388" t="s">
        <v>534</v>
      </c>
      <c r="C388" t="s">
        <v>208</v>
      </c>
      <c r="D388">
        <v>252</v>
      </c>
      <c r="E388">
        <v>9.3000000000000007</v>
      </c>
    </row>
    <row r="389" spans="1:5">
      <c r="A389" t="s">
        <v>26</v>
      </c>
      <c r="B389" t="s">
        <v>535</v>
      </c>
      <c r="C389" t="s">
        <v>210</v>
      </c>
      <c r="D389">
        <v>436</v>
      </c>
      <c r="E389">
        <v>7.2</v>
      </c>
    </row>
    <row r="390" spans="1:5">
      <c r="A390" t="s">
        <v>26</v>
      </c>
      <c r="B390" t="s">
        <v>536</v>
      </c>
      <c r="C390" t="s">
        <v>212</v>
      </c>
      <c r="D390">
        <v>350</v>
      </c>
      <c r="E390">
        <v>7.9</v>
      </c>
    </row>
    <row r="391" spans="1:5">
      <c r="A391" t="s">
        <v>26</v>
      </c>
      <c r="B391" t="s">
        <v>537</v>
      </c>
      <c r="C391" t="s">
        <v>214</v>
      </c>
      <c r="D391">
        <v>401</v>
      </c>
      <c r="E391">
        <v>7.4</v>
      </c>
    </row>
    <row r="392" spans="1:5">
      <c r="A392" t="s">
        <v>26</v>
      </c>
      <c r="B392" t="s">
        <v>538</v>
      </c>
      <c r="C392" t="s">
        <v>216</v>
      </c>
      <c r="D392">
        <v>509</v>
      </c>
      <c r="E392">
        <v>6.7</v>
      </c>
    </row>
    <row r="393" spans="1:5">
      <c r="A393" t="s">
        <v>26</v>
      </c>
      <c r="B393" t="s">
        <v>539</v>
      </c>
      <c r="C393" t="s">
        <v>218</v>
      </c>
      <c r="D393">
        <v>388</v>
      </c>
      <c r="E393">
        <v>7.6</v>
      </c>
    </row>
    <row r="394" spans="1:5">
      <c r="A394" t="s">
        <v>26</v>
      </c>
      <c r="B394" t="s">
        <v>540</v>
      </c>
      <c r="C394" t="s">
        <v>220</v>
      </c>
      <c r="D394">
        <v>406</v>
      </c>
      <c r="E394">
        <v>7.4</v>
      </c>
    </row>
    <row r="395" spans="1:5">
      <c r="A395" t="s">
        <v>26</v>
      </c>
      <c r="B395" t="s">
        <v>541</v>
      </c>
      <c r="C395" t="s">
        <v>222</v>
      </c>
      <c r="D395">
        <v>452</v>
      </c>
      <c r="E395">
        <v>7.1</v>
      </c>
    </row>
    <row r="396" spans="1:5">
      <c r="A396" t="s">
        <v>26</v>
      </c>
      <c r="B396" t="s">
        <v>542</v>
      </c>
      <c r="C396" t="s">
        <v>32</v>
      </c>
      <c r="D396">
        <v>10</v>
      </c>
      <c r="E396">
        <v>44.8</v>
      </c>
    </row>
    <row r="397" spans="1:5">
      <c r="A397" t="s">
        <v>26</v>
      </c>
      <c r="B397" t="s">
        <v>543</v>
      </c>
      <c r="C397" t="s">
        <v>34</v>
      </c>
      <c r="D397">
        <v>6</v>
      </c>
      <c r="E397">
        <v>60.3</v>
      </c>
    </row>
    <row r="398" spans="1:5">
      <c r="A398" t="s">
        <v>26</v>
      </c>
      <c r="B398" t="s">
        <v>544</v>
      </c>
      <c r="C398" t="s">
        <v>36</v>
      </c>
      <c r="D398">
        <v>7</v>
      </c>
      <c r="E398">
        <v>55.5</v>
      </c>
    </row>
    <row r="399" spans="1:5">
      <c r="A399" t="s">
        <v>26</v>
      </c>
      <c r="B399" t="s">
        <v>545</v>
      </c>
      <c r="C399" t="s">
        <v>38</v>
      </c>
      <c r="D399">
        <v>7</v>
      </c>
      <c r="E399">
        <v>55.5</v>
      </c>
    </row>
    <row r="400" spans="1:5">
      <c r="A400" t="s">
        <v>26</v>
      </c>
      <c r="B400" t="s">
        <v>546</v>
      </c>
      <c r="C400" t="s">
        <v>40</v>
      </c>
      <c r="D400">
        <v>8</v>
      </c>
      <c r="E400">
        <v>50</v>
      </c>
    </row>
    <row r="401" spans="1:5">
      <c r="A401" t="s">
        <v>26</v>
      </c>
      <c r="B401" t="s">
        <v>547</v>
      </c>
      <c r="C401" t="s">
        <v>42</v>
      </c>
      <c r="D401">
        <v>7</v>
      </c>
      <c r="E401">
        <v>55.5</v>
      </c>
    </row>
    <row r="402" spans="1:5">
      <c r="A402" t="s">
        <v>26</v>
      </c>
      <c r="B402" t="s">
        <v>548</v>
      </c>
      <c r="C402" t="s">
        <v>44</v>
      </c>
      <c r="D402">
        <v>7</v>
      </c>
      <c r="E402">
        <v>53.5</v>
      </c>
    </row>
    <row r="403" spans="1:5">
      <c r="A403" t="s">
        <v>26</v>
      </c>
      <c r="B403" t="s">
        <v>549</v>
      </c>
      <c r="C403" t="s">
        <v>46</v>
      </c>
      <c r="D403">
        <v>7</v>
      </c>
      <c r="E403">
        <v>55.5</v>
      </c>
    </row>
    <row r="404" spans="1:5">
      <c r="A404" t="s">
        <v>26</v>
      </c>
      <c r="B404" t="s">
        <v>550</v>
      </c>
      <c r="C404" t="s">
        <v>48</v>
      </c>
      <c r="D404">
        <v>4</v>
      </c>
      <c r="E404">
        <v>70.7</v>
      </c>
    </row>
    <row r="405" spans="1:5">
      <c r="A405" t="s">
        <v>26</v>
      </c>
      <c r="B405" t="s">
        <v>551</v>
      </c>
      <c r="C405" t="s">
        <v>50</v>
      </c>
      <c r="D405">
        <v>7</v>
      </c>
      <c r="E405">
        <v>55.5</v>
      </c>
    </row>
    <row r="406" spans="1:5">
      <c r="A406" t="s">
        <v>26</v>
      </c>
      <c r="B406" t="s">
        <v>552</v>
      </c>
      <c r="C406" t="s">
        <v>52</v>
      </c>
      <c r="D406">
        <v>6</v>
      </c>
      <c r="E406">
        <v>60.3</v>
      </c>
    </row>
    <row r="407" spans="1:5">
      <c r="A407" t="s">
        <v>26</v>
      </c>
      <c r="B407" t="s">
        <v>553</v>
      </c>
      <c r="C407" t="s">
        <v>54</v>
      </c>
      <c r="D407">
        <v>6</v>
      </c>
      <c r="E407">
        <v>57.8</v>
      </c>
    </row>
    <row r="408" spans="1:5">
      <c r="A408" t="s">
        <v>26</v>
      </c>
      <c r="B408" t="s">
        <v>554</v>
      </c>
      <c r="C408" t="s">
        <v>56</v>
      </c>
      <c r="D408">
        <v>5</v>
      </c>
      <c r="E408">
        <v>66.7</v>
      </c>
    </row>
    <row r="409" spans="1:5">
      <c r="A409" t="s">
        <v>26</v>
      </c>
      <c r="B409" t="s">
        <v>555</v>
      </c>
      <c r="C409" t="s">
        <v>58</v>
      </c>
      <c r="D409">
        <v>7</v>
      </c>
      <c r="E409">
        <v>53.5</v>
      </c>
    </row>
    <row r="410" spans="1:5">
      <c r="A410" t="s">
        <v>26</v>
      </c>
      <c r="B410" t="s">
        <v>556</v>
      </c>
      <c r="C410" t="s">
        <v>60</v>
      </c>
      <c r="D410">
        <v>7</v>
      </c>
      <c r="E410">
        <v>55.5</v>
      </c>
    </row>
    <row r="411" spans="1:5">
      <c r="A411" t="s">
        <v>26</v>
      </c>
      <c r="B411" t="s">
        <v>557</v>
      </c>
      <c r="C411" t="s">
        <v>62</v>
      </c>
      <c r="D411">
        <v>5</v>
      </c>
      <c r="E411">
        <v>63.3</v>
      </c>
    </row>
    <row r="412" spans="1:5">
      <c r="A412" t="s">
        <v>26</v>
      </c>
      <c r="B412" t="s">
        <v>558</v>
      </c>
      <c r="C412" t="s">
        <v>64</v>
      </c>
      <c r="D412">
        <v>7</v>
      </c>
      <c r="E412">
        <v>53.5</v>
      </c>
    </row>
    <row r="413" spans="1:5">
      <c r="A413" t="s">
        <v>26</v>
      </c>
      <c r="B413" t="s">
        <v>559</v>
      </c>
      <c r="C413" t="s">
        <v>66</v>
      </c>
      <c r="D413">
        <v>4</v>
      </c>
      <c r="E413">
        <v>70.7</v>
      </c>
    </row>
    <row r="414" spans="1:5">
      <c r="A414" t="s">
        <v>26</v>
      </c>
      <c r="B414" t="s">
        <v>560</v>
      </c>
      <c r="C414" t="s">
        <v>68</v>
      </c>
      <c r="D414">
        <v>10</v>
      </c>
      <c r="E414">
        <v>45.9</v>
      </c>
    </row>
    <row r="415" spans="1:5">
      <c r="A415" t="s">
        <v>26</v>
      </c>
      <c r="B415" t="s">
        <v>561</v>
      </c>
      <c r="C415" t="s">
        <v>70</v>
      </c>
      <c r="D415">
        <v>8</v>
      </c>
      <c r="E415">
        <v>51.7</v>
      </c>
    </row>
    <row r="416" spans="1:5">
      <c r="A416" t="s">
        <v>26</v>
      </c>
      <c r="B416" t="s">
        <v>562</v>
      </c>
      <c r="C416" t="s">
        <v>72</v>
      </c>
      <c r="D416">
        <v>6</v>
      </c>
      <c r="E416">
        <v>57.8</v>
      </c>
    </row>
    <row r="417" spans="1:5">
      <c r="A417" t="s">
        <v>26</v>
      </c>
      <c r="B417" t="s">
        <v>563</v>
      </c>
      <c r="C417" t="s">
        <v>74</v>
      </c>
      <c r="D417">
        <v>10</v>
      </c>
      <c r="E417">
        <v>44.8</v>
      </c>
    </row>
    <row r="418" spans="1:5">
      <c r="A418" t="s">
        <v>26</v>
      </c>
      <c r="B418" t="s">
        <v>564</v>
      </c>
      <c r="C418" t="s">
        <v>76</v>
      </c>
      <c r="D418">
        <v>7</v>
      </c>
      <c r="E418">
        <v>55.5</v>
      </c>
    </row>
    <row r="419" spans="1:5">
      <c r="A419" t="s">
        <v>26</v>
      </c>
      <c r="B419" t="s">
        <v>565</v>
      </c>
      <c r="C419" t="s">
        <v>78</v>
      </c>
      <c r="D419">
        <v>8</v>
      </c>
      <c r="E419">
        <v>50</v>
      </c>
    </row>
    <row r="420" spans="1:5">
      <c r="A420" t="s">
        <v>26</v>
      </c>
      <c r="B420" t="s">
        <v>566</v>
      </c>
      <c r="C420" t="s">
        <v>80</v>
      </c>
      <c r="D420">
        <v>7</v>
      </c>
      <c r="E420">
        <v>53.5</v>
      </c>
    </row>
    <row r="421" spans="1:5">
      <c r="A421" t="s">
        <v>26</v>
      </c>
      <c r="B421" t="s">
        <v>567</v>
      </c>
      <c r="C421" t="s">
        <v>82</v>
      </c>
      <c r="D421">
        <v>7</v>
      </c>
      <c r="E421">
        <v>55.5</v>
      </c>
    </row>
    <row r="422" spans="1:5">
      <c r="A422" t="s">
        <v>26</v>
      </c>
      <c r="B422" t="s">
        <v>568</v>
      </c>
      <c r="C422" t="s">
        <v>84</v>
      </c>
      <c r="D422">
        <v>4</v>
      </c>
      <c r="E422">
        <v>70.7</v>
      </c>
    </row>
    <row r="423" spans="1:5">
      <c r="A423" t="s">
        <v>26</v>
      </c>
      <c r="B423" t="s">
        <v>569</v>
      </c>
      <c r="C423" t="s">
        <v>86</v>
      </c>
      <c r="D423">
        <v>61</v>
      </c>
      <c r="E423">
        <v>18.3</v>
      </c>
    </row>
    <row r="424" spans="1:5">
      <c r="A424" t="s">
        <v>26</v>
      </c>
      <c r="B424" t="s">
        <v>570</v>
      </c>
      <c r="C424" t="s">
        <v>88</v>
      </c>
      <c r="D424">
        <v>3</v>
      </c>
      <c r="E424">
        <v>81.7</v>
      </c>
    </row>
    <row r="425" spans="1:5">
      <c r="A425" t="s">
        <v>26</v>
      </c>
      <c r="B425" t="s">
        <v>571</v>
      </c>
      <c r="C425" t="s">
        <v>90</v>
      </c>
      <c r="D425">
        <v>9</v>
      </c>
      <c r="E425">
        <v>47.2</v>
      </c>
    </row>
    <row r="426" spans="1:5">
      <c r="A426" t="s">
        <v>26</v>
      </c>
      <c r="B426" t="s">
        <v>572</v>
      </c>
      <c r="C426" t="s">
        <v>92</v>
      </c>
      <c r="D426">
        <v>8</v>
      </c>
      <c r="E426">
        <v>51.7</v>
      </c>
    </row>
    <row r="427" spans="1:5">
      <c r="A427" t="s">
        <v>26</v>
      </c>
      <c r="B427" t="s">
        <v>573</v>
      </c>
      <c r="C427" t="s">
        <v>94</v>
      </c>
      <c r="D427">
        <v>7</v>
      </c>
      <c r="E427">
        <v>53.5</v>
      </c>
    </row>
    <row r="428" spans="1:5">
      <c r="A428" t="s">
        <v>26</v>
      </c>
      <c r="B428" t="s">
        <v>574</v>
      </c>
      <c r="C428" t="s">
        <v>96</v>
      </c>
      <c r="D428">
        <v>8</v>
      </c>
      <c r="E428">
        <v>51.7</v>
      </c>
    </row>
    <row r="429" spans="1:5">
      <c r="A429" t="s">
        <v>26</v>
      </c>
      <c r="B429" t="s">
        <v>575</v>
      </c>
      <c r="C429" t="s">
        <v>98</v>
      </c>
      <c r="D429">
        <v>9</v>
      </c>
      <c r="E429">
        <v>47.2</v>
      </c>
    </row>
    <row r="430" spans="1:5">
      <c r="A430" t="s">
        <v>26</v>
      </c>
      <c r="B430" t="s">
        <v>576</v>
      </c>
      <c r="C430" t="s">
        <v>100</v>
      </c>
      <c r="D430">
        <v>9</v>
      </c>
      <c r="E430">
        <v>48.5</v>
      </c>
    </row>
    <row r="431" spans="1:5">
      <c r="A431" t="s">
        <v>26</v>
      </c>
      <c r="B431" t="s">
        <v>577</v>
      </c>
      <c r="C431" t="s">
        <v>102</v>
      </c>
      <c r="D431">
        <v>10</v>
      </c>
      <c r="E431">
        <v>45.9</v>
      </c>
    </row>
    <row r="432" spans="1:5">
      <c r="A432" t="s">
        <v>26</v>
      </c>
      <c r="B432" t="s">
        <v>578</v>
      </c>
      <c r="C432" t="s">
        <v>104</v>
      </c>
      <c r="D432">
        <v>6</v>
      </c>
      <c r="E432">
        <v>60.3</v>
      </c>
    </row>
    <row r="433" spans="1:5">
      <c r="A433" t="s">
        <v>26</v>
      </c>
      <c r="B433" t="s">
        <v>579</v>
      </c>
      <c r="C433" t="s">
        <v>106</v>
      </c>
      <c r="D433">
        <v>5</v>
      </c>
      <c r="E433">
        <v>66.7</v>
      </c>
    </row>
    <row r="434" spans="1:5">
      <c r="A434" t="s">
        <v>26</v>
      </c>
      <c r="B434" t="s">
        <v>580</v>
      </c>
      <c r="C434" t="s">
        <v>108</v>
      </c>
      <c r="D434">
        <v>4686</v>
      </c>
      <c r="E434">
        <v>2.8</v>
      </c>
    </row>
    <row r="435" spans="1:5">
      <c r="A435" t="s">
        <v>26</v>
      </c>
      <c r="B435" t="s">
        <v>581</v>
      </c>
      <c r="C435" t="s">
        <v>110</v>
      </c>
      <c r="D435">
        <v>4674</v>
      </c>
      <c r="E435">
        <v>2.8</v>
      </c>
    </row>
    <row r="436" spans="1:5">
      <c r="A436" t="s">
        <v>26</v>
      </c>
      <c r="B436" t="s">
        <v>582</v>
      </c>
      <c r="C436" t="s">
        <v>112</v>
      </c>
      <c r="D436">
        <v>6</v>
      </c>
      <c r="E436">
        <v>60.3</v>
      </c>
    </row>
    <row r="437" spans="1:5">
      <c r="A437" t="s">
        <v>26</v>
      </c>
      <c r="B437" t="s">
        <v>583</v>
      </c>
      <c r="C437" t="s">
        <v>114</v>
      </c>
      <c r="D437">
        <v>7</v>
      </c>
      <c r="E437">
        <v>55.5</v>
      </c>
    </row>
    <row r="438" spans="1:5">
      <c r="A438" t="s">
        <v>26</v>
      </c>
      <c r="B438" t="s">
        <v>584</v>
      </c>
      <c r="C438" t="s">
        <v>116</v>
      </c>
      <c r="D438">
        <v>6</v>
      </c>
      <c r="E438">
        <v>60.3</v>
      </c>
    </row>
    <row r="439" spans="1:5">
      <c r="A439" t="s">
        <v>26</v>
      </c>
      <c r="B439" t="s">
        <v>585</v>
      </c>
      <c r="C439" t="s">
        <v>118</v>
      </c>
      <c r="D439">
        <v>7</v>
      </c>
      <c r="E439">
        <v>53.5</v>
      </c>
    </row>
    <row r="440" spans="1:5">
      <c r="A440" t="s">
        <v>26</v>
      </c>
      <c r="B440" t="s">
        <v>586</v>
      </c>
      <c r="C440" t="s">
        <v>120</v>
      </c>
      <c r="D440">
        <v>7</v>
      </c>
      <c r="E440">
        <v>55.5</v>
      </c>
    </row>
    <row r="441" spans="1:5">
      <c r="A441" t="s">
        <v>26</v>
      </c>
      <c r="B441" t="s">
        <v>587</v>
      </c>
      <c r="C441" t="s">
        <v>122</v>
      </c>
      <c r="D441">
        <v>5</v>
      </c>
      <c r="E441">
        <v>66.7</v>
      </c>
    </row>
    <row r="442" spans="1:5">
      <c r="A442" t="s">
        <v>26</v>
      </c>
      <c r="B442" t="s">
        <v>588</v>
      </c>
      <c r="C442" t="s">
        <v>124</v>
      </c>
      <c r="D442">
        <v>8</v>
      </c>
      <c r="E442">
        <v>51.7</v>
      </c>
    </row>
    <row r="443" spans="1:5">
      <c r="A443" t="s">
        <v>26</v>
      </c>
      <c r="B443" t="s">
        <v>589</v>
      </c>
      <c r="C443" t="s">
        <v>126</v>
      </c>
      <c r="D443">
        <v>11</v>
      </c>
      <c r="E443">
        <v>43.7</v>
      </c>
    </row>
    <row r="444" spans="1:5">
      <c r="A444" t="s">
        <v>26</v>
      </c>
      <c r="B444" t="s">
        <v>590</v>
      </c>
      <c r="C444" t="s">
        <v>128</v>
      </c>
      <c r="D444">
        <v>6</v>
      </c>
      <c r="E444">
        <v>57.8</v>
      </c>
    </row>
    <row r="445" spans="1:5">
      <c r="A445" t="s">
        <v>26</v>
      </c>
      <c r="B445" t="s">
        <v>591</v>
      </c>
      <c r="C445" t="s">
        <v>130</v>
      </c>
      <c r="D445">
        <v>8</v>
      </c>
      <c r="E445">
        <v>51.7</v>
      </c>
    </row>
    <row r="446" spans="1:5">
      <c r="A446" t="s">
        <v>26</v>
      </c>
      <c r="B446" t="s">
        <v>592</v>
      </c>
      <c r="C446" t="s">
        <v>132</v>
      </c>
      <c r="D446">
        <v>4677</v>
      </c>
      <c r="E446">
        <v>2.8</v>
      </c>
    </row>
    <row r="447" spans="1:5">
      <c r="A447" t="s">
        <v>26</v>
      </c>
      <c r="B447" t="s">
        <v>593</v>
      </c>
      <c r="C447" t="s">
        <v>134</v>
      </c>
      <c r="D447">
        <v>5084</v>
      </c>
      <c r="E447">
        <v>2.8</v>
      </c>
    </row>
    <row r="448" spans="1:5">
      <c r="A448" t="s">
        <v>26</v>
      </c>
      <c r="B448" t="s">
        <v>594</v>
      </c>
      <c r="C448" t="s">
        <v>136</v>
      </c>
      <c r="D448">
        <v>5</v>
      </c>
      <c r="E448">
        <v>66.7</v>
      </c>
    </row>
    <row r="449" spans="1:5">
      <c r="A449" t="s">
        <v>26</v>
      </c>
      <c r="B449" t="s">
        <v>595</v>
      </c>
      <c r="C449" t="s">
        <v>138</v>
      </c>
      <c r="D449">
        <v>5</v>
      </c>
      <c r="E449">
        <v>63.3</v>
      </c>
    </row>
    <row r="450" spans="1:5">
      <c r="A450" t="s">
        <v>26</v>
      </c>
      <c r="B450" t="s">
        <v>596</v>
      </c>
      <c r="C450" t="s">
        <v>140</v>
      </c>
      <c r="D450">
        <v>7</v>
      </c>
      <c r="E450">
        <v>55.5</v>
      </c>
    </row>
    <row r="451" spans="1:5">
      <c r="A451" t="s">
        <v>26</v>
      </c>
      <c r="B451" t="s">
        <v>597</v>
      </c>
      <c r="C451" t="s">
        <v>142</v>
      </c>
      <c r="D451">
        <v>8</v>
      </c>
      <c r="E451">
        <v>51.7</v>
      </c>
    </row>
    <row r="452" spans="1:5">
      <c r="A452" t="s">
        <v>26</v>
      </c>
      <c r="B452" t="s">
        <v>598</v>
      </c>
      <c r="C452" t="s">
        <v>144</v>
      </c>
      <c r="D452">
        <v>6</v>
      </c>
      <c r="E452">
        <v>60.3</v>
      </c>
    </row>
    <row r="453" spans="1:5">
      <c r="A453" t="s">
        <v>26</v>
      </c>
      <c r="B453" t="s">
        <v>599</v>
      </c>
      <c r="C453" t="s">
        <v>146</v>
      </c>
      <c r="D453">
        <v>14</v>
      </c>
      <c r="E453">
        <v>39.299999999999997</v>
      </c>
    </row>
    <row r="454" spans="1:5">
      <c r="A454" t="s">
        <v>26</v>
      </c>
      <c r="B454" t="s">
        <v>600</v>
      </c>
      <c r="C454" t="s">
        <v>148</v>
      </c>
      <c r="D454">
        <v>9</v>
      </c>
      <c r="E454">
        <v>48.5</v>
      </c>
    </row>
    <row r="455" spans="1:5">
      <c r="A455" t="s">
        <v>26</v>
      </c>
      <c r="B455" t="s">
        <v>601</v>
      </c>
      <c r="C455" t="s">
        <v>150</v>
      </c>
      <c r="D455">
        <v>9</v>
      </c>
      <c r="E455">
        <v>48.5</v>
      </c>
    </row>
    <row r="456" spans="1:5">
      <c r="A456" t="s">
        <v>26</v>
      </c>
      <c r="B456" t="s">
        <v>602</v>
      </c>
      <c r="C456" t="s">
        <v>152</v>
      </c>
      <c r="D456">
        <v>6</v>
      </c>
      <c r="E456">
        <v>57.8</v>
      </c>
    </row>
    <row r="457" spans="1:5">
      <c r="A457" t="s">
        <v>26</v>
      </c>
      <c r="B457" t="s">
        <v>603</v>
      </c>
      <c r="C457" t="s">
        <v>154</v>
      </c>
      <c r="D457">
        <v>4</v>
      </c>
      <c r="E457">
        <v>70.7</v>
      </c>
    </row>
    <row r="458" spans="1:5">
      <c r="A458" t="s">
        <v>26</v>
      </c>
      <c r="B458" t="s">
        <v>604</v>
      </c>
      <c r="C458" t="s">
        <v>156</v>
      </c>
      <c r="D458">
        <v>5242</v>
      </c>
      <c r="E458">
        <v>2.7</v>
      </c>
    </row>
    <row r="459" spans="1:5">
      <c r="A459" t="s">
        <v>26</v>
      </c>
      <c r="B459" t="s">
        <v>605</v>
      </c>
      <c r="C459" t="s">
        <v>158</v>
      </c>
      <c r="D459">
        <v>4851</v>
      </c>
      <c r="E459">
        <v>2.8</v>
      </c>
    </row>
    <row r="460" spans="1:5">
      <c r="A460" t="s">
        <v>26</v>
      </c>
      <c r="B460" t="s">
        <v>606</v>
      </c>
      <c r="C460" t="s">
        <v>160</v>
      </c>
      <c r="D460">
        <v>6</v>
      </c>
      <c r="E460">
        <v>57.8</v>
      </c>
    </row>
    <row r="461" spans="1:5">
      <c r="A461" t="s">
        <v>26</v>
      </c>
      <c r="B461" t="s">
        <v>607</v>
      </c>
      <c r="C461" t="s">
        <v>162</v>
      </c>
      <c r="D461">
        <v>7</v>
      </c>
      <c r="E461">
        <v>53.5</v>
      </c>
    </row>
    <row r="462" spans="1:5">
      <c r="A462" t="s">
        <v>26</v>
      </c>
      <c r="B462" t="s">
        <v>608</v>
      </c>
      <c r="C462" t="s">
        <v>164</v>
      </c>
      <c r="D462">
        <v>7</v>
      </c>
      <c r="E462">
        <v>53.5</v>
      </c>
    </row>
    <row r="463" spans="1:5">
      <c r="A463" t="s">
        <v>26</v>
      </c>
      <c r="B463" t="s">
        <v>609</v>
      </c>
      <c r="C463" t="s">
        <v>166</v>
      </c>
      <c r="D463">
        <v>5</v>
      </c>
      <c r="E463">
        <v>66.7</v>
      </c>
    </row>
    <row r="464" spans="1:5">
      <c r="A464" t="s">
        <v>26</v>
      </c>
      <c r="B464" t="s">
        <v>610</v>
      </c>
      <c r="C464" t="s">
        <v>168</v>
      </c>
      <c r="D464">
        <v>5</v>
      </c>
      <c r="E464">
        <v>63.3</v>
      </c>
    </row>
    <row r="465" spans="1:5">
      <c r="A465" t="s">
        <v>26</v>
      </c>
      <c r="B465" t="s">
        <v>611</v>
      </c>
      <c r="C465" t="s">
        <v>170</v>
      </c>
      <c r="D465">
        <v>6</v>
      </c>
      <c r="E465">
        <v>57.8</v>
      </c>
    </row>
    <row r="466" spans="1:5">
      <c r="A466" t="s">
        <v>26</v>
      </c>
      <c r="B466" t="s">
        <v>612</v>
      </c>
      <c r="C466" t="s">
        <v>172</v>
      </c>
      <c r="D466">
        <v>10</v>
      </c>
      <c r="E466">
        <v>45.9</v>
      </c>
    </row>
    <row r="467" spans="1:5">
      <c r="A467" t="s">
        <v>26</v>
      </c>
      <c r="B467" t="s">
        <v>613</v>
      </c>
      <c r="C467" t="s">
        <v>174</v>
      </c>
      <c r="D467">
        <v>5</v>
      </c>
      <c r="E467">
        <v>63.3</v>
      </c>
    </row>
    <row r="468" spans="1:5">
      <c r="A468" t="s">
        <v>26</v>
      </c>
      <c r="B468" t="s">
        <v>614</v>
      </c>
      <c r="C468" t="s">
        <v>176</v>
      </c>
      <c r="D468">
        <v>3</v>
      </c>
      <c r="E468">
        <v>81.7</v>
      </c>
    </row>
    <row r="469" spans="1:5">
      <c r="A469" t="s">
        <v>26</v>
      </c>
      <c r="B469" t="s">
        <v>615</v>
      </c>
      <c r="C469" t="s">
        <v>178</v>
      </c>
      <c r="D469">
        <v>4</v>
      </c>
      <c r="E469">
        <v>75.599999999999994</v>
      </c>
    </row>
    <row r="470" spans="1:5">
      <c r="A470" t="s">
        <v>26</v>
      </c>
      <c r="B470" t="s">
        <v>616</v>
      </c>
      <c r="C470" t="s">
        <v>180</v>
      </c>
      <c r="D470">
        <v>4932</v>
      </c>
      <c r="E470">
        <v>2.8</v>
      </c>
    </row>
    <row r="471" spans="1:5">
      <c r="A471" t="s">
        <v>26</v>
      </c>
      <c r="B471" t="s">
        <v>617</v>
      </c>
      <c r="C471" t="s">
        <v>182</v>
      </c>
      <c r="D471">
        <v>5120</v>
      </c>
      <c r="E471">
        <v>2.8</v>
      </c>
    </row>
    <row r="472" spans="1:5">
      <c r="A472" t="s">
        <v>26</v>
      </c>
      <c r="B472" t="s">
        <v>618</v>
      </c>
      <c r="C472" t="s">
        <v>184</v>
      </c>
      <c r="D472">
        <v>4</v>
      </c>
      <c r="E472">
        <v>70.7</v>
      </c>
    </row>
    <row r="473" spans="1:5">
      <c r="A473" t="s">
        <v>26</v>
      </c>
      <c r="B473" t="s">
        <v>619</v>
      </c>
      <c r="C473" t="s">
        <v>186</v>
      </c>
      <c r="D473">
        <v>5</v>
      </c>
      <c r="E473">
        <v>66.7</v>
      </c>
    </row>
    <row r="474" spans="1:5">
      <c r="A474" t="s">
        <v>26</v>
      </c>
      <c r="B474" t="s">
        <v>620</v>
      </c>
      <c r="C474" t="s">
        <v>188</v>
      </c>
      <c r="D474">
        <v>5</v>
      </c>
      <c r="E474">
        <v>66.7</v>
      </c>
    </row>
    <row r="475" spans="1:5">
      <c r="A475" t="s">
        <v>26</v>
      </c>
      <c r="B475" t="s">
        <v>621</v>
      </c>
      <c r="C475" t="s">
        <v>190</v>
      </c>
      <c r="D475">
        <v>10</v>
      </c>
      <c r="E475">
        <v>44.8</v>
      </c>
    </row>
    <row r="476" spans="1:5">
      <c r="A476" t="s">
        <v>26</v>
      </c>
      <c r="B476" t="s">
        <v>622</v>
      </c>
      <c r="C476" t="s">
        <v>192</v>
      </c>
      <c r="D476">
        <v>6</v>
      </c>
      <c r="E476">
        <v>57.8</v>
      </c>
    </row>
    <row r="477" spans="1:5">
      <c r="A477" t="s">
        <v>26</v>
      </c>
      <c r="B477" t="s">
        <v>623</v>
      </c>
      <c r="C477" t="s">
        <v>194</v>
      </c>
      <c r="D477">
        <v>8</v>
      </c>
      <c r="E477">
        <v>51.7</v>
      </c>
    </row>
    <row r="478" spans="1:5">
      <c r="A478" t="s">
        <v>26</v>
      </c>
      <c r="B478" t="s">
        <v>624</v>
      </c>
      <c r="C478" t="s">
        <v>196</v>
      </c>
      <c r="D478">
        <v>9</v>
      </c>
      <c r="E478">
        <v>48.5</v>
      </c>
    </row>
    <row r="479" spans="1:5">
      <c r="A479" t="s">
        <v>26</v>
      </c>
      <c r="B479" t="s">
        <v>625</v>
      </c>
      <c r="C479" t="s">
        <v>198</v>
      </c>
      <c r="D479">
        <v>8</v>
      </c>
      <c r="E479">
        <v>51.7</v>
      </c>
    </row>
    <row r="480" spans="1:5">
      <c r="A480" t="s">
        <v>26</v>
      </c>
      <c r="B480" t="s">
        <v>626</v>
      </c>
      <c r="C480" t="s">
        <v>200</v>
      </c>
      <c r="D480">
        <v>10</v>
      </c>
      <c r="E480">
        <v>45.9</v>
      </c>
    </row>
    <row r="481" spans="1:5">
      <c r="A481" t="s">
        <v>26</v>
      </c>
      <c r="B481" t="s">
        <v>627</v>
      </c>
      <c r="C481" t="s">
        <v>202</v>
      </c>
      <c r="D481">
        <v>5</v>
      </c>
      <c r="E481">
        <v>63.3</v>
      </c>
    </row>
    <row r="482" spans="1:5">
      <c r="A482" t="s">
        <v>26</v>
      </c>
      <c r="B482" t="s">
        <v>628</v>
      </c>
      <c r="C482" t="s">
        <v>204</v>
      </c>
      <c r="D482">
        <v>6</v>
      </c>
      <c r="E482">
        <v>57.8</v>
      </c>
    </row>
    <row r="483" spans="1:5">
      <c r="A483" t="s">
        <v>26</v>
      </c>
      <c r="B483" t="s">
        <v>629</v>
      </c>
      <c r="C483" t="s">
        <v>206</v>
      </c>
      <c r="D483">
        <v>14</v>
      </c>
      <c r="E483">
        <v>38.5</v>
      </c>
    </row>
    <row r="484" spans="1:5">
      <c r="A484" t="s">
        <v>26</v>
      </c>
      <c r="B484" t="s">
        <v>630</v>
      </c>
      <c r="C484" t="s">
        <v>208</v>
      </c>
      <c r="D484">
        <v>8</v>
      </c>
      <c r="E484">
        <v>51.7</v>
      </c>
    </row>
    <row r="485" spans="1:5">
      <c r="A485" t="s">
        <v>26</v>
      </c>
      <c r="B485" t="s">
        <v>631</v>
      </c>
      <c r="C485" t="s">
        <v>210</v>
      </c>
      <c r="D485">
        <v>8</v>
      </c>
      <c r="E485">
        <v>50</v>
      </c>
    </row>
    <row r="486" spans="1:5">
      <c r="A486" t="s">
        <v>26</v>
      </c>
      <c r="B486" t="s">
        <v>632</v>
      </c>
      <c r="C486" t="s">
        <v>212</v>
      </c>
      <c r="D486">
        <v>6</v>
      </c>
      <c r="E486">
        <v>57.8</v>
      </c>
    </row>
    <row r="487" spans="1:5">
      <c r="A487" t="s">
        <v>26</v>
      </c>
      <c r="B487" t="s">
        <v>633</v>
      </c>
      <c r="C487" t="s">
        <v>214</v>
      </c>
      <c r="D487">
        <v>4</v>
      </c>
      <c r="E487">
        <v>70.7</v>
      </c>
    </row>
    <row r="488" spans="1:5">
      <c r="A488" t="s">
        <v>26</v>
      </c>
      <c r="B488" t="s">
        <v>634</v>
      </c>
      <c r="C488" t="s">
        <v>216</v>
      </c>
      <c r="D488">
        <v>8</v>
      </c>
      <c r="E488">
        <v>50</v>
      </c>
    </row>
    <row r="489" spans="1:5">
      <c r="A489" t="s">
        <v>26</v>
      </c>
      <c r="B489" t="s">
        <v>635</v>
      </c>
      <c r="C489" t="s">
        <v>218</v>
      </c>
      <c r="D489">
        <v>6</v>
      </c>
      <c r="E489">
        <v>60.3</v>
      </c>
    </row>
    <row r="490" spans="1:5">
      <c r="A490" t="s">
        <v>26</v>
      </c>
      <c r="B490" t="s">
        <v>636</v>
      </c>
      <c r="C490" t="s">
        <v>220</v>
      </c>
      <c r="D490">
        <v>7</v>
      </c>
      <c r="E490">
        <v>53.5</v>
      </c>
    </row>
    <row r="491" spans="1:5">
      <c r="A491" t="s">
        <v>26</v>
      </c>
      <c r="B491" t="s">
        <v>637</v>
      </c>
      <c r="C491" t="s">
        <v>222</v>
      </c>
      <c r="D491">
        <v>8</v>
      </c>
      <c r="E491">
        <v>51.7</v>
      </c>
    </row>
    <row r="493" spans="1:5">
      <c r="A493" t="s">
        <v>415</v>
      </c>
    </row>
    <row r="494" spans="1:5">
      <c r="A494" t="s">
        <v>416</v>
      </c>
    </row>
    <row r="495" spans="1:5">
      <c r="A495" t="s">
        <v>417</v>
      </c>
    </row>
    <row r="496" spans="1:5">
      <c r="A496" t="s">
        <v>418</v>
      </c>
    </row>
    <row r="497" spans="1:19">
      <c r="A497" t="s">
        <v>438</v>
      </c>
    </row>
    <row r="500" spans="1:19">
      <c r="A500" t="s">
        <v>29</v>
      </c>
    </row>
    <row r="502" spans="1:19">
      <c r="A502" t="s">
        <v>26</v>
      </c>
      <c r="B502">
        <v>1</v>
      </c>
      <c r="C502">
        <v>2</v>
      </c>
      <c r="D502">
        <v>3</v>
      </c>
      <c r="E502">
        <v>4</v>
      </c>
      <c r="F502">
        <v>5</v>
      </c>
      <c r="G502">
        <v>6</v>
      </c>
      <c r="H502">
        <v>7</v>
      </c>
      <c r="I502">
        <v>8</v>
      </c>
      <c r="J502">
        <v>9</v>
      </c>
      <c r="K502">
        <v>10</v>
      </c>
      <c r="L502">
        <v>11</v>
      </c>
      <c r="M502">
        <v>12</v>
      </c>
      <c r="O502" t="s">
        <v>645</v>
      </c>
    </row>
    <row r="503" spans="1:19">
      <c r="A503" t="s">
        <v>419</v>
      </c>
      <c r="B503">
        <v>300</v>
      </c>
      <c r="C503">
        <v>174</v>
      </c>
      <c r="D503">
        <v>145</v>
      </c>
      <c r="E503">
        <v>195</v>
      </c>
      <c r="F503">
        <v>222</v>
      </c>
      <c r="G503">
        <v>277</v>
      </c>
      <c r="H503">
        <v>349</v>
      </c>
      <c r="I503">
        <v>341</v>
      </c>
      <c r="J503">
        <v>259</v>
      </c>
      <c r="K503">
        <v>313</v>
      </c>
      <c r="L503">
        <v>250</v>
      </c>
      <c r="M503">
        <v>307</v>
      </c>
      <c r="O503">
        <v>300</v>
      </c>
      <c r="P503">
        <v>344</v>
      </c>
      <c r="R503">
        <v>258</v>
      </c>
      <c r="S503">
        <v>384</v>
      </c>
    </row>
    <row r="504" spans="1:19">
      <c r="A504" t="s">
        <v>420</v>
      </c>
      <c r="B504">
        <v>344</v>
      </c>
      <c r="C504">
        <v>214</v>
      </c>
      <c r="D504">
        <v>140</v>
      </c>
      <c r="E504">
        <v>196</v>
      </c>
      <c r="F504">
        <v>243</v>
      </c>
      <c r="G504">
        <v>292</v>
      </c>
      <c r="H504">
        <v>436</v>
      </c>
      <c r="I504">
        <v>338</v>
      </c>
      <c r="J504">
        <v>276</v>
      </c>
      <c r="K504">
        <v>272</v>
      </c>
      <c r="L504">
        <v>270</v>
      </c>
      <c r="M504">
        <v>312</v>
      </c>
      <c r="O504">
        <v>174</v>
      </c>
      <c r="P504">
        <v>214</v>
      </c>
      <c r="R504">
        <v>130</v>
      </c>
      <c r="S504">
        <v>163</v>
      </c>
    </row>
    <row r="505" spans="1:19">
      <c r="A505" t="s">
        <v>421</v>
      </c>
      <c r="B505">
        <v>373</v>
      </c>
      <c r="C505">
        <v>212</v>
      </c>
      <c r="D505">
        <v>209</v>
      </c>
      <c r="E505">
        <v>202</v>
      </c>
      <c r="F505">
        <v>234</v>
      </c>
      <c r="G505">
        <v>331</v>
      </c>
      <c r="H505">
        <v>389</v>
      </c>
      <c r="I505">
        <v>341</v>
      </c>
      <c r="J505">
        <v>326</v>
      </c>
      <c r="K505">
        <v>358</v>
      </c>
      <c r="L505">
        <v>318</v>
      </c>
      <c r="M505">
        <v>369</v>
      </c>
      <c r="O505">
        <v>145</v>
      </c>
      <c r="P505">
        <v>140</v>
      </c>
      <c r="R505">
        <v>124</v>
      </c>
      <c r="S505">
        <v>113</v>
      </c>
    </row>
    <row r="506" spans="1:19">
      <c r="A506" t="s">
        <v>422</v>
      </c>
      <c r="B506">
        <v>506</v>
      </c>
      <c r="C506">
        <v>190</v>
      </c>
      <c r="D506">
        <v>149</v>
      </c>
      <c r="E506">
        <v>263</v>
      </c>
      <c r="F506">
        <v>325</v>
      </c>
      <c r="G506">
        <v>321</v>
      </c>
      <c r="H506">
        <v>374</v>
      </c>
      <c r="I506">
        <v>372</v>
      </c>
      <c r="J506">
        <v>341</v>
      </c>
      <c r="K506">
        <v>334</v>
      </c>
      <c r="L506">
        <v>333</v>
      </c>
      <c r="M506">
        <v>385</v>
      </c>
      <c r="O506">
        <v>195</v>
      </c>
      <c r="P506">
        <v>196</v>
      </c>
      <c r="R506">
        <v>159</v>
      </c>
      <c r="S506">
        <v>149</v>
      </c>
    </row>
    <row r="507" spans="1:19">
      <c r="A507" t="s">
        <v>423</v>
      </c>
      <c r="B507">
        <v>358</v>
      </c>
      <c r="C507">
        <v>265</v>
      </c>
      <c r="D507">
        <v>209</v>
      </c>
      <c r="E507">
        <v>282</v>
      </c>
      <c r="F507">
        <v>487</v>
      </c>
      <c r="G507">
        <v>421</v>
      </c>
      <c r="H507">
        <v>454</v>
      </c>
      <c r="I507">
        <v>398</v>
      </c>
      <c r="J507">
        <v>335</v>
      </c>
      <c r="K507">
        <v>441</v>
      </c>
      <c r="L507">
        <v>343</v>
      </c>
      <c r="M507">
        <v>334</v>
      </c>
      <c r="O507">
        <v>222</v>
      </c>
      <c r="P507">
        <v>243</v>
      </c>
      <c r="R507">
        <v>228</v>
      </c>
      <c r="S507">
        <v>220</v>
      </c>
    </row>
    <row r="508" spans="1:19">
      <c r="A508" t="s">
        <v>424</v>
      </c>
      <c r="B508">
        <v>565</v>
      </c>
      <c r="C508">
        <v>162</v>
      </c>
      <c r="D508">
        <v>158</v>
      </c>
      <c r="E508">
        <v>364</v>
      </c>
      <c r="F508">
        <v>435</v>
      </c>
      <c r="G508">
        <v>425</v>
      </c>
      <c r="H508">
        <v>497</v>
      </c>
      <c r="I508">
        <v>476</v>
      </c>
      <c r="J508">
        <v>352</v>
      </c>
      <c r="K508">
        <v>474</v>
      </c>
      <c r="L508">
        <v>327</v>
      </c>
      <c r="M508">
        <v>413</v>
      </c>
      <c r="O508">
        <v>277</v>
      </c>
      <c r="P508">
        <v>292</v>
      </c>
      <c r="R508">
        <v>214</v>
      </c>
      <c r="S508">
        <v>282</v>
      </c>
    </row>
    <row r="509" spans="1:19">
      <c r="A509" t="s">
        <v>425</v>
      </c>
      <c r="B509">
        <v>361</v>
      </c>
      <c r="C509">
        <v>176</v>
      </c>
      <c r="D509">
        <v>161</v>
      </c>
      <c r="E509">
        <v>261</v>
      </c>
      <c r="F509">
        <v>262</v>
      </c>
      <c r="G509">
        <v>387</v>
      </c>
      <c r="H509">
        <v>430</v>
      </c>
      <c r="I509">
        <v>380</v>
      </c>
      <c r="J509">
        <v>314</v>
      </c>
      <c r="K509">
        <v>375</v>
      </c>
      <c r="L509">
        <v>396</v>
      </c>
      <c r="M509">
        <v>422</v>
      </c>
      <c r="O509">
        <v>349</v>
      </c>
      <c r="P509">
        <v>436</v>
      </c>
      <c r="R509">
        <v>308</v>
      </c>
      <c r="S509">
        <v>313</v>
      </c>
    </row>
    <row r="510" spans="1:19">
      <c r="A510" t="s">
        <v>426</v>
      </c>
      <c r="B510">
        <v>352</v>
      </c>
      <c r="C510">
        <v>197</v>
      </c>
      <c r="D510">
        <v>149</v>
      </c>
      <c r="E510">
        <v>279</v>
      </c>
      <c r="F510">
        <v>280</v>
      </c>
      <c r="G510">
        <v>394</v>
      </c>
      <c r="H510">
        <v>502</v>
      </c>
      <c r="I510">
        <v>347</v>
      </c>
      <c r="J510">
        <v>337</v>
      </c>
      <c r="K510">
        <v>446</v>
      </c>
      <c r="L510">
        <v>395</v>
      </c>
      <c r="M510">
        <v>353</v>
      </c>
      <c r="O510">
        <v>341</v>
      </c>
      <c r="P510">
        <v>338</v>
      </c>
      <c r="R510">
        <v>348</v>
      </c>
      <c r="S510">
        <v>316</v>
      </c>
    </row>
    <row r="511" spans="1:19">
      <c r="O511">
        <v>259</v>
      </c>
      <c r="P511">
        <v>276</v>
      </c>
      <c r="R511">
        <v>282</v>
      </c>
      <c r="S511">
        <v>282</v>
      </c>
    </row>
    <row r="512" spans="1:19">
      <c r="A512" t="s">
        <v>427</v>
      </c>
      <c r="O512">
        <v>313</v>
      </c>
      <c r="P512">
        <v>272</v>
      </c>
      <c r="R512">
        <v>301</v>
      </c>
      <c r="S512">
        <v>292</v>
      </c>
    </row>
    <row r="513" spans="1:19">
      <c r="A513" t="s">
        <v>428</v>
      </c>
      <c r="O513">
        <v>250</v>
      </c>
      <c r="P513">
        <v>270</v>
      </c>
      <c r="R513">
        <v>264</v>
      </c>
      <c r="S513">
        <v>310</v>
      </c>
    </row>
    <row r="514" spans="1:19">
      <c r="A514" t="s">
        <v>418</v>
      </c>
      <c r="O514">
        <v>307</v>
      </c>
      <c r="P514">
        <v>312</v>
      </c>
      <c r="R514">
        <v>284</v>
      </c>
      <c r="S514">
        <v>302</v>
      </c>
    </row>
    <row r="515" spans="1:19">
      <c r="A515" t="s">
        <v>439</v>
      </c>
    </row>
    <row r="516" spans="1:19">
      <c r="O516">
        <v>373</v>
      </c>
      <c r="P516">
        <v>506</v>
      </c>
      <c r="R516">
        <v>262</v>
      </c>
      <c r="S516">
        <v>447</v>
      </c>
    </row>
    <row r="517" spans="1:19">
      <c r="O517">
        <v>212</v>
      </c>
      <c r="P517">
        <v>190</v>
      </c>
      <c r="R517">
        <v>133</v>
      </c>
      <c r="S517">
        <v>109</v>
      </c>
    </row>
    <row r="518" spans="1:19">
      <c r="A518" t="s">
        <v>29</v>
      </c>
      <c r="O518">
        <v>209</v>
      </c>
      <c r="P518">
        <v>149</v>
      </c>
      <c r="R518">
        <v>233</v>
      </c>
      <c r="S518">
        <v>138</v>
      </c>
    </row>
    <row r="519" spans="1:19">
      <c r="O519">
        <v>202</v>
      </c>
      <c r="P519">
        <v>263</v>
      </c>
      <c r="R519">
        <v>201</v>
      </c>
      <c r="S519">
        <v>182</v>
      </c>
    </row>
    <row r="520" spans="1:19">
      <c r="A520" t="s">
        <v>26</v>
      </c>
      <c r="B520">
        <v>1</v>
      </c>
      <c r="C520">
        <v>2</v>
      </c>
      <c r="D520">
        <v>3</v>
      </c>
      <c r="E520">
        <v>4</v>
      </c>
      <c r="F520">
        <v>5</v>
      </c>
      <c r="G520">
        <v>6</v>
      </c>
      <c r="H520">
        <v>7</v>
      </c>
      <c r="I520">
        <v>8</v>
      </c>
      <c r="J520">
        <v>9</v>
      </c>
      <c r="K520">
        <v>10</v>
      </c>
      <c r="L520">
        <v>11</v>
      </c>
      <c r="M520">
        <v>12</v>
      </c>
      <c r="O520">
        <v>234</v>
      </c>
      <c r="P520">
        <v>325</v>
      </c>
      <c r="R520">
        <v>262</v>
      </c>
      <c r="S520">
        <v>292</v>
      </c>
    </row>
    <row r="521" spans="1:19">
      <c r="A521" t="s">
        <v>419</v>
      </c>
      <c r="B521">
        <v>343</v>
      </c>
      <c r="C521">
        <v>148</v>
      </c>
      <c r="D521">
        <v>143</v>
      </c>
      <c r="E521">
        <v>151</v>
      </c>
      <c r="F521">
        <v>297</v>
      </c>
      <c r="G521">
        <v>208</v>
      </c>
      <c r="H521">
        <v>286</v>
      </c>
      <c r="I521">
        <v>284</v>
      </c>
      <c r="J521">
        <v>306</v>
      </c>
      <c r="K521">
        <v>288</v>
      </c>
      <c r="L521">
        <v>321</v>
      </c>
      <c r="M521">
        <v>304</v>
      </c>
      <c r="O521">
        <v>331</v>
      </c>
      <c r="P521">
        <v>321</v>
      </c>
      <c r="R521">
        <v>273</v>
      </c>
      <c r="S521">
        <v>262</v>
      </c>
    </row>
    <row r="522" spans="1:19">
      <c r="A522" t="s">
        <v>420</v>
      </c>
      <c r="B522">
        <v>344</v>
      </c>
      <c r="C522">
        <v>108</v>
      </c>
      <c r="D522">
        <v>102</v>
      </c>
      <c r="E522">
        <v>120</v>
      </c>
      <c r="F522">
        <v>143</v>
      </c>
      <c r="G522">
        <v>235</v>
      </c>
      <c r="H522">
        <v>267</v>
      </c>
      <c r="I522">
        <v>282</v>
      </c>
      <c r="J522">
        <v>287</v>
      </c>
      <c r="K522">
        <v>265</v>
      </c>
      <c r="L522">
        <v>278</v>
      </c>
      <c r="M522">
        <v>339</v>
      </c>
      <c r="O522">
        <v>389</v>
      </c>
      <c r="P522">
        <v>374</v>
      </c>
      <c r="R522">
        <v>324</v>
      </c>
      <c r="S522">
        <v>379</v>
      </c>
    </row>
    <row r="523" spans="1:19">
      <c r="A523" t="s">
        <v>421</v>
      </c>
      <c r="B523">
        <v>322</v>
      </c>
      <c r="C523">
        <v>183</v>
      </c>
      <c r="D523">
        <v>226</v>
      </c>
      <c r="E523">
        <v>232</v>
      </c>
      <c r="F523">
        <v>286</v>
      </c>
      <c r="G523">
        <v>361</v>
      </c>
      <c r="H523">
        <v>310</v>
      </c>
      <c r="I523">
        <v>325</v>
      </c>
      <c r="J523">
        <v>339</v>
      </c>
      <c r="K523">
        <v>299</v>
      </c>
      <c r="L523">
        <v>353</v>
      </c>
      <c r="M523">
        <v>302</v>
      </c>
      <c r="O523">
        <v>341</v>
      </c>
      <c r="P523">
        <v>372</v>
      </c>
      <c r="R523">
        <v>405</v>
      </c>
      <c r="S523">
        <v>354</v>
      </c>
    </row>
    <row r="524" spans="1:19">
      <c r="A524" t="s">
        <v>422</v>
      </c>
      <c r="B524">
        <v>449</v>
      </c>
      <c r="C524">
        <v>147</v>
      </c>
      <c r="D524">
        <v>153</v>
      </c>
      <c r="E524">
        <v>166</v>
      </c>
      <c r="F524">
        <v>317</v>
      </c>
      <c r="G524">
        <v>275</v>
      </c>
      <c r="H524">
        <v>337</v>
      </c>
      <c r="I524">
        <v>313</v>
      </c>
      <c r="J524">
        <v>344</v>
      </c>
      <c r="K524">
        <v>346</v>
      </c>
      <c r="L524">
        <v>368</v>
      </c>
      <c r="M524">
        <v>372</v>
      </c>
      <c r="O524">
        <v>326</v>
      </c>
      <c r="P524">
        <v>341</v>
      </c>
      <c r="R524">
        <v>330</v>
      </c>
      <c r="S524">
        <v>342</v>
      </c>
    </row>
    <row r="525" spans="1:19">
      <c r="A525" t="s">
        <v>423</v>
      </c>
      <c r="B525">
        <v>305</v>
      </c>
      <c r="C525">
        <v>201</v>
      </c>
      <c r="D525">
        <v>156</v>
      </c>
      <c r="E525">
        <v>188</v>
      </c>
      <c r="F525">
        <v>316</v>
      </c>
      <c r="G525">
        <v>384</v>
      </c>
      <c r="H525">
        <v>383</v>
      </c>
      <c r="I525">
        <v>373</v>
      </c>
      <c r="J525">
        <v>725</v>
      </c>
      <c r="K525">
        <v>327</v>
      </c>
      <c r="L525">
        <v>371</v>
      </c>
      <c r="M525">
        <v>363</v>
      </c>
      <c r="O525">
        <v>358</v>
      </c>
      <c r="P525">
        <v>334</v>
      </c>
      <c r="R525">
        <v>279</v>
      </c>
      <c r="S525">
        <v>355</v>
      </c>
    </row>
    <row r="526" spans="1:19">
      <c r="A526" t="s">
        <v>424</v>
      </c>
      <c r="B526">
        <v>335</v>
      </c>
      <c r="C526">
        <v>135</v>
      </c>
      <c r="D526">
        <v>159</v>
      </c>
      <c r="E526">
        <v>205</v>
      </c>
      <c r="F526">
        <v>289</v>
      </c>
      <c r="G526">
        <v>308</v>
      </c>
      <c r="H526">
        <v>390</v>
      </c>
      <c r="I526">
        <v>410</v>
      </c>
      <c r="J526">
        <v>416</v>
      </c>
      <c r="K526">
        <v>366</v>
      </c>
      <c r="L526">
        <v>380</v>
      </c>
      <c r="M526">
        <v>369</v>
      </c>
      <c r="O526">
        <v>318</v>
      </c>
      <c r="P526">
        <v>333</v>
      </c>
      <c r="R526">
        <v>276</v>
      </c>
      <c r="S526">
        <v>286</v>
      </c>
    </row>
    <row r="527" spans="1:19">
      <c r="A527" t="s">
        <v>425</v>
      </c>
      <c r="B527">
        <v>387</v>
      </c>
      <c r="C527">
        <v>144</v>
      </c>
      <c r="D527">
        <v>165</v>
      </c>
      <c r="E527">
        <v>204</v>
      </c>
      <c r="F527">
        <v>288</v>
      </c>
      <c r="G527">
        <v>366</v>
      </c>
      <c r="H527">
        <v>369</v>
      </c>
      <c r="I527">
        <v>445</v>
      </c>
      <c r="J527">
        <v>385</v>
      </c>
      <c r="K527">
        <v>363</v>
      </c>
      <c r="L527">
        <v>327</v>
      </c>
      <c r="M527">
        <v>388</v>
      </c>
      <c r="O527">
        <v>369</v>
      </c>
      <c r="P527">
        <v>385</v>
      </c>
      <c r="R527">
        <v>276</v>
      </c>
      <c r="S527">
        <v>290</v>
      </c>
    </row>
    <row r="528" spans="1:19">
      <c r="A528" t="s">
        <v>426</v>
      </c>
      <c r="B528">
        <v>281</v>
      </c>
      <c r="C528">
        <v>208</v>
      </c>
      <c r="D528">
        <v>166</v>
      </c>
      <c r="E528">
        <v>264</v>
      </c>
      <c r="F528">
        <v>299</v>
      </c>
      <c r="G528">
        <v>467</v>
      </c>
      <c r="H528">
        <v>413</v>
      </c>
      <c r="I528">
        <v>548</v>
      </c>
      <c r="J528">
        <v>493</v>
      </c>
      <c r="K528">
        <v>474</v>
      </c>
      <c r="L528">
        <v>377</v>
      </c>
      <c r="M528">
        <v>404</v>
      </c>
    </row>
    <row r="529" spans="1:19">
      <c r="O529">
        <v>358</v>
      </c>
      <c r="P529">
        <v>565</v>
      </c>
      <c r="R529">
        <v>393</v>
      </c>
      <c r="S529">
        <v>298</v>
      </c>
    </row>
    <row r="530" spans="1:19">
      <c r="A530" t="s">
        <v>429</v>
      </c>
      <c r="O530">
        <v>265</v>
      </c>
      <c r="P530">
        <v>162</v>
      </c>
      <c r="R530">
        <v>167</v>
      </c>
      <c r="S530">
        <v>111</v>
      </c>
    </row>
    <row r="531" spans="1:19">
      <c r="A531" t="s">
        <v>430</v>
      </c>
      <c r="O531">
        <v>209</v>
      </c>
      <c r="P531">
        <v>158</v>
      </c>
      <c r="R531">
        <v>145</v>
      </c>
      <c r="S531">
        <v>180</v>
      </c>
    </row>
    <row r="532" spans="1:19">
      <c r="A532" t="s">
        <v>418</v>
      </c>
      <c r="O532">
        <v>282</v>
      </c>
      <c r="P532">
        <v>364</v>
      </c>
      <c r="R532">
        <v>200</v>
      </c>
      <c r="S532">
        <v>170</v>
      </c>
    </row>
    <row r="533" spans="1:19">
      <c r="A533" t="s">
        <v>440</v>
      </c>
      <c r="O533">
        <v>487</v>
      </c>
      <c r="P533">
        <v>435</v>
      </c>
      <c r="R533">
        <v>411</v>
      </c>
      <c r="S533">
        <v>356</v>
      </c>
    </row>
    <row r="534" spans="1:19">
      <c r="O534">
        <v>421</v>
      </c>
      <c r="P534">
        <v>425</v>
      </c>
      <c r="R534">
        <v>305</v>
      </c>
      <c r="S534">
        <v>251</v>
      </c>
    </row>
    <row r="535" spans="1:19">
      <c r="O535">
        <v>454</v>
      </c>
      <c r="P535">
        <v>497</v>
      </c>
      <c r="R535">
        <v>371</v>
      </c>
      <c r="S535">
        <v>375</v>
      </c>
    </row>
    <row r="536" spans="1:19">
      <c r="A536" t="s">
        <v>29</v>
      </c>
      <c r="O536">
        <v>398</v>
      </c>
      <c r="P536">
        <v>476</v>
      </c>
      <c r="R536">
        <v>412</v>
      </c>
      <c r="S536">
        <v>375</v>
      </c>
    </row>
    <row r="537" spans="1:19">
      <c r="O537">
        <v>335</v>
      </c>
      <c r="P537">
        <v>352</v>
      </c>
      <c r="R537">
        <v>283</v>
      </c>
      <c r="S537">
        <v>343</v>
      </c>
    </row>
    <row r="538" spans="1:19">
      <c r="A538" t="s">
        <v>26</v>
      </c>
      <c r="B538">
        <v>1</v>
      </c>
      <c r="C538">
        <v>2</v>
      </c>
      <c r="D538">
        <v>3</v>
      </c>
      <c r="E538">
        <v>4</v>
      </c>
      <c r="F538">
        <v>5</v>
      </c>
      <c r="G538">
        <v>6</v>
      </c>
      <c r="H538">
        <v>7</v>
      </c>
      <c r="I538">
        <v>8</v>
      </c>
      <c r="J538">
        <v>9</v>
      </c>
      <c r="K538">
        <v>10</v>
      </c>
      <c r="L538">
        <v>11</v>
      </c>
      <c r="M538">
        <v>12</v>
      </c>
      <c r="O538">
        <v>441</v>
      </c>
      <c r="P538">
        <v>474</v>
      </c>
      <c r="R538">
        <v>340</v>
      </c>
      <c r="S538">
        <v>237</v>
      </c>
    </row>
    <row r="539" spans="1:19">
      <c r="A539" t="s">
        <v>419</v>
      </c>
      <c r="B539">
        <v>258</v>
      </c>
      <c r="C539">
        <v>130</v>
      </c>
      <c r="D539">
        <v>124</v>
      </c>
      <c r="E539">
        <v>159</v>
      </c>
      <c r="F539">
        <v>228</v>
      </c>
      <c r="G539">
        <v>214</v>
      </c>
      <c r="H539">
        <v>308</v>
      </c>
      <c r="I539">
        <v>348</v>
      </c>
      <c r="J539">
        <v>282</v>
      </c>
      <c r="K539">
        <v>301</v>
      </c>
      <c r="L539">
        <v>264</v>
      </c>
      <c r="M539">
        <v>284</v>
      </c>
      <c r="O539">
        <v>343</v>
      </c>
      <c r="P539">
        <v>327</v>
      </c>
      <c r="R539">
        <v>338</v>
      </c>
      <c r="S539">
        <v>272</v>
      </c>
    </row>
    <row r="540" spans="1:19">
      <c r="A540" t="s">
        <v>420</v>
      </c>
      <c r="B540">
        <v>384</v>
      </c>
      <c r="C540">
        <v>163</v>
      </c>
      <c r="D540">
        <v>113</v>
      </c>
      <c r="E540">
        <v>149</v>
      </c>
      <c r="F540">
        <v>220</v>
      </c>
      <c r="G540">
        <v>282</v>
      </c>
      <c r="H540">
        <v>313</v>
      </c>
      <c r="I540">
        <v>316</v>
      </c>
      <c r="J540">
        <v>282</v>
      </c>
      <c r="K540">
        <v>292</v>
      </c>
      <c r="L540">
        <v>310</v>
      </c>
      <c r="M540">
        <v>302</v>
      </c>
      <c r="O540">
        <v>334</v>
      </c>
      <c r="P540">
        <v>413</v>
      </c>
      <c r="R540">
        <v>321</v>
      </c>
      <c r="S540">
        <v>271</v>
      </c>
    </row>
    <row r="541" spans="1:19">
      <c r="A541" t="s">
        <v>421</v>
      </c>
      <c r="B541">
        <v>262</v>
      </c>
      <c r="C541">
        <v>133</v>
      </c>
      <c r="D541">
        <v>233</v>
      </c>
      <c r="E541">
        <v>201</v>
      </c>
      <c r="F541">
        <v>262</v>
      </c>
      <c r="G541">
        <v>273</v>
      </c>
      <c r="H541">
        <v>324</v>
      </c>
      <c r="I541">
        <v>405</v>
      </c>
      <c r="J541">
        <v>330</v>
      </c>
      <c r="K541">
        <v>279</v>
      </c>
      <c r="L541">
        <v>276</v>
      </c>
      <c r="M541">
        <v>276</v>
      </c>
    </row>
    <row r="542" spans="1:19">
      <c r="A542" t="s">
        <v>422</v>
      </c>
      <c r="B542">
        <v>447</v>
      </c>
      <c r="C542">
        <v>109</v>
      </c>
      <c r="D542">
        <v>138</v>
      </c>
      <c r="E542">
        <v>182</v>
      </c>
      <c r="F542">
        <v>292</v>
      </c>
      <c r="G542">
        <v>262</v>
      </c>
      <c r="H542">
        <v>379</v>
      </c>
      <c r="I542">
        <v>354</v>
      </c>
      <c r="J542">
        <v>342</v>
      </c>
      <c r="K542">
        <v>355</v>
      </c>
      <c r="L542">
        <v>286</v>
      </c>
      <c r="M542">
        <v>290</v>
      </c>
      <c r="O542">
        <v>361</v>
      </c>
      <c r="P542">
        <v>352</v>
      </c>
      <c r="R542">
        <v>803</v>
      </c>
      <c r="S542">
        <v>253</v>
      </c>
    </row>
    <row r="543" spans="1:19">
      <c r="A543" t="s">
        <v>423</v>
      </c>
      <c r="B543">
        <v>393</v>
      </c>
      <c r="C543">
        <v>167</v>
      </c>
      <c r="D543">
        <v>145</v>
      </c>
      <c r="E543">
        <v>200</v>
      </c>
      <c r="F543">
        <v>411</v>
      </c>
      <c r="G543">
        <v>305</v>
      </c>
      <c r="H543">
        <v>371</v>
      </c>
      <c r="I543">
        <v>412</v>
      </c>
      <c r="J543">
        <v>283</v>
      </c>
      <c r="K543">
        <v>340</v>
      </c>
      <c r="L543">
        <v>338</v>
      </c>
      <c r="M543">
        <v>321</v>
      </c>
      <c r="O543">
        <v>176</v>
      </c>
      <c r="P543">
        <v>197</v>
      </c>
      <c r="R543">
        <v>137</v>
      </c>
      <c r="S543">
        <v>177</v>
      </c>
    </row>
    <row r="544" spans="1:19">
      <c r="A544" t="s">
        <v>424</v>
      </c>
      <c r="B544">
        <v>298</v>
      </c>
      <c r="C544">
        <v>111</v>
      </c>
      <c r="D544">
        <v>180</v>
      </c>
      <c r="E544">
        <v>170</v>
      </c>
      <c r="F544">
        <v>356</v>
      </c>
      <c r="G544">
        <v>251</v>
      </c>
      <c r="H544">
        <v>375</v>
      </c>
      <c r="I544">
        <v>375</v>
      </c>
      <c r="J544">
        <v>343</v>
      </c>
      <c r="K544">
        <v>237</v>
      </c>
      <c r="L544">
        <v>272</v>
      </c>
      <c r="M544">
        <v>271</v>
      </c>
      <c r="O544">
        <v>161</v>
      </c>
      <c r="P544">
        <v>149</v>
      </c>
      <c r="R544">
        <v>137</v>
      </c>
      <c r="S544">
        <v>145</v>
      </c>
    </row>
    <row r="545" spans="1:19">
      <c r="A545" t="s">
        <v>425</v>
      </c>
      <c r="B545">
        <v>803</v>
      </c>
      <c r="C545">
        <v>137</v>
      </c>
      <c r="D545">
        <v>137</v>
      </c>
      <c r="E545">
        <v>214</v>
      </c>
      <c r="F545">
        <v>277</v>
      </c>
      <c r="G545">
        <v>247</v>
      </c>
      <c r="H545">
        <v>305</v>
      </c>
      <c r="I545">
        <v>335</v>
      </c>
      <c r="J545">
        <v>253</v>
      </c>
      <c r="K545">
        <v>356</v>
      </c>
      <c r="L545">
        <v>349</v>
      </c>
      <c r="M545">
        <v>360</v>
      </c>
      <c r="O545">
        <v>261</v>
      </c>
      <c r="P545">
        <v>279</v>
      </c>
      <c r="R545">
        <v>214</v>
      </c>
      <c r="S545">
        <v>217</v>
      </c>
    </row>
    <row r="546" spans="1:19">
      <c r="A546" t="s">
        <v>426</v>
      </c>
      <c r="B546">
        <v>253</v>
      </c>
      <c r="C546">
        <v>177</v>
      </c>
      <c r="D546">
        <v>145</v>
      </c>
      <c r="E546">
        <v>217</v>
      </c>
      <c r="F546">
        <v>242</v>
      </c>
      <c r="G546">
        <v>278</v>
      </c>
      <c r="H546">
        <v>327</v>
      </c>
      <c r="I546">
        <v>275</v>
      </c>
      <c r="J546">
        <v>355</v>
      </c>
      <c r="K546">
        <v>287</v>
      </c>
      <c r="L546">
        <v>275</v>
      </c>
      <c r="M546">
        <v>346</v>
      </c>
      <c r="O546">
        <v>262</v>
      </c>
      <c r="P546">
        <v>280</v>
      </c>
      <c r="R546">
        <v>277</v>
      </c>
      <c r="S546">
        <v>242</v>
      </c>
    </row>
    <row r="547" spans="1:19">
      <c r="O547">
        <v>387</v>
      </c>
      <c r="P547">
        <v>394</v>
      </c>
      <c r="R547">
        <v>247</v>
      </c>
      <c r="S547">
        <v>278</v>
      </c>
    </row>
    <row r="548" spans="1:19">
      <c r="A548" t="s">
        <v>431</v>
      </c>
      <c r="O548">
        <v>430</v>
      </c>
      <c r="P548">
        <v>502</v>
      </c>
      <c r="R548">
        <v>305</v>
      </c>
      <c r="S548">
        <v>327</v>
      </c>
    </row>
    <row r="549" spans="1:19">
      <c r="A549" t="s">
        <v>638</v>
      </c>
      <c r="O549">
        <v>380</v>
      </c>
      <c r="P549">
        <v>347</v>
      </c>
      <c r="R549">
        <v>335</v>
      </c>
      <c r="S549">
        <v>275</v>
      </c>
    </row>
    <row r="550" spans="1:19">
      <c r="A550" t="s">
        <v>418</v>
      </c>
      <c r="O550">
        <v>314</v>
      </c>
      <c r="P550">
        <v>337</v>
      </c>
      <c r="R550">
        <v>253</v>
      </c>
      <c r="S550">
        <v>355</v>
      </c>
    </row>
    <row r="551" spans="1:19">
      <c r="A551" t="s">
        <v>639</v>
      </c>
      <c r="O551">
        <v>375</v>
      </c>
      <c r="P551">
        <v>446</v>
      </c>
      <c r="R551">
        <v>356</v>
      </c>
      <c r="S551">
        <v>287</v>
      </c>
    </row>
    <row r="552" spans="1:19">
      <c r="O552">
        <v>396</v>
      </c>
      <c r="P552">
        <v>395</v>
      </c>
      <c r="R552">
        <v>349</v>
      </c>
      <c r="S552">
        <v>275</v>
      </c>
    </row>
    <row r="553" spans="1:19">
      <c r="O553">
        <v>422</v>
      </c>
      <c r="P553">
        <v>353</v>
      </c>
      <c r="R553">
        <v>360</v>
      </c>
      <c r="S553">
        <v>346</v>
      </c>
    </row>
    <row r="554" spans="1:19">
      <c r="A554" t="s">
        <v>29</v>
      </c>
    </row>
    <row r="555" spans="1:19">
      <c r="O555">
        <v>343</v>
      </c>
      <c r="P555">
        <v>344</v>
      </c>
      <c r="R555">
        <v>417</v>
      </c>
      <c r="S555">
        <v>362</v>
      </c>
    </row>
    <row r="556" spans="1:19">
      <c r="A556" t="s">
        <v>26</v>
      </c>
      <c r="B556">
        <v>1</v>
      </c>
      <c r="C556">
        <v>2</v>
      </c>
      <c r="D556">
        <v>3</v>
      </c>
      <c r="E556">
        <v>4</v>
      </c>
      <c r="F556">
        <v>5</v>
      </c>
      <c r="G556">
        <v>6</v>
      </c>
      <c r="H556">
        <v>7</v>
      </c>
      <c r="I556">
        <v>8</v>
      </c>
      <c r="J556">
        <v>9</v>
      </c>
      <c r="K556">
        <v>10</v>
      </c>
      <c r="L556">
        <v>11</v>
      </c>
      <c r="M556">
        <v>12</v>
      </c>
      <c r="O556">
        <v>148</v>
      </c>
      <c r="P556">
        <v>108</v>
      </c>
      <c r="R556">
        <v>189</v>
      </c>
      <c r="S556">
        <v>191</v>
      </c>
    </row>
    <row r="557" spans="1:19">
      <c r="A557" t="s">
        <v>419</v>
      </c>
      <c r="B557">
        <v>417</v>
      </c>
      <c r="C557">
        <v>189</v>
      </c>
      <c r="D557">
        <v>229</v>
      </c>
      <c r="E557">
        <v>248</v>
      </c>
      <c r="F557">
        <v>292</v>
      </c>
      <c r="G557">
        <v>339</v>
      </c>
      <c r="H557">
        <v>349</v>
      </c>
      <c r="I557">
        <v>334</v>
      </c>
      <c r="J557">
        <v>360</v>
      </c>
      <c r="K557">
        <v>304</v>
      </c>
      <c r="L557">
        <v>323</v>
      </c>
      <c r="M557">
        <v>341</v>
      </c>
      <c r="O557">
        <v>143</v>
      </c>
      <c r="P557">
        <v>102</v>
      </c>
      <c r="R557">
        <v>229</v>
      </c>
      <c r="S557">
        <v>225</v>
      </c>
    </row>
    <row r="558" spans="1:19">
      <c r="A558" t="s">
        <v>420</v>
      </c>
      <c r="B558">
        <v>362</v>
      </c>
      <c r="C558">
        <v>191</v>
      </c>
      <c r="D558">
        <v>225</v>
      </c>
      <c r="E558">
        <v>224</v>
      </c>
      <c r="F558">
        <v>274</v>
      </c>
      <c r="G558">
        <v>300</v>
      </c>
      <c r="H558">
        <v>290</v>
      </c>
      <c r="I558">
        <v>305</v>
      </c>
      <c r="J558">
        <v>378</v>
      </c>
      <c r="K558">
        <v>360</v>
      </c>
      <c r="L558">
        <v>294</v>
      </c>
      <c r="M558">
        <v>312</v>
      </c>
      <c r="O558">
        <v>151</v>
      </c>
      <c r="P558">
        <v>120</v>
      </c>
      <c r="R558">
        <v>248</v>
      </c>
      <c r="S558">
        <v>224</v>
      </c>
    </row>
    <row r="559" spans="1:19">
      <c r="A559" t="s">
        <v>421</v>
      </c>
      <c r="B559">
        <v>424</v>
      </c>
      <c r="C559">
        <v>189</v>
      </c>
      <c r="D559">
        <v>187</v>
      </c>
      <c r="E559">
        <v>253</v>
      </c>
      <c r="F559">
        <v>186</v>
      </c>
      <c r="G559">
        <v>199</v>
      </c>
      <c r="H559">
        <v>125</v>
      </c>
      <c r="I559">
        <v>199</v>
      </c>
      <c r="J559">
        <v>258</v>
      </c>
      <c r="K559">
        <v>335</v>
      </c>
      <c r="L559">
        <v>364</v>
      </c>
      <c r="M559">
        <v>378</v>
      </c>
      <c r="O559">
        <v>297</v>
      </c>
      <c r="P559">
        <v>143</v>
      </c>
      <c r="R559">
        <v>292</v>
      </c>
      <c r="S559">
        <v>274</v>
      </c>
    </row>
    <row r="560" spans="1:19">
      <c r="A560" t="s">
        <v>422</v>
      </c>
      <c r="B560">
        <v>543</v>
      </c>
      <c r="C560">
        <v>188</v>
      </c>
      <c r="D560">
        <v>169</v>
      </c>
      <c r="E560">
        <v>188</v>
      </c>
      <c r="F560">
        <v>281</v>
      </c>
      <c r="G560">
        <v>188</v>
      </c>
      <c r="H560">
        <v>178</v>
      </c>
      <c r="I560">
        <v>229</v>
      </c>
      <c r="J560">
        <v>311</v>
      </c>
      <c r="K560">
        <v>335</v>
      </c>
      <c r="L560">
        <v>394</v>
      </c>
      <c r="M560">
        <v>445</v>
      </c>
      <c r="O560">
        <v>208</v>
      </c>
      <c r="P560">
        <v>235</v>
      </c>
      <c r="R560">
        <v>339</v>
      </c>
      <c r="S560">
        <v>300</v>
      </c>
    </row>
    <row r="561" spans="1:19">
      <c r="A561" t="s">
        <v>423</v>
      </c>
      <c r="B561">
        <v>424</v>
      </c>
      <c r="C561">
        <v>285</v>
      </c>
      <c r="D561">
        <v>395</v>
      </c>
      <c r="E561">
        <v>410</v>
      </c>
      <c r="F561">
        <v>458</v>
      </c>
      <c r="G561">
        <v>484</v>
      </c>
      <c r="H561">
        <v>372</v>
      </c>
      <c r="I561">
        <v>399</v>
      </c>
      <c r="J561">
        <v>324</v>
      </c>
      <c r="K561">
        <v>400</v>
      </c>
      <c r="L561">
        <v>314</v>
      </c>
      <c r="M561">
        <v>393</v>
      </c>
      <c r="O561">
        <v>286</v>
      </c>
      <c r="P561">
        <v>267</v>
      </c>
      <c r="R561">
        <v>349</v>
      </c>
      <c r="S561">
        <v>290</v>
      </c>
    </row>
    <row r="562" spans="1:19">
      <c r="A562" t="s">
        <v>424</v>
      </c>
      <c r="B562">
        <v>445</v>
      </c>
      <c r="C562">
        <v>251</v>
      </c>
      <c r="D562">
        <v>339</v>
      </c>
      <c r="E562">
        <v>435</v>
      </c>
      <c r="F562">
        <v>415</v>
      </c>
      <c r="G562">
        <v>445</v>
      </c>
      <c r="H562">
        <v>345</v>
      </c>
      <c r="I562">
        <v>408</v>
      </c>
      <c r="J562">
        <v>507</v>
      </c>
      <c r="K562">
        <v>392</v>
      </c>
      <c r="L562">
        <v>419</v>
      </c>
      <c r="M562">
        <v>411</v>
      </c>
      <c r="O562">
        <v>284</v>
      </c>
      <c r="P562">
        <v>282</v>
      </c>
      <c r="R562">
        <v>334</v>
      </c>
      <c r="S562">
        <v>305</v>
      </c>
    </row>
    <row r="563" spans="1:19">
      <c r="A563" t="s">
        <v>425</v>
      </c>
      <c r="B563">
        <v>423</v>
      </c>
      <c r="C563">
        <v>218</v>
      </c>
      <c r="D563">
        <v>176</v>
      </c>
      <c r="E563">
        <v>224</v>
      </c>
      <c r="F563">
        <v>257</v>
      </c>
      <c r="G563">
        <v>387</v>
      </c>
      <c r="H563">
        <v>294</v>
      </c>
      <c r="I563">
        <v>414</v>
      </c>
      <c r="J563">
        <v>444</v>
      </c>
      <c r="K563">
        <v>406</v>
      </c>
      <c r="L563">
        <v>439</v>
      </c>
      <c r="M563">
        <v>401</v>
      </c>
      <c r="O563">
        <v>306</v>
      </c>
      <c r="P563">
        <v>287</v>
      </c>
      <c r="R563">
        <v>360</v>
      </c>
      <c r="S563">
        <v>378</v>
      </c>
    </row>
    <row r="564" spans="1:19">
      <c r="A564" t="s">
        <v>426</v>
      </c>
      <c r="B564">
        <v>516</v>
      </c>
      <c r="C564">
        <v>288</v>
      </c>
      <c r="D564">
        <v>172</v>
      </c>
      <c r="E564">
        <v>209</v>
      </c>
      <c r="F564">
        <v>252</v>
      </c>
      <c r="G564">
        <v>436</v>
      </c>
      <c r="H564">
        <v>350</v>
      </c>
      <c r="I564">
        <v>401</v>
      </c>
      <c r="J564">
        <v>509</v>
      </c>
      <c r="K564">
        <v>388</v>
      </c>
      <c r="L564">
        <v>406</v>
      </c>
      <c r="M564">
        <v>452</v>
      </c>
      <c r="O564">
        <v>288</v>
      </c>
      <c r="P564">
        <v>265</v>
      </c>
      <c r="R564">
        <v>304</v>
      </c>
      <c r="S564">
        <v>360</v>
      </c>
    </row>
    <row r="565" spans="1:19">
      <c r="O565">
        <v>321</v>
      </c>
      <c r="P565">
        <v>278</v>
      </c>
      <c r="R565">
        <v>323</v>
      </c>
      <c r="S565">
        <v>294</v>
      </c>
    </row>
    <row r="566" spans="1:19">
      <c r="A566" t="s">
        <v>640</v>
      </c>
      <c r="O566">
        <v>304</v>
      </c>
      <c r="P566">
        <v>339</v>
      </c>
      <c r="R566">
        <v>341</v>
      </c>
      <c r="S566">
        <v>312</v>
      </c>
    </row>
    <row r="567" spans="1:19">
      <c r="A567" t="s">
        <v>641</v>
      </c>
    </row>
    <row r="568" spans="1:19">
      <c r="A568" t="s">
        <v>418</v>
      </c>
      <c r="O568">
        <v>322</v>
      </c>
      <c r="P568">
        <v>449</v>
      </c>
      <c r="R568">
        <v>424</v>
      </c>
      <c r="S568">
        <v>543</v>
      </c>
    </row>
    <row r="569" spans="1:19">
      <c r="A569" t="s">
        <v>642</v>
      </c>
      <c r="O569">
        <v>183</v>
      </c>
      <c r="P569">
        <v>147</v>
      </c>
      <c r="R569">
        <v>189</v>
      </c>
      <c r="S569">
        <v>188</v>
      </c>
    </row>
    <row r="570" spans="1:19">
      <c r="O570">
        <v>226</v>
      </c>
      <c r="P570">
        <v>153</v>
      </c>
      <c r="R570">
        <v>187</v>
      </c>
      <c r="S570">
        <v>169</v>
      </c>
    </row>
    <row r="571" spans="1:19">
      <c r="O571">
        <v>232</v>
      </c>
      <c r="P571">
        <v>166</v>
      </c>
      <c r="R571">
        <v>253</v>
      </c>
      <c r="S571">
        <v>188</v>
      </c>
    </row>
    <row r="572" spans="1:19">
      <c r="A572" t="s">
        <v>29</v>
      </c>
      <c r="O572">
        <v>286</v>
      </c>
      <c r="P572">
        <v>317</v>
      </c>
      <c r="R572">
        <v>186</v>
      </c>
      <c r="S572">
        <v>281</v>
      </c>
    </row>
    <row r="573" spans="1:19">
      <c r="O573">
        <v>361</v>
      </c>
      <c r="P573">
        <v>275</v>
      </c>
      <c r="R573">
        <v>199</v>
      </c>
      <c r="S573">
        <v>188</v>
      </c>
    </row>
    <row r="574" spans="1:19">
      <c r="A574" t="s">
        <v>26</v>
      </c>
      <c r="B574">
        <v>1</v>
      </c>
      <c r="C574">
        <v>2</v>
      </c>
      <c r="D574">
        <v>3</v>
      </c>
      <c r="E574">
        <v>4</v>
      </c>
      <c r="F574">
        <v>5</v>
      </c>
      <c r="G574">
        <v>6</v>
      </c>
      <c r="H574">
        <v>7</v>
      </c>
      <c r="I574">
        <v>8</v>
      </c>
      <c r="J574">
        <v>9</v>
      </c>
      <c r="K574">
        <v>10</v>
      </c>
      <c r="L574">
        <v>11</v>
      </c>
      <c r="M574">
        <v>12</v>
      </c>
      <c r="O574">
        <v>310</v>
      </c>
      <c r="P574">
        <v>337</v>
      </c>
      <c r="R574">
        <v>125</v>
      </c>
      <c r="S574">
        <v>178</v>
      </c>
    </row>
    <row r="575" spans="1:19">
      <c r="A575" t="s">
        <v>419</v>
      </c>
      <c r="B575">
        <v>10</v>
      </c>
      <c r="C575">
        <v>6</v>
      </c>
      <c r="D575">
        <v>7</v>
      </c>
      <c r="E575">
        <v>7</v>
      </c>
      <c r="F575">
        <v>8</v>
      </c>
      <c r="G575">
        <v>7</v>
      </c>
      <c r="H575">
        <v>7</v>
      </c>
      <c r="I575">
        <v>7</v>
      </c>
      <c r="J575">
        <v>4</v>
      </c>
      <c r="K575">
        <v>7</v>
      </c>
      <c r="L575">
        <v>6</v>
      </c>
      <c r="M575">
        <v>6</v>
      </c>
      <c r="O575">
        <v>325</v>
      </c>
      <c r="P575">
        <v>313</v>
      </c>
      <c r="R575">
        <v>199</v>
      </c>
      <c r="S575">
        <v>229</v>
      </c>
    </row>
    <row r="576" spans="1:19">
      <c r="A576" t="s">
        <v>420</v>
      </c>
      <c r="B576">
        <v>5</v>
      </c>
      <c r="C576">
        <v>7</v>
      </c>
      <c r="D576">
        <v>7</v>
      </c>
      <c r="E576">
        <v>5</v>
      </c>
      <c r="F576">
        <v>7</v>
      </c>
      <c r="G576">
        <v>4</v>
      </c>
      <c r="H576">
        <v>10</v>
      </c>
      <c r="I576">
        <v>8</v>
      </c>
      <c r="J576">
        <v>6</v>
      </c>
      <c r="K576">
        <v>10</v>
      </c>
      <c r="L576">
        <v>7</v>
      </c>
      <c r="M576">
        <v>8</v>
      </c>
      <c r="O576">
        <v>339</v>
      </c>
      <c r="P576">
        <v>344</v>
      </c>
      <c r="R576">
        <v>258</v>
      </c>
      <c r="S576">
        <v>311</v>
      </c>
    </row>
    <row r="577" spans="1:19">
      <c r="A577" t="s">
        <v>421</v>
      </c>
      <c r="B577">
        <v>7</v>
      </c>
      <c r="C577">
        <v>7</v>
      </c>
      <c r="D577">
        <v>4</v>
      </c>
      <c r="E577">
        <v>61</v>
      </c>
      <c r="F577">
        <v>3</v>
      </c>
      <c r="G577">
        <v>9</v>
      </c>
      <c r="H577">
        <v>8</v>
      </c>
      <c r="I577">
        <v>7</v>
      </c>
      <c r="J577">
        <v>8</v>
      </c>
      <c r="K577">
        <v>9</v>
      </c>
      <c r="L577">
        <v>9</v>
      </c>
      <c r="M577">
        <v>10</v>
      </c>
      <c r="O577">
        <v>299</v>
      </c>
      <c r="P577">
        <v>346</v>
      </c>
      <c r="R577">
        <v>335</v>
      </c>
      <c r="S577">
        <v>335</v>
      </c>
    </row>
    <row r="578" spans="1:19">
      <c r="A578" t="s">
        <v>422</v>
      </c>
      <c r="B578">
        <v>6</v>
      </c>
      <c r="C578">
        <v>5</v>
      </c>
      <c r="D578">
        <v>4686</v>
      </c>
      <c r="E578">
        <v>4674</v>
      </c>
      <c r="F578">
        <v>6</v>
      </c>
      <c r="G578">
        <v>7</v>
      </c>
      <c r="H578">
        <v>6</v>
      </c>
      <c r="I578">
        <v>7</v>
      </c>
      <c r="J578">
        <v>7</v>
      </c>
      <c r="K578">
        <v>5</v>
      </c>
      <c r="L578">
        <v>8</v>
      </c>
      <c r="M578">
        <v>11</v>
      </c>
      <c r="O578">
        <v>353</v>
      </c>
      <c r="P578">
        <v>368</v>
      </c>
      <c r="R578">
        <v>364</v>
      </c>
      <c r="S578">
        <v>394</v>
      </c>
    </row>
    <row r="579" spans="1:19">
      <c r="A579" t="s">
        <v>423</v>
      </c>
      <c r="B579">
        <v>6</v>
      </c>
      <c r="C579">
        <v>8</v>
      </c>
      <c r="D579">
        <v>4677</v>
      </c>
      <c r="E579">
        <v>5084</v>
      </c>
      <c r="F579">
        <v>5</v>
      </c>
      <c r="G579">
        <v>5</v>
      </c>
      <c r="H579">
        <v>7</v>
      </c>
      <c r="I579">
        <v>8</v>
      </c>
      <c r="J579">
        <v>6</v>
      </c>
      <c r="K579">
        <v>14</v>
      </c>
      <c r="L579">
        <v>9</v>
      </c>
      <c r="M579">
        <v>9</v>
      </c>
      <c r="O579">
        <v>302</v>
      </c>
      <c r="P579">
        <v>372</v>
      </c>
      <c r="R579">
        <v>378</v>
      </c>
      <c r="S579">
        <v>445</v>
      </c>
    </row>
    <row r="580" spans="1:19">
      <c r="A580" t="s">
        <v>424</v>
      </c>
      <c r="B580">
        <v>6</v>
      </c>
      <c r="C580">
        <v>4</v>
      </c>
      <c r="D580">
        <v>5242</v>
      </c>
      <c r="E580">
        <v>4851</v>
      </c>
      <c r="F580">
        <v>6</v>
      </c>
      <c r="G580">
        <v>7</v>
      </c>
      <c r="H580">
        <v>7</v>
      </c>
      <c r="I580">
        <v>5</v>
      </c>
      <c r="J580">
        <v>5</v>
      </c>
      <c r="K580">
        <v>6</v>
      </c>
      <c r="L580">
        <v>10</v>
      </c>
      <c r="M580">
        <v>5</v>
      </c>
    </row>
    <row r="581" spans="1:19">
      <c r="A581" t="s">
        <v>425</v>
      </c>
      <c r="B581">
        <v>3</v>
      </c>
      <c r="C581">
        <v>4</v>
      </c>
      <c r="D581">
        <v>4932</v>
      </c>
      <c r="E581">
        <v>5120</v>
      </c>
      <c r="F581">
        <v>4</v>
      </c>
      <c r="G581">
        <v>5</v>
      </c>
      <c r="H581">
        <v>5</v>
      </c>
      <c r="I581">
        <v>10</v>
      </c>
      <c r="J581">
        <v>6</v>
      </c>
      <c r="K581">
        <v>8</v>
      </c>
      <c r="L581">
        <v>9</v>
      </c>
      <c r="M581">
        <v>8</v>
      </c>
      <c r="O581">
        <v>305</v>
      </c>
      <c r="P581">
        <v>335</v>
      </c>
      <c r="R581">
        <v>424</v>
      </c>
      <c r="S581">
        <v>445</v>
      </c>
    </row>
    <row r="582" spans="1:19">
      <c r="A582" t="s">
        <v>426</v>
      </c>
      <c r="B582">
        <v>10</v>
      </c>
      <c r="C582">
        <v>5</v>
      </c>
      <c r="D582">
        <v>6</v>
      </c>
      <c r="E582">
        <v>14</v>
      </c>
      <c r="F582">
        <v>8</v>
      </c>
      <c r="G582">
        <v>8</v>
      </c>
      <c r="H582">
        <v>6</v>
      </c>
      <c r="I582">
        <v>4</v>
      </c>
      <c r="J582">
        <v>8</v>
      </c>
      <c r="K582">
        <v>6</v>
      </c>
      <c r="L582">
        <v>7</v>
      </c>
      <c r="M582">
        <v>8</v>
      </c>
      <c r="O582">
        <v>201</v>
      </c>
      <c r="P582">
        <v>135</v>
      </c>
      <c r="R582">
        <v>285</v>
      </c>
      <c r="S582">
        <v>251</v>
      </c>
    </row>
    <row r="583" spans="1:19">
      <c r="O583">
        <v>156</v>
      </c>
      <c r="P583">
        <v>159</v>
      </c>
      <c r="R583">
        <v>395</v>
      </c>
      <c r="S583">
        <v>339</v>
      </c>
    </row>
    <row r="584" spans="1:19">
      <c r="A584" t="s">
        <v>643</v>
      </c>
      <c r="O584">
        <v>188</v>
      </c>
      <c r="P584">
        <v>205</v>
      </c>
      <c r="R584">
        <v>410</v>
      </c>
      <c r="S584">
        <v>435</v>
      </c>
    </row>
    <row r="585" spans="1:19">
      <c r="A585" t="s">
        <v>644</v>
      </c>
      <c r="O585">
        <v>316</v>
      </c>
      <c r="P585">
        <v>289</v>
      </c>
      <c r="R585">
        <v>458</v>
      </c>
      <c r="S585">
        <v>415</v>
      </c>
    </row>
    <row r="586" spans="1:19">
      <c r="A586" t="s">
        <v>432</v>
      </c>
      <c r="O586">
        <v>384</v>
      </c>
      <c r="P586">
        <v>308</v>
      </c>
      <c r="R586">
        <v>484</v>
      </c>
      <c r="S586">
        <v>445</v>
      </c>
    </row>
    <row r="587" spans="1:19">
      <c r="O587">
        <v>383</v>
      </c>
      <c r="P587">
        <v>390</v>
      </c>
      <c r="R587">
        <v>372</v>
      </c>
      <c r="S587">
        <v>345</v>
      </c>
    </row>
    <row r="588" spans="1:19">
      <c r="O588">
        <v>373</v>
      </c>
      <c r="P588">
        <v>410</v>
      </c>
      <c r="R588">
        <v>399</v>
      </c>
      <c r="S588">
        <v>408</v>
      </c>
    </row>
    <row r="589" spans="1:19">
      <c r="O589">
        <v>725</v>
      </c>
      <c r="P589">
        <v>416</v>
      </c>
      <c r="R589">
        <v>324</v>
      </c>
      <c r="S589">
        <v>507</v>
      </c>
    </row>
    <row r="590" spans="1:19">
      <c r="O590">
        <v>327</v>
      </c>
      <c r="P590">
        <v>366</v>
      </c>
      <c r="R590">
        <v>400</v>
      </c>
      <c r="S590">
        <v>392</v>
      </c>
    </row>
    <row r="591" spans="1:19">
      <c r="O591">
        <v>371</v>
      </c>
      <c r="P591">
        <v>380</v>
      </c>
      <c r="R591">
        <v>314</v>
      </c>
      <c r="S591">
        <v>419</v>
      </c>
    </row>
    <row r="592" spans="1:19">
      <c r="O592">
        <v>363</v>
      </c>
      <c r="P592">
        <v>369</v>
      </c>
      <c r="R592">
        <v>393</v>
      </c>
      <c r="S592">
        <v>411</v>
      </c>
    </row>
    <row r="594" spans="15:19">
      <c r="O594">
        <v>387</v>
      </c>
      <c r="P594">
        <v>281</v>
      </c>
      <c r="R594">
        <v>423</v>
      </c>
      <c r="S594">
        <v>516</v>
      </c>
    </row>
    <row r="595" spans="15:19">
      <c r="O595">
        <v>144</v>
      </c>
      <c r="P595">
        <v>208</v>
      </c>
      <c r="R595">
        <v>218</v>
      </c>
      <c r="S595">
        <v>288</v>
      </c>
    </row>
    <row r="596" spans="15:19">
      <c r="O596">
        <v>165</v>
      </c>
      <c r="P596">
        <v>166</v>
      </c>
      <c r="R596">
        <v>176</v>
      </c>
      <c r="S596">
        <v>172</v>
      </c>
    </row>
    <row r="597" spans="15:19">
      <c r="O597">
        <v>204</v>
      </c>
      <c r="P597">
        <v>264</v>
      </c>
      <c r="R597">
        <v>224</v>
      </c>
      <c r="S597">
        <v>209</v>
      </c>
    </row>
    <row r="598" spans="15:19">
      <c r="O598">
        <v>288</v>
      </c>
      <c r="P598">
        <v>299</v>
      </c>
      <c r="R598">
        <v>257</v>
      </c>
      <c r="S598">
        <v>252</v>
      </c>
    </row>
    <row r="599" spans="15:19">
      <c r="O599">
        <v>366</v>
      </c>
      <c r="P599">
        <v>467</v>
      </c>
      <c r="R599">
        <v>387</v>
      </c>
      <c r="S599">
        <v>436</v>
      </c>
    </row>
    <row r="600" spans="15:19">
      <c r="O600">
        <v>369</v>
      </c>
      <c r="P600">
        <v>413</v>
      </c>
      <c r="R600">
        <v>294</v>
      </c>
      <c r="S600">
        <v>350</v>
      </c>
    </row>
    <row r="601" spans="15:19">
      <c r="O601">
        <v>445</v>
      </c>
      <c r="P601">
        <v>548</v>
      </c>
      <c r="R601">
        <v>414</v>
      </c>
      <c r="S601">
        <v>401</v>
      </c>
    </row>
    <row r="602" spans="15:19">
      <c r="O602">
        <v>385</v>
      </c>
      <c r="P602">
        <v>493</v>
      </c>
      <c r="R602">
        <v>444</v>
      </c>
      <c r="S602">
        <v>509</v>
      </c>
    </row>
    <row r="603" spans="15:19">
      <c r="O603">
        <v>363</v>
      </c>
      <c r="P603">
        <v>474</v>
      </c>
      <c r="R603">
        <v>406</v>
      </c>
      <c r="S603">
        <v>388</v>
      </c>
    </row>
    <row r="604" spans="15:19">
      <c r="O604">
        <v>327</v>
      </c>
      <c r="P604">
        <v>377</v>
      </c>
      <c r="R604">
        <v>439</v>
      </c>
      <c r="S604">
        <v>406</v>
      </c>
    </row>
    <row r="605" spans="15:19">
      <c r="O605">
        <v>388</v>
      </c>
      <c r="P605">
        <v>404</v>
      </c>
      <c r="R605">
        <v>401</v>
      </c>
      <c r="S605">
        <v>452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BC93-0871-4A41-8CBD-3A269A4BA09A}">
  <dimension ref="A1:P214"/>
  <sheetViews>
    <sheetView tabSelected="1" zoomScale="106" zoomScaleNormal="106" workbookViewId="0">
      <selection activeCell="D9" sqref="D9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 t="s">
        <v>694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695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696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5" t="s">
        <v>677</v>
      </c>
      <c r="B8"/>
      <c r="C8"/>
      <c r="D8" s="8" t="e">
        <f>AVERAGE(B8:C8)</f>
        <v>#DIV/0!</v>
      </c>
      <c r="E8" s="8" t="e">
        <f>AVERAGE(J11,D19)-$D$9</f>
        <v>#DIV/0!</v>
      </c>
      <c r="H8" s="8" t="e">
        <f>E8*100/$E$8</f>
        <v>#DIV/0!</v>
      </c>
      <c r="L8" s="7" t="s">
        <v>667</v>
      </c>
      <c r="M8" s="7" t="s">
        <v>668</v>
      </c>
    </row>
    <row r="9" spans="1:16" ht="15.75">
      <c r="A9" s="5" t="s">
        <v>678</v>
      </c>
      <c r="B9"/>
      <c r="C9"/>
      <c r="D9" s="8" t="e">
        <f>AVERAGE(B10:C10)</f>
        <v>#DIV/0!</v>
      </c>
      <c r="E9" s="8" t="e">
        <f>D9-$D$9</f>
        <v>#DIV/0!</v>
      </c>
      <c r="H9" s="8"/>
      <c r="J9" s="18" t="s">
        <v>417</v>
      </c>
      <c r="P9" s="5" t="s">
        <v>671</v>
      </c>
    </row>
    <row r="10" spans="1:16" ht="15.75">
      <c r="A10" t="s">
        <v>679</v>
      </c>
      <c r="B10"/>
      <c r="C10"/>
      <c r="D10" s="8" t="e">
        <f t="shared" ref="D8:D19" si="0">AVERAGE(B10:C10)</f>
        <v>#DIV/0!</v>
      </c>
      <c r="E10" s="8" t="e">
        <f t="shared" ref="E10:E18" si="1">D10-$D$9</f>
        <v>#DIV/0!</v>
      </c>
      <c r="F10" s="11">
        <v>9.9999999999999995E-7</v>
      </c>
      <c r="G10" s="8">
        <f t="shared" ref="G10:G18" si="2">LOG(F10)</f>
        <v>-6</v>
      </c>
      <c r="H10" s="8" t="e">
        <f>E10*100/$E$8</f>
        <v>#DIV/0!</v>
      </c>
      <c r="J10" s="19" t="s">
        <v>441</v>
      </c>
      <c r="P10" s="7" t="s">
        <v>672</v>
      </c>
    </row>
    <row r="11" spans="1:16" ht="15.75">
      <c r="A11" s="13" t="s">
        <v>680</v>
      </c>
      <c r="B11"/>
      <c r="C11"/>
      <c r="D11" s="8" t="e">
        <f t="shared" si="0"/>
        <v>#DIV/0!</v>
      </c>
      <c r="E11" s="8" t="e">
        <f t="shared" si="1"/>
        <v>#DIV/0!</v>
      </c>
      <c r="F11" s="11">
        <f t="shared" ref="F11:F18" si="3">F10*0.3162</f>
        <v>3.1619999999999999E-7</v>
      </c>
      <c r="G11" s="8">
        <f t="shared" si="2"/>
        <v>-6.5000381344038098</v>
      </c>
      <c r="H11" s="8" t="e">
        <f t="shared" ref="H11:H18" si="4">E11*100/$E$8</f>
        <v>#DIV/0!</v>
      </c>
      <c r="J11" s="19" t="e">
        <f>AVERAGE(L9:L24)</f>
        <v>#DIV/0!</v>
      </c>
      <c r="P11" s="5" t="s">
        <v>681</v>
      </c>
    </row>
    <row r="12" spans="1:16" ht="15.75">
      <c r="B12"/>
      <c r="C12"/>
      <c r="D12" s="8" t="e">
        <f t="shared" si="0"/>
        <v>#DIV/0!</v>
      </c>
      <c r="E12" s="8" t="e">
        <f t="shared" si="1"/>
        <v>#DIV/0!</v>
      </c>
      <c r="F12" s="11">
        <f t="shared" si="3"/>
        <v>9.9982439999999983E-8</v>
      </c>
      <c r="G12" s="8">
        <f t="shared" si="2"/>
        <v>-7.0000762688076197</v>
      </c>
      <c r="H12" s="8" t="e">
        <f t="shared" si="4"/>
        <v>#DIV/0!</v>
      </c>
      <c r="J12" s="19" t="s">
        <v>669</v>
      </c>
      <c r="P12" s="5" t="s">
        <v>674</v>
      </c>
    </row>
    <row r="13" spans="1:16" ht="15.75">
      <c r="B13"/>
      <c r="C13"/>
      <c r="D13" s="8" t="e">
        <f t="shared" si="0"/>
        <v>#DIV/0!</v>
      </c>
      <c r="E13" s="8" t="e">
        <f t="shared" si="1"/>
        <v>#DIV/0!</v>
      </c>
      <c r="F13" s="11">
        <f t="shared" si="3"/>
        <v>3.1614447527999994E-8</v>
      </c>
      <c r="G13" s="8">
        <f t="shared" si="2"/>
        <v>-7.5001144032114295</v>
      </c>
      <c r="H13" s="8" t="e">
        <f t="shared" si="4"/>
        <v>#DIV/0!</v>
      </c>
      <c r="J13" s="19" t="e">
        <f>J11-J15</f>
        <v>#DIV/0!</v>
      </c>
    </row>
    <row r="14" spans="1:16" ht="15.75">
      <c r="B14"/>
      <c r="C14"/>
      <c r="D14" s="8" t="e">
        <f t="shared" si="0"/>
        <v>#DIV/0!</v>
      </c>
      <c r="E14" s="8" t="e">
        <f t="shared" si="1"/>
        <v>#DIV/0!</v>
      </c>
      <c r="F14" s="11">
        <f t="shared" si="3"/>
        <v>9.9964883083535969E-9</v>
      </c>
      <c r="G14" s="8">
        <f t="shared" si="2"/>
        <v>-8.0001525376152394</v>
      </c>
      <c r="H14" s="8" t="e">
        <f t="shared" si="4"/>
        <v>#DIV/0!</v>
      </c>
      <c r="J14" s="19" t="s">
        <v>442</v>
      </c>
    </row>
    <row r="15" spans="1:16" ht="15.75">
      <c r="A15"/>
      <c r="B15"/>
      <c r="C15"/>
      <c r="D15" s="8" t="e">
        <f t="shared" si="0"/>
        <v>#DIV/0!</v>
      </c>
      <c r="E15" s="8" t="e">
        <f t="shared" si="1"/>
        <v>#DIV/0!</v>
      </c>
      <c r="F15" s="11">
        <f t="shared" si="3"/>
        <v>3.1608896031014071E-9</v>
      </c>
      <c r="G15" s="8">
        <f t="shared" si="2"/>
        <v>-8.5001906720190483</v>
      </c>
      <c r="H15" s="8" t="e">
        <f t="shared" si="4"/>
        <v>#DIV/0!</v>
      </c>
      <c r="J15" s="19" t="e">
        <f>AVERAGE(M9:M16)</f>
        <v>#DIV/0!</v>
      </c>
    </row>
    <row r="16" spans="1:16" ht="15.75">
      <c r="B16"/>
      <c r="C16"/>
      <c r="D16" s="8" t="e">
        <f t="shared" si="0"/>
        <v>#DIV/0!</v>
      </c>
      <c r="E16" s="8" t="e">
        <f t="shared" si="1"/>
        <v>#DIV/0!</v>
      </c>
      <c r="F16" s="11">
        <f t="shared" si="3"/>
        <v>9.9947329250066484E-10</v>
      </c>
      <c r="G16" s="8">
        <f t="shared" si="2"/>
        <v>-9.0002288064228591</v>
      </c>
      <c r="H16" s="8" t="e">
        <f t="shared" si="4"/>
        <v>#DIV/0!</v>
      </c>
    </row>
    <row r="17" spans="1:13" ht="15.75">
      <c r="B17"/>
      <c r="C17"/>
      <c r="D17" s="8" t="e">
        <f t="shared" si="0"/>
        <v>#DIV/0!</v>
      </c>
      <c r="E17" s="8" t="e">
        <f t="shared" si="1"/>
        <v>#DIV/0!</v>
      </c>
      <c r="F17" s="11">
        <f t="shared" si="3"/>
        <v>3.1603345508871019E-10</v>
      </c>
      <c r="G17" s="8">
        <f t="shared" si="2"/>
        <v>-9.500266940826668</v>
      </c>
      <c r="H17" s="8" t="e">
        <f t="shared" si="4"/>
        <v>#DIV/0!</v>
      </c>
      <c r="K17" s="20"/>
      <c r="M17" s="20"/>
    </row>
    <row r="18" spans="1:13" ht="15.75">
      <c r="B18"/>
      <c r="C18"/>
      <c r="D18" s="8" t="e">
        <f t="shared" si="0"/>
        <v>#DIV/0!</v>
      </c>
      <c r="E18" s="8" t="e">
        <f t="shared" si="1"/>
        <v>#DIV/0!</v>
      </c>
      <c r="F18" s="11">
        <f t="shared" si="3"/>
        <v>9.992977849905016E-11</v>
      </c>
      <c r="G18" s="8">
        <f t="shared" si="2"/>
        <v>-10.000305075230479</v>
      </c>
      <c r="H18" s="8" t="e">
        <f t="shared" si="4"/>
        <v>#DIV/0!</v>
      </c>
      <c r="K18" s="20"/>
    </row>
    <row r="19" spans="1:13" ht="15.75">
      <c r="B19"/>
      <c r="C19"/>
      <c r="D19" s="8" t="e">
        <f t="shared" si="0"/>
        <v>#DIV/0!</v>
      </c>
      <c r="E19" s="8"/>
      <c r="F19" s="11"/>
      <c r="G19" s="8"/>
      <c r="H19" s="8"/>
    </row>
    <row r="20" spans="1:13" ht="15.75">
      <c r="B20"/>
      <c r="C20"/>
    </row>
    <row r="21" spans="1:13" ht="15.75">
      <c r="B21"/>
      <c r="C21"/>
      <c r="D21" s="8"/>
      <c r="E21" s="8"/>
      <c r="H21" s="8"/>
    </row>
    <row r="22" spans="1:13" ht="15.75">
      <c r="A22" s="10"/>
      <c r="B22"/>
      <c r="C22"/>
      <c r="D22" s="8"/>
      <c r="E22" s="8"/>
      <c r="H22" s="8"/>
    </row>
    <row r="23" spans="1:13" ht="15.75">
      <c r="A23"/>
      <c r="B23"/>
      <c r="C23"/>
      <c r="D23" s="8"/>
      <c r="E23" s="8"/>
      <c r="F23" s="11"/>
      <c r="G23" s="8"/>
      <c r="H23" s="8"/>
    </row>
    <row r="24" spans="1:13" ht="15.75">
      <c r="B24"/>
      <c r="C24"/>
      <c r="D24" s="8"/>
      <c r="E24" s="8"/>
      <c r="F24" s="11"/>
      <c r="G24" s="8"/>
      <c r="H24" s="8"/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FA5C-95FA-48A4-9582-A75407700C8A}">
  <dimension ref="A1:P214"/>
  <sheetViews>
    <sheetView workbookViewId="0">
      <selection activeCell="L9" sqref="L9:M24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676</v>
      </c>
      <c r="B8">
        <v>300</v>
      </c>
      <c r="C8">
        <v>344</v>
      </c>
      <c r="D8" s="8">
        <f t="shared" ref="D8:D19" si="0">AVERAGE(B8:C8)</f>
        <v>322</v>
      </c>
      <c r="E8" s="8">
        <f>AVERAGE(J11,D19)-$D$9</f>
        <v>201.4375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0" t="s">
        <v>646</v>
      </c>
      <c r="B9">
        <v>174</v>
      </c>
      <c r="C9">
        <v>214</v>
      </c>
      <c r="D9" s="8">
        <f>AVERAGE(B10:C10)</f>
        <v>142.5</v>
      </c>
      <c r="E9" s="8">
        <f>D9-$D$9</f>
        <v>0</v>
      </c>
      <c r="H9" s="8"/>
      <c r="J9" s="18" t="s">
        <v>417</v>
      </c>
      <c r="L9" s="5">
        <v>300</v>
      </c>
      <c r="M9" s="5">
        <v>174</v>
      </c>
      <c r="P9" s="5" t="s">
        <v>671</v>
      </c>
    </row>
    <row r="10" spans="1:16" ht="15.75">
      <c r="A10" t="s">
        <v>435</v>
      </c>
      <c r="B10">
        <v>145</v>
      </c>
      <c r="C10">
        <v>140</v>
      </c>
      <c r="D10" s="8">
        <f t="shared" si="0"/>
        <v>142.5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214</v>
      </c>
      <c r="P10" s="7" t="s">
        <v>672</v>
      </c>
    </row>
    <row r="11" spans="1:16" ht="15.75">
      <c r="A11" s="13" t="s">
        <v>688</v>
      </c>
      <c r="B11">
        <v>195</v>
      </c>
      <c r="C11">
        <v>196</v>
      </c>
      <c r="D11" s="8">
        <f t="shared" si="0"/>
        <v>195.5</v>
      </c>
      <c r="E11" s="8">
        <f t="shared" si="1"/>
        <v>53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26.310890474713002</v>
      </c>
      <c r="J11" s="19">
        <f>AVERAGE(L9:L24)</f>
        <v>378.375</v>
      </c>
      <c r="L11" s="5">
        <v>373</v>
      </c>
      <c r="M11" s="5">
        <v>212</v>
      </c>
      <c r="P11" s="5" t="s">
        <v>681</v>
      </c>
    </row>
    <row r="12" spans="1:16" ht="15.75">
      <c r="B12">
        <v>222</v>
      </c>
      <c r="C12">
        <v>243</v>
      </c>
      <c r="D12" s="8">
        <f t="shared" si="0"/>
        <v>232.5</v>
      </c>
      <c r="E12" s="8">
        <f t="shared" si="1"/>
        <v>90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44.67887061743717</v>
      </c>
      <c r="J12" s="19" t="s">
        <v>669</v>
      </c>
      <c r="L12" s="5">
        <v>506</v>
      </c>
      <c r="M12" s="5">
        <v>190</v>
      </c>
      <c r="P12" s="5" t="s">
        <v>674</v>
      </c>
    </row>
    <row r="13" spans="1:16" ht="15.75">
      <c r="B13">
        <v>277</v>
      </c>
      <c r="C13">
        <v>292</v>
      </c>
      <c r="D13" s="8">
        <f t="shared" si="0"/>
        <v>284.5</v>
      </c>
      <c r="E13" s="8">
        <f t="shared" si="1"/>
        <v>142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70.493329196400865</v>
      </c>
      <c r="J13" s="19">
        <f>J11-J15</f>
        <v>179.625</v>
      </c>
      <c r="L13" s="5">
        <v>358</v>
      </c>
      <c r="M13" s="5">
        <v>265</v>
      </c>
    </row>
    <row r="14" spans="1:16" ht="15.75">
      <c r="B14">
        <v>349</v>
      </c>
      <c r="C14">
        <v>436</v>
      </c>
      <c r="D14" s="8">
        <f t="shared" si="0"/>
        <v>392.5</v>
      </c>
      <c r="E14" s="8">
        <f t="shared" si="1"/>
        <v>250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124.10797393732547</v>
      </c>
      <c r="J14" s="19" t="s">
        <v>442</v>
      </c>
      <c r="L14" s="5">
        <v>565</v>
      </c>
      <c r="M14" s="5">
        <v>162</v>
      </c>
    </row>
    <row r="15" spans="1:16" ht="15.75">
      <c r="A15"/>
      <c r="B15">
        <v>341</v>
      </c>
      <c r="C15">
        <v>338</v>
      </c>
      <c r="D15" s="8">
        <f t="shared" si="0"/>
        <v>339.5</v>
      </c>
      <c r="E15" s="8">
        <f t="shared" si="1"/>
        <v>197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97.797083462612477</v>
      </c>
      <c r="J15" s="19">
        <f>AVERAGE(M9:M16)</f>
        <v>198.75</v>
      </c>
      <c r="L15" s="5">
        <v>361</v>
      </c>
      <c r="M15" s="5">
        <v>176</v>
      </c>
    </row>
    <row r="16" spans="1:16" ht="15.75">
      <c r="B16">
        <v>259</v>
      </c>
      <c r="C16">
        <v>276</v>
      </c>
      <c r="D16" s="8">
        <f t="shared" si="0"/>
        <v>267.5</v>
      </c>
      <c r="E16" s="8">
        <f t="shared" si="1"/>
        <v>125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62.053986968662734</v>
      </c>
      <c r="L16" s="5">
        <v>352</v>
      </c>
      <c r="M16" s="5">
        <v>197</v>
      </c>
    </row>
    <row r="17" spans="1:13" ht="15.75">
      <c r="B17">
        <v>313</v>
      </c>
      <c r="C17">
        <v>272</v>
      </c>
      <c r="D17" s="8">
        <f t="shared" si="0"/>
        <v>292.5</v>
      </c>
      <c r="E17" s="8">
        <f t="shared" si="1"/>
        <v>150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74.464784362395278</v>
      </c>
      <c r="K17" s="20"/>
      <c r="L17" s="21">
        <v>307</v>
      </c>
      <c r="M17" s="20"/>
    </row>
    <row r="18" spans="1:13" ht="15.75">
      <c r="B18">
        <v>250</v>
      </c>
      <c r="C18">
        <v>270</v>
      </c>
      <c r="D18" s="8">
        <f t="shared" si="0"/>
        <v>260</v>
      </c>
      <c r="E18" s="8">
        <f t="shared" si="1"/>
        <v>117.5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58.330747750542976</v>
      </c>
      <c r="K18" s="20"/>
      <c r="L18" s="21">
        <v>312</v>
      </c>
    </row>
    <row r="19" spans="1:13" ht="15.75">
      <c r="B19">
        <v>307</v>
      </c>
      <c r="C19">
        <v>312</v>
      </c>
      <c r="D19" s="8">
        <f t="shared" si="0"/>
        <v>309.5</v>
      </c>
      <c r="E19" s="8"/>
      <c r="F19" s="11"/>
      <c r="G19" s="8"/>
      <c r="H19" s="8"/>
      <c r="L19" s="21">
        <v>369</v>
      </c>
    </row>
    <row r="20" spans="1:13" ht="15.75">
      <c r="B20"/>
      <c r="C20"/>
      <c r="L20" s="21">
        <v>385</v>
      </c>
    </row>
    <row r="21" spans="1:13" ht="15.75">
      <c r="B21"/>
      <c r="C21"/>
      <c r="D21" s="8"/>
      <c r="E21" s="8"/>
      <c r="H21" s="8"/>
      <c r="L21" s="21">
        <v>334</v>
      </c>
    </row>
    <row r="22" spans="1:13" ht="15.75">
      <c r="A22" s="10"/>
      <c r="B22"/>
      <c r="C22"/>
      <c r="D22" s="8"/>
      <c r="E22" s="8"/>
      <c r="H22" s="8"/>
      <c r="L22" s="21">
        <v>413</v>
      </c>
    </row>
    <row r="23" spans="1:13" ht="15.75">
      <c r="A23"/>
      <c r="B23"/>
      <c r="C23"/>
      <c r="D23" s="8"/>
      <c r="E23" s="8"/>
      <c r="F23" s="11"/>
      <c r="G23" s="8"/>
      <c r="H23" s="8"/>
      <c r="L23" s="21">
        <v>422</v>
      </c>
    </row>
    <row r="24" spans="1:13" ht="15.75">
      <c r="B24"/>
      <c r="C24"/>
      <c r="D24" s="8"/>
      <c r="E24" s="8"/>
      <c r="F24" s="11"/>
      <c r="G24" s="8"/>
      <c r="H24" s="8"/>
      <c r="L24" s="21">
        <v>353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F507-3FBF-4A2F-B69F-158E5B80F78F}">
  <dimension ref="A1:P214"/>
  <sheetViews>
    <sheetView workbookViewId="0">
      <selection activeCell="F25" sqref="F25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675</v>
      </c>
      <c r="B8">
        <v>373</v>
      </c>
      <c r="C8">
        <v>506</v>
      </c>
      <c r="D8" s="8">
        <f t="shared" ref="D8:D19" si="0">AVERAGE(B8:C8)</f>
        <v>439.5</v>
      </c>
      <c r="E8" s="8">
        <f>AVERAGE(J11,D19)-$D$9</f>
        <v>198.6875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0" t="s">
        <v>647</v>
      </c>
      <c r="B9">
        <v>212</v>
      </c>
      <c r="C9">
        <v>190</v>
      </c>
      <c r="D9" s="8">
        <f>AVERAGE(B10:C10)</f>
        <v>179</v>
      </c>
      <c r="E9" s="8">
        <f>D9-$D$9</f>
        <v>0</v>
      </c>
      <c r="H9" s="8"/>
      <c r="J9" s="18" t="s">
        <v>417</v>
      </c>
      <c r="L9" s="5">
        <v>300</v>
      </c>
      <c r="M9" s="5">
        <v>174</v>
      </c>
      <c r="P9" s="5" t="s">
        <v>671</v>
      </c>
    </row>
    <row r="10" spans="1:16" ht="15.75">
      <c r="A10" t="s">
        <v>435</v>
      </c>
      <c r="B10">
        <v>209</v>
      </c>
      <c r="C10">
        <v>149</v>
      </c>
      <c r="D10" s="8">
        <f t="shared" si="0"/>
        <v>179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214</v>
      </c>
      <c r="P10" s="7" t="s">
        <v>672</v>
      </c>
    </row>
    <row r="11" spans="1:16" ht="15.75">
      <c r="B11">
        <v>202</v>
      </c>
      <c r="C11">
        <v>263</v>
      </c>
      <c r="D11" s="8">
        <f t="shared" si="0"/>
        <v>232.5</v>
      </c>
      <c r="E11" s="8">
        <f t="shared" si="1"/>
        <v>53.5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26.926706511481598</v>
      </c>
      <c r="J11" s="19">
        <f>AVERAGE(L9:L24)</f>
        <v>378.375</v>
      </c>
      <c r="L11" s="5">
        <v>373</v>
      </c>
      <c r="M11" s="5">
        <v>212</v>
      </c>
      <c r="P11" s="5" t="s">
        <v>681</v>
      </c>
    </row>
    <row r="12" spans="1:16" ht="15.75">
      <c r="A12"/>
      <c r="B12">
        <v>234</v>
      </c>
      <c r="C12">
        <v>325</v>
      </c>
      <c r="D12" s="8">
        <f t="shared" si="0"/>
        <v>279.5</v>
      </c>
      <c r="E12" s="8">
        <f t="shared" si="1"/>
        <v>100.5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50.581944007549545</v>
      </c>
      <c r="J12" s="19" t="s">
        <v>669</v>
      </c>
      <c r="L12" s="5">
        <v>506</v>
      </c>
      <c r="M12" s="5">
        <v>190</v>
      </c>
      <c r="P12" s="5" t="s">
        <v>674</v>
      </c>
    </row>
    <row r="13" spans="1:16" ht="15.75">
      <c r="A13"/>
      <c r="B13">
        <v>331</v>
      </c>
      <c r="C13">
        <v>321</v>
      </c>
      <c r="D13" s="8">
        <f t="shared" si="0"/>
        <v>326</v>
      </c>
      <c r="E13" s="8">
        <f t="shared" si="1"/>
        <v>147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73.985530040893366</v>
      </c>
      <c r="J13" s="19">
        <f>J11-J15</f>
        <v>179.625</v>
      </c>
      <c r="L13" s="5">
        <v>358</v>
      </c>
      <c r="M13" s="5">
        <v>265</v>
      </c>
    </row>
    <row r="14" spans="1:16" ht="15.75">
      <c r="A14"/>
      <c r="B14">
        <v>389</v>
      </c>
      <c r="C14">
        <v>374</v>
      </c>
      <c r="D14" s="8">
        <f t="shared" si="0"/>
        <v>381.5</v>
      </c>
      <c r="E14" s="8">
        <f t="shared" si="1"/>
        <v>202.5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101.91884240327147</v>
      </c>
      <c r="J14" s="19" t="s">
        <v>442</v>
      </c>
      <c r="L14" s="5">
        <v>565</v>
      </c>
      <c r="M14" s="5">
        <v>162</v>
      </c>
    </row>
    <row r="15" spans="1:16" ht="15.75">
      <c r="B15">
        <v>341</v>
      </c>
      <c r="C15">
        <v>372</v>
      </c>
      <c r="D15" s="8">
        <f t="shared" si="0"/>
        <v>356.5</v>
      </c>
      <c r="E15" s="8">
        <f t="shared" si="1"/>
        <v>177.5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89.33626926706512</v>
      </c>
      <c r="J15" s="19">
        <f>AVERAGE(M9:M16)</f>
        <v>198.75</v>
      </c>
      <c r="L15" s="5">
        <v>361</v>
      </c>
      <c r="M15" s="5">
        <v>176</v>
      </c>
    </row>
    <row r="16" spans="1:16" ht="15.75">
      <c r="A16"/>
      <c r="B16">
        <v>326</v>
      </c>
      <c r="C16">
        <v>341</v>
      </c>
      <c r="D16" s="8">
        <f t="shared" si="0"/>
        <v>333.5</v>
      </c>
      <c r="E16" s="8">
        <f t="shared" si="1"/>
        <v>154.5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77.760301981755262</v>
      </c>
      <c r="L16" s="5">
        <v>352</v>
      </c>
      <c r="M16" s="5">
        <v>197</v>
      </c>
    </row>
    <row r="17" spans="1:13" ht="15.75">
      <c r="B17">
        <v>358</v>
      </c>
      <c r="C17">
        <v>334</v>
      </c>
      <c r="D17" s="8">
        <f t="shared" si="0"/>
        <v>346</v>
      </c>
      <c r="E17" s="8">
        <f t="shared" si="1"/>
        <v>167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84.051588549858451</v>
      </c>
      <c r="K17" s="20"/>
      <c r="L17" s="21">
        <v>307</v>
      </c>
      <c r="M17" s="20"/>
    </row>
    <row r="18" spans="1:13" ht="15.75">
      <c r="A18"/>
      <c r="B18">
        <v>318</v>
      </c>
      <c r="C18">
        <v>333</v>
      </c>
      <c r="D18" s="8">
        <f t="shared" si="0"/>
        <v>325.5</v>
      </c>
      <c r="E18" s="8">
        <f t="shared" si="1"/>
        <v>146.5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73.733878578169239</v>
      </c>
      <c r="K18" s="20"/>
      <c r="L18" s="21">
        <v>312</v>
      </c>
    </row>
    <row r="19" spans="1:13" ht="15.75">
      <c r="B19">
        <v>369</v>
      </c>
      <c r="C19">
        <v>385</v>
      </c>
      <c r="D19" s="8">
        <f t="shared" si="0"/>
        <v>377</v>
      </c>
      <c r="E19" s="8"/>
      <c r="F19" s="11"/>
      <c r="G19" s="8"/>
      <c r="H19" s="8"/>
      <c r="L19" s="21">
        <v>369</v>
      </c>
    </row>
    <row r="20" spans="1:13" ht="15.75">
      <c r="B20"/>
      <c r="C20"/>
      <c r="L20" s="21">
        <v>385</v>
      </c>
    </row>
    <row r="21" spans="1:13" ht="15.75">
      <c r="B21"/>
      <c r="C21"/>
      <c r="D21" s="8"/>
      <c r="E21" s="8"/>
      <c r="H21" s="8"/>
      <c r="L21" s="21">
        <v>334</v>
      </c>
    </row>
    <row r="22" spans="1:13" ht="15.75">
      <c r="A22" s="10"/>
      <c r="B22"/>
      <c r="C22"/>
      <c r="D22" s="8"/>
      <c r="E22" s="8"/>
      <c r="H22" s="8"/>
      <c r="L22" s="21">
        <v>413</v>
      </c>
    </row>
    <row r="23" spans="1:13" ht="15.75">
      <c r="A23"/>
      <c r="B23"/>
      <c r="C23"/>
      <c r="D23" s="8"/>
      <c r="E23" s="8"/>
      <c r="F23" s="11"/>
      <c r="G23" s="8"/>
      <c r="H23" s="8"/>
      <c r="L23" s="21">
        <v>422</v>
      </c>
    </row>
    <row r="24" spans="1:13" ht="15.75">
      <c r="B24"/>
      <c r="C24"/>
      <c r="D24" s="8"/>
      <c r="E24" s="8"/>
      <c r="F24" s="11"/>
      <c r="G24" s="8"/>
      <c r="H24" s="8"/>
      <c r="L24" s="21">
        <v>353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229D-A140-4C9B-AB08-AB42C94FCCB5}">
  <dimension ref="A1:P214"/>
  <sheetViews>
    <sheetView workbookViewId="0">
      <selection activeCell="L9" sqref="L9:M24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692</v>
      </c>
      <c r="B8">
        <v>361</v>
      </c>
      <c r="C8">
        <v>352</v>
      </c>
      <c r="D8" s="8">
        <f t="shared" ref="D8:D19" si="0">AVERAGE(B8:C8)</f>
        <v>356.5</v>
      </c>
      <c r="E8" s="8">
        <f>AVERAGE(J11,D19)-$D$9</f>
        <v>227.9375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0" t="s">
        <v>649</v>
      </c>
      <c r="B9">
        <v>176</v>
      </c>
      <c r="C9">
        <v>197</v>
      </c>
      <c r="D9" s="8">
        <f>AVERAGE(B10:C10)</f>
        <v>155</v>
      </c>
      <c r="E9" s="8">
        <f>D9-$D$9</f>
        <v>0</v>
      </c>
      <c r="H9" s="8"/>
      <c r="J9" s="18" t="s">
        <v>417</v>
      </c>
      <c r="L9" s="5">
        <v>300</v>
      </c>
      <c r="M9" s="5">
        <v>174</v>
      </c>
      <c r="P9" s="5" t="s">
        <v>671</v>
      </c>
    </row>
    <row r="10" spans="1:16" ht="15.75">
      <c r="A10" s="5" t="s">
        <v>435</v>
      </c>
      <c r="B10">
        <v>161</v>
      </c>
      <c r="C10">
        <v>149</v>
      </c>
      <c r="D10" s="8">
        <f t="shared" si="0"/>
        <v>155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214</v>
      </c>
      <c r="P10" s="7" t="s">
        <v>672</v>
      </c>
    </row>
    <row r="11" spans="1:16" ht="15.75">
      <c r="A11" s="13"/>
      <c r="B11">
        <v>261</v>
      </c>
      <c r="C11">
        <v>279</v>
      </c>
      <c r="D11" s="8">
        <f t="shared" si="0"/>
        <v>270</v>
      </c>
      <c r="E11" s="8">
        <f t="shared" si="1"/>
        <v>115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50.452426652042774</v>
      </c>
      <c r="J11" s="19">
        <f>AVERAGE(L9:L24)</f>
        <v>378.375</v>
      </c>
      <c r="L11" s="5">
        <v>373</v>
      </c>
      <c r="M11" s="5">
        <v>212</v>
      </c>
      <c r="P11" s="5" t="s">
        <v>681</v>
      </c>
    </row>
    <row r="12" spans="1:16" ht="15.75">
      <c r="B12">
        <v>262</v>
      </c>
      <c r="C12">
        <v>280</v>
      </c>
      <c r="D12" s="8">
        <f t="shared" si="0"/>
        <v>271</v>
      </c>
      <c r="E12" s="8">
        <f t="shared" si="1"/>
        <v>116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50.891143405538799</v>
      </c>
      <c r="J12" s="19" t="s">
        <v>669</v>
      </c>
      <c r="L12" s="5">
        <v>506</v>
      </c>
      <c r="M12" s="5">
        <v>190</v>
      </c>
      <c r="P12" s="5" t="s">
        <v>674</v>
      </c>
    </row>
    <row r="13" spans="1:16" ht="15.75">
      <c r="B13">
        <v>387</v>
      </c>
      <c r="C13">
        <v>394</v>
      </c>
      <c r="D13" s="8">
        <f t="shared" si="0"/>
        <v>390.5</v>
      </c>
      <c r="E13" s="8">
        <f t="shared" si="1"/>
        <v>235.5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103.31779544831369</v>
      </c>
      <c r="J13" s="19">
        <f>J11-J15</f>
        <v>179.625</v>
      </c>
      <c r="L13" s="5">
        <v>358</v>
      </c>
      <c r="M13" s="5">
        <v>265</v>
      </c>
    </row>
    <row r="14" spans="1:16" ht="15.75">
      <c r="A14"/>
      <c r="B14">
        <v>430</v>
      </c>
      <c r="C14">
        <v>502</v>
      </c>
      <c r="D14" s="8">
        <f t="shared" si="0"/>
        <v>466</v>
      </c>
      <c r="E14" s="8">
        <f t="shared" si="1"/>
        <v>311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136.44091033726352</v>
      </c>
      <c r="J14" s="19" t="s">
        <v>442</v>
      </c>
      <c r="L14" s="5">
        <v>565</v>
      </c>
      <c r="M14" s="5">
        <v>162</v>
      </c>
    </row>
    <row r="15" spans="1:16" ht="15.75">
      <c r="B15">
        <v>380</v>
      </c>
      <c r="C15">
        <v>347</v>
      </c>
      <c r="D15" s="8">
        <f t="shared" si="0"/>
        <v>363.5</v>
      </c>
      <c r="E15" s="8">
        <f t="shared" si="1"/>
        <v>208.5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91.472443103921037</v>
      </c>
      <c r="J15" s="19">
        <f>AVERAGE(M9:M16)</f>
        <v>198.75</v>
      </c>
      <c r="L15" s="5">
        <v>361</v>
      </c>
      <c r="M15" s="5">
        <v>176</v>
      </c>
    </row>
    <row r="16" spans="1:16" ht="15.75">
      <c r="B16">
        <v>314</v>
      </c>
      <c r="C16">
        <v>337</v>
      </c>
      <c r="D16" s="8">
        <f t="shared" si="0"/>
        <v>325.5</v>
      </c>
      <c r="E16" s="8">
        <f t="shared" si="1"/>
        <v>170.5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74.801206471072121</v>
      </c>
      <c r="L16" s="5">
        <v>352</v>
      </c>
      <c r="M16" s="5">
        <v>197</v>
      </c>
    </row>
    <row r="17" spans="1:13" ht="15.75">
      <c r="B17">
        <v>375</v>
      </c>
      <c r="C17">
        <v>446</v>
      </c>
      <c r="D17" s="8">
        <f t="shared" si="0"/>
        <v>410.5</v>
      </c>
      <c r="E17" s="8">
        <f t="shared" si="1"/>
        <v>255.5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112.09213051823417</v>
      </c>
      <c r="K17" s="20"/>
      <c r="L17" s="21">
        <v>307</v>
      </c>
      <c r="M17" s="20"/>
    </row>
    <row r="18" spans="1:13" ht="15.75">
      <c r="B18">
        <v>396</v>
      </c>
      <c r="C18">
        <v>395</v>
      </c>
      <c r="D18" s="8">
        <f t="shared" si="0"/>
        <v>395.5</v>
      </c>
      <c r="E18" s="8">
        <f t="shared" si="1"/>
        <v>240.5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105.51137921579381</v>
      </c>
      <c r="K18" s="20"/>
      <c r="L18" s="21">
        <v>312</v>
      </c>
    </row>
    <row r="19" spans="1:13" ht="15.75">
      <c r="A19"/>
      <c r="B19">
        <v>422</v>
      </c>
      <c r="C19">
        <v>353</v>
      </c>
      <c r="D19" s="8">
        <f t="shared" si="0"/>
        <v>387.5</v>
      </c>
      <c r="E19" s="8"/>
      <c r="F19" s="11"/>
      <c r="G19" s="8"/>
      <c r="H19" s="8"/>
      <c r="L19" s="21">
        <v>369</v>
      </c>
    </row>
    <row r="20" spans="1:13" ht="15.75">
      <c r="B20"/>
      <c r="C20"/>
      <c r="L20" s="21">
        <v>385</v>
      </c>
    </row>
    <row r="21" spans="1:13" ht="15.75">
      <c r="B21"/>
      <c r="C21"/>
      <c r="D21" s="8"/>
      <c r="E21" s="8"/>
      <c r="H21" s="8"/>
      <c r="L21" s="21">
        <v>334</v>
      </c>
    </row>
    <row r="22" spans="1:13" ht="15.75">
      <c r="A22" s="10"/>
      <c r="B22"/>
      <c r="C22"/>
      <c r="D22" s="8"/>
      <c r="E22" s="8"/>
      <c r="H22" s="8"/>
      <c r="L22" s="21">
        <v>413</v>
      </c>
    </row>
    <row r="23" spans="1:13" ht="15.75">
      <c r="A23"/>
      <c r="B23"/>
      <c r="C23"/>
      <c r="D23" s="8"/>
      <c r="E23" s="8"/>
      <c r="F23" s="11"/>
      <c r="G23" s="8"/>
      <c r="H23" s="8"/>
      <c r="L23" s="21">
        <v>422</v>
      </c>
    </row>
    <row r="24" spans="1:13" ht="15.75">
      <c r="B24"/>
      <c r="C24"/>
      <c r="D24" s="8"/>
      <c r="E24" s="8"/>
      <c r="F24" s="11"/>
      <c r="G24" s="8"/>
      <c r="H24" s="8"/>
      <c r="L24" s="21">
        <v>353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AB06-9E3D-4FD7-835D-D6835C4F77B6}">
  <dimension ref="A1:P214"/>
  <sheetViews>
    <sheetView workbookViewId="0">
      <selection sqref="A1:XFD1048576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691</v>
      </c>
      <c r="B8">
        <v>343</v>
      </c>
      <c r="C8">
        <v>344</v>
      </c>
      <c r="D8" s="8">
        <f t="shared" ref="D8:D19" si="0">AVERAGE(B8:C8)</f>
        <v>343.5</v>
      </c>
      <c r="E8" s="8">
        <f>AVERAGE(J11,D19)-$D$9</f>
        <v>213.46875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4" t="s">
        <v>443</v>
      </c>
      <c r="B9">
        <v>148</v>
      </c>
      <c r="C9">
        <v>108</v>
      </c>
      <c r="D9" s="8">
        <f>AVERAGE(B10:C10)</f>
        <v>122.5</v>
      </c>
      <c r="E9" s="8">
        <f>D9-$D$9</f>
        <v>0</v>
      </c>
      <c r="H9" s="8"/>
      <c r="J9" s="18" t="s">
        <v>417</v>
      </c>
      <c r="L9" s="5">
        <v>343</v>
      </c>
      <c r="M9" s="5">
        <v>148</v>
      </c>
      <c r="P9" s="5" t="s">
        <v>671</v>
      </c>
    </row>
    <row r="10" spans="1:16" ht="15.75">
      <c r="A10" s="5" t="s">
        <v>435</v>
      </c>
      <c r="B10">
        <v>143</v>
      </c>
      <c r="C10">
        <v>102</v>
      </c>
      <c r="D10" s="8">
        <f t="shared" si="0"/>
        <v>122.5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108</v>
      </c>
      <c r="P10" s="7" t="s">
        <v>672</v>
      </c>
    </row>
    <row r="11" spans="1:16" ht="15.75">
      <c r="A11" s="13"/>
      <c r="B11">
        <v>151</v>
      </c>
      <c r="C11">
        <v>120</v>
      </c>
      <c r="D11" s="8">
        <f t="shared" si="0"/>
        <v>135.5</v>
      </c>
      <c r="E11" s="8">
        <f t="shared" si="1"/>
        <v>13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6.0898843507539162</v>
      </c>
      <c r="J11" s="19">
        <f>AVERAGE(L9:L24)</f>
        <v>350.4375</v>
      </c>
      <c r="L11" s="5">
        <v>322</v>
      </c>
      <c r="M11" s="5">
        <v>183</v>
      </c>
      <c r="P11" s="5" t="s">
        <v>681</v>
      </c>
    </row>
    <row r="12" spans="1:16" ht="15.75">
      <c r="B12">
        <v>297</v>
      </c>
      <c r="C12">
        <v>143</v>
      </c>
      <c r="D12" s="8">
        <f t="shared" si="0"/>
        <v>220</v>
      </c>
      <c r="E12" s="8">
        <f t="shared" si="1"/>
        <v>97.5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45.67413263065437</v>
      </c>
      <c r="J12" s="19" t="s">
        <v>669</v>
      </c>
      <c r="L12" s="5">
        <v>449</v>
      </c>
      <c r="M12" s="5">
        <v>147</v>
      </c>
      <c r="P12" s="5" t="s">
        <v>674</v>
      </c>
    </row>
    <row r="13" spans="1:16" ht="15.75">
      <c r="B13">
        <v>208</v>
      </c>
      <c r="C13">
        <v>235</v>
      </c>
      <c r="D13" s="8">
        <f t="shared" si="0"/>
        <v>221.5</v>
      </c>
      <c r="E13" s="8">
        <f t="shared" si="1"/>
        <v>99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46.376811594202898</v>
      </c>
      <c r="J13" s="19">
        <f>J11-J15</f>
        <v>191.1875</v>
      </c>
      <c r="L13" s="5">
        <v>305</v>
      </c>
      <c r="M13" s="5">
        <v>201</v>
      </c>
    </row>
    <row r="14" spans="1:16" ht="15.75">
      <c r="B14">
        <v>286</v>
      </c>
      <c r="C14">
        <v>267</v>
      </c>
      <c r="D14" s="8">
        <f t="shared" si="0"/>
        <v>276.5</v>
      </c>
      <c r="E14" s="8">
        <f t="shared" si="1"/>
        <v>154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72.141706924315613</v>
      </c>
      <c r="J14" s="19" t="s">
        <v>442</v>
      </c>
      <c r="L14" s="5">
        <v>335</v>
      </c>
      <c r="M14" s="5">
        <v>135</v>
      </c>
    </row>
    <row r="15" spans="1:16" ht="15.75">
      <c r="A15"/>
      <c r="B15">
        <v>284</v>
      </c>
      <c r="C15">
        <v>282</v>
      </c>
      <c r="D15" s="8">
        <f t="shared" si="0"/>
        <v>283</v>
      </c>
      <c r="E15" s="8">
        <f t="shared" si="1"/>
        <v>160.5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75.186649099692573</v>
      </c>
      <c r="J15" s="19">
        <f>AVERAGE(M9:M16)</f>
        <v>159.25</v>
      </c>
      <c r="L15" s="5">
        <v>387</v>
      </c>
      <c r="M15" s="5">
        <v>144</v>
      </c>
    </row>
    <row r="16" spans="1:16" ht="15.75">
      <c r="B16">
        <v>306</v>
      </c>
      <c r="C16">
        <v>287</v>
      </c>
      <c r="D16" s="8">
        <f t="shared" si="0"/>
        <v>296.5</v>
      </c>
      <c r="E16" s="8">
        <f t="shared" si="1"/>
        <v>174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81.510759771629338</v>
      </c>
      <c r="L16" s="5">
        <v>281</v>
      </c>
      <c r="M16" s="5">
        <v>208</v>
      </c>
    </row>
    <row r="17" spans="1:13" ht="15.75">
      <c r="B17">
        <v>288</v>
      </c>
      <c r="C17">
        <v>265</v>
      </c>
      <c r="D17" s="8">
        <f t="shared" si="0"/>
        <v>276.5</v>
      </c>
      <c r="E17" s="8">
        <f t="shared" si="1"/>
        <v>154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72.141706924315613</v>
      </c>
      <c r="K17" s="20"/>
      <c r="L17" s="5">
        <v>304</v>
      </c>
      <c r="M17" s="20"/>
    </row>
    <row r="18" spans="1:13" ht="15.75">
      <c r="B18">
        <v>321</v>
      </c>
      <c r="C18">
        <v>278</v>
      </c>
      <c r="D18" s="8">
        <f t="shared" si="0"/>
        <v>299.5</v>
      </c>
      <c r="E18" s="8">
        <f t="shared" si="1"/>
        <v>177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82.916117698726396</v>
      </c>
      <c r="K18" s="20"/>
      <c r="L18" s="5">
        <v>339</v>
      </c>
    </row>
    <row r="19" spans="1:13" ht="15.75">
      <c r="B19">
        <v>304</v>
      </c>
      <c r="C19">
        <v>339</v>
      </c>
      <c r="D19" s="8">
        <f t="shared" si="0"/>
        <v>321.5</v>
      </c>
      <c r="E19" s="8"/>
      <c r="F19" s="11"/>
      <c r="G19" s="8"/>
      <c r="H19" s="8"/>
      <c r="L19" s="5">
        <v>302</v>
      </c>
    </row>
    <row r="20" spans="1:13" ht="15.75">
      <c r="B20"/>
      <c r="C20"/>
      <c r="L20" s="5">
        <v>372</v>
      </c>
    </row>
    <row r="21" spans="1:13" ht="15.75">
      <c r="B21"/>
      <c r="C21"/>
      <c r="D21" s="8"/>
      <c r="E21" s="8"/>
      <c r="H21" s="8"/>
      <c r="L21" s="5">
        <v>363</v>
      </c>
    </row>
    <row r="22" spans="1:13" ht="15.75">
      <c r="A22" s="10"/>
      <c r="B22"/>
      <c r="C22"/>
      <c r="D22" s="8"/>
      <c r="E22" s="8"/>
      <c r="H22" s="8"/>
      <c r="L22" s="5">
        <v>369</v>
      </c>
    </row>
    <row r="23" spans="1:13" ht="15.75">
      <c r="A23"/>
      <c r="B23"/>
      <c r="C23"/>
      <c r="D23" s="8"/>
      <c r="E23" s="8"/>
      <c r="F23" s="11"/>
      <c r="G23" s="8"/>
      <c r="H23" s="8"/>
      <c r="L23" s="5">
        <v>388</v>
      </c>
    </row>
    <row r="24" spans="1:13" ht="15.75">
      <c r="B24"/>
      <c r="C24"/>
      <c r="D24" s="8"/>
      <c r="E24" s="8"/>
      <c r="F24" s="11"/>
      <c r="G24" s="8"/>
      <c r="H24" s="8"/>
      <c r="L24" s="5">
        <v>404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AE3F-4365-4A88-837F-442C3840526E}">
  <dimension ref="A1:P214"/>
  <sheetViews>
    <sheetView workbookViewId="0">
      <selection sqref="A1:XFD1048576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693</v>
      </c>
      <c r="B8">
        <v>322</v>
      </c>
      <c r="C8">
        <v>449</v>
      </c>
      <c r="D8" s="8">
        <f t="shared" ref="D8:D19" si="0">AVERAGE(B8:C8)</f>
        <v>385.5</v>
      </c>
      <c r="E8" s="8">
        <f>AVERAGE(J11,D19)-$D$9</f>
        <v>154.21875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4" t="s">
        <v>650</v>
      </c>
      <c r="B9">
        <v>183</v>
      </c>
      <c r="C9">
        <v>147</v>
      </c>
      <c r="D9" s="8">
        <f>AVERAGE(B10:C10)</f>
        <v>189.5</v>
      </c>
      <c r="E9" s="8">
        <f>D9-$D$9</f>
        <v>0</v>
      </c>
      <c r="H9" s="8"/>
      <c r="J9" s="18" t="s">
        <v>417</v>
      </c>
      <c r="L9" s="5">
        <v>343</v>
      </c>
      <c r="M9" s="5">
        <v>148</v>
      </c>
      <c r="P9" s="5" t="s">
        <v>671</v>
      </c>
    </row>
    <row r="10" spans="1:16" ht="15.75">
      <c r="A10" t="s">
        <v>435</v>
      </c>
      <c r="B10">
        <v>226</v>
      </c>
      <c r="C10">
        <v>153</v>
      </c>
      <c r="D10" s="8">
        <f t="shared" si="0"/>
        <v>189.5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108</v>
      </c>
      <c r="P10" s="7" t="s">
        <v>672</v>
      </c>
    </row>
    <row r="11" spans="1:16" ht="15.75">
      <c r="B11">
        <v>232</v>
      </c>
      <c r="C11">
        <v>166</v>
      </c>
      <c r="D11" s="8">
        <f t="shared" si="0"/>
        <v>199</v>
      </c>
      <c r="E11" s="8">
        <f t="shared" si="1"/>
        <v>9.5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6.1600810536980752</v>
      </c>
      <c r="J11" s="19">
        <f>AVERAGE(L9:L24)</f>
        <v>350.4375</v>
      </c>
      <c r="L11" s="5">
        <v>322</v>
      </c>
      <c r="M11" s="5">
        <v>183</v>
      </c>
      <c r="P11" s="5" t="s">
        <v>681</v>
      </c>
    </row>
    <row r="12" spans="1:16" ht="15.75">
      <c r="A12"/>
      <c r="B12">
        <v>286</v>
      </c>
      <c r="C12">
        <v>317</v>
      </c>
      <c r="D12" s="8">
        <f t="shared" si="0"/>
        <v>301.5</v>
      </c>
      <c r="E12" s="8">
        <f t="shared" si="1"/>
        <v>112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72.62411347517731</v>
      </c>
      <c r="J12" s="19" t="s">
        <v>669</v>
      </c>
      <c r="L12" s="5">
        <v>449</v>
      </c>
      <c r="M12" s="5">
        <v>147</v>
      </c>
      <c r="P12" s="5" t="s">
        <v>674</v>
      </c>
    </row>
    <row r="13" spans="1:16" ht="15.75">
      <c r="B13">
        <v>361</v>
      </c>
      <c r="C13">
        <v>275</v>
      </c>
      <c r="D13" s="8">
        <f t="shared" si="0"/>
        <v>318</v>
      </c>
      <c r="E13" s="8">
        <f t="shared" si="1"/>
        <v>128.5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83.323201621073963</v>
      </c>
      <c r="J13" s="19">
        <f>J11-J15</f>
        <v>191.1875</v>
      </c>
      <c r="L13" s="5">
        <v>305</v>
      </c>
      <c r="M13" s="5">
        <v>201</v>
      </c>
    </row>
    <row r="14" spans="1:16" ht="15.75">
      <c r="B14">
        <v>310</v>
      </c>
      <c r="C14">
        <v>337</v>
      </c>
      <c r="D14" s="8">
        <f t="shared" si="0"/>
        <v>323.5</v>
      </c>
      <c r="E14" s="8">
        <f t="shared" si="1"/>
        <v>134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86.889564336372842</v>
      </c>
      <c r="J14" s="19" t="s">
        <v>442</v>
      </c>
      <c r="L14" s="5">
        <v>335</v>
      </c>
      <c r="M14" s="5">
        <v>135</v>
      </c>
    </row>
    <row r="15" spans="1:16" ht="15.75">
      <c r="B15">
        <v>325</v>
      </c>
      <c r="C15">
        <v>313</v>
      </c>
      <c r="D15" s="8">
        <f t="shared" si="0"/>
        <v>319</v>
      </c>
      <c r="E15" s="8">
        <f t="shared" si="1"/>
        <v>129.5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83.971631205673759</v>
      </c>
      <c r="J15" s="19">
        <f>AVERAGE(M9:M16)</f>
        <v>159.25</v>
      </c>
      <c r="L15" s="5">
        <v>387</v>
      </c>
      <c r="M15" s="5">
        <v>144</v>
      </c>
    </row>
    <row r="16" spans="1:16" ht="15.75">
      <c r="B16">
        <v>339</v>
      </c>
      <c r="C16">
        <v>344</v>
      </c>
      <c r="D16" s="8">
        <f t="shared" si="0"/>
        <v>341.5</v>
      </c>
      <c r="E16" s="8">
        <f t="shared" si="1"/>
        <v>152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98.561296859169204</v>
      </c>
      <c r="L16" s="5">
        <v>281</v>
      </c>
      <c r="M16" s="5">
        <v>208</v>
      </c>
    </row>
    <row r="17" spans="1:13" ht="15.75">
      <c r="B17">
        <v>299</v>
      </c>
      <c r="C17">
        <v>346</v>
      </c>
      <c r="D17" s="8">
        <f t="shared" si="0"/>
        <v>322.5</v>
      </c>
      <c r="E17" s="8">
        <f t="shared" si="1"/>
        <v>133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86.241134751773046</v>
      </c>
      <c r="K17" s="20"/>
      <c r="L17" s="5">
        <v>304</v>
      </c>
      <c r="M17" s="20"/>
    </row>
    <row r="18" spans="1:13" ht="15.75">
      <c r="B18">
        <v>353</v>
      </c>
      <c r="C18">
        <v>368</v>
      </c>
      <c r="D18" s="8">
        <f t="shared" si="0"/>
        <v>360.5</v>
      </c>
      <c r="E18" s="8">
        <f t="shared" si="1"/>
        <v>171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110.88145896656535</v>
      </c>
      <c r="K18" s="20"/>
      <c r="L18" s="5">
        <v>339</v>
      </c>
    </row>
    <row r="19" spans="1:13" ht="15.75">
      <c r="B19">
        <v>302</v>
      </c>
      <c r="C19">
        <v>372</v>
      </c>
      <c r="D19" s="8">
        <f t="shared" si="0"/>
        <v>337</v>
      </c>
      <c r="E19" s="8"/>
      <c r="F19" s="11"/>
      <c r="G19" s="8"/>
      <c r="H19" s="8"/>
      <c r="L19" s="5">
        <v>302</v>
      </c>
    </row>
    <row r="20" spans="1:13" ht="15.75">
      <c r="B20"/>
      <c r="C20"/>
      <c r="L20" s="5">
        <v>372</v>
      </c>
    </row>
    <row r="21" spans="1:13" ht="15.75">
      <c r="B21"/>
      <c r="C21"/>
      <c r="D21" s="8"/>
      <c r="E21" s="8"/>
      <c r="H21" s="8"/>
      <c r="L21" s="5">
        <v>363</v>
      </c>
    </row>
    <row r="22" spans="1:13" ht="15.75">
      <c r="A22" s="10"/>
      <c r="B22"/>
      <c r="C22"/>
      <c r="D22" s="8"/>
      <c r="E22" s="8"/>
      <c r="H22" s="8"/>
      <c r="L22" s="5">
        <v>369</v>
      </c>
    </row>
    <row r="23" spans="1:13" ht="15.75">
      <c r="A23"/>
      <c r="B23"/>
      <c r="C23"/>
      <c r="D23" s="8"/>
      <c r="E23" s="8"/>
      <c r="F23" s="11"/>
      <c r="G23" s="8"/>
      <c r="H23" s="8"/>
      <c r="L23" s="5">
        <v>388</v>
      </c>
    </row>
    <row r="24" spans="1:13" ht="15.75">
      <c r="B24"/>
      <c r="C24"/>
      <c r="D24" s="8"/>
      <c r="E24" s="8"/>
      <c r="F24" s="11"/>
      <c r="G24" s="8"/>
      <c r="H24" s="8"/>
      <c r="L24" s="5">
        <v>404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F21A-27D6-4E79-9108-5B65CD64695D}">
  <dimension ref="A1:P214"/>
  <sheetViews>
    <sheetView workbookViewId="0">
      <selection sqref="A1:XFD1048576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698</v>
      </c>
      <c r="B8">
        <v>305</v>
      </c>
      <c r="C8">
        <v>335</v>
      </c>
      <c r="D8" s="8">
        <f t="shared" ref="D8:D19" si="0">AVERAGE(B8:C8)</f>
        <v>320</v>
      </c>
      <c r="E8" s="8">
        <f>AVERAGE(J11,D19)-$D$9</f>
        <v>200.71875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4" t="s">
        <v>651</v>
      </c>
      <c r="B9">
        <v>201</v>
      </c>
      <c r="C9">
        <v>135</v>
      </c>
      <c r="D9" s="8">
        <f>AVERAGE(B10:C10)</f>
        <v>157.5</v>
      </c>
      <c r="E9" s="8">
        <f>D9-$D$9</f>
        <v>0</v>
      </c>
      <c r="H9" s="8"/>
      <c r="J9" s="18" t="s">
        <v>417</v>
      </c>
      <c r="L9" s="5">
        <v>343</v>
      </c>
      <c r="M9" s="5">
        <v>148</v>
      </c>
      <c r="P9" s="5" t="s">
        <v>671</v>
      </c>
    </row>
    <row r="10" spans="1:16" ht="15.75">
      <c r="A10" t="s">
        <v>653</v>
      </c>
      <c r="B10">
        <v>156</v>
      </c>
      <c r="C10">
        <v>159</v>
      </c>
      <c r="D10" s="8">
        <f t="shared" si="0"/>
        <v>157.5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108</v>
      </c>
      <c r="P10" s="7" t="s">
        <v>672</v>
      </c>
    </row>
    <row r="11" spans="1:16" ht="15.75">
      <c r="B11">
        <v>188</v>
      </c>
      <c r="C11">
        <v>205</v>
      </c>
      <c r="D11" s="8">
        <f t="shared" si="0"/>
        <v>196.5</v>
      </c>
      <c r="E11" s="8">
        <f t="shared" si="1"/>
        <v>39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19.430172816440916</v>
      </c>
      <c r="J11" s="19">
        <f>AVERAGE(L9:L24)</f>
        <v>350.4375</v>
      </c>
      <c r="L11" s="5">
        <v>322</v>
      </c>
      <c r="M11" s="5">
        <v>183</v>
      </c>
      <c r="P11" s="5" t="s">
        <v>681</v>
      </c>
    </row>
    <row r="12" spans="1:16" ht="15.75">
      <c r="B12">
        <v>316</v>
      </c>
      <c r="C12">
        <v>289</v>
      </c>
      <c r="D12" s="8">
        <f t="shared" si="0"/>
        <v>302.5</v>
      </c>
      <c r="E12" s="8">
        <f t="shared" si="1"/>
        <v>145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72.24038611240853</v>
      </c>
      <c r="J12" s="19" t="s">
        <v>669</v>
      </c>
      <c r="L12" s="5">
        <v>449</v>
      </c>
      <c r="M12" s="5">
        <v>147</v>
      </c>
      <c r="P12" s="5" t="s">
        <v>674</v>
      </c>
    </row>
    <row r="13" spans="1:16" ht="15.75">
      <c r="A13"/>
      <c r="B13">
        <v>384</v>
      </c>
      <c r="C13">
        <v>308</v>
      </c>
      <c r="D13" s="8">
        <f t="shared" si="0"/>
        <v>346</v>
      </c>
      <c r="E13" s="8">
        <f t="shared" si="1"/>
        <v>188.5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93.912501946131087</v>
      </c>
      <c r="J13" s="19">
        <f>J11-J15</f>
        <v>191.1875</v>
      </c>
      <c r="L13" s="5">
        <v>305</v>
      </c>
      <c r="M13" s="5">
        <v>201</v>
      </c>
    </row>
    <row r="14" spans="1:16" ht="15.75">
      <c r="B14">
        <v>383</v>
      </c>
      <c r="C14">
        <v>390</v>
      </c>
      <c r="D14" s="8">
        <f t="shared" si="0"/>
        <v>386.5</v>
      </c>
      <c r="E14" s="8">
        <f t="shared" si="1"/>
        <v>229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114.08998910166589</v>
      </c>
      <c r="J14" s="19" t="s">
        <v>442</v>
      </c>
      <c r="L14" s="5">
        <v>335</v>
      </c>
      <c r="M14" s="5">
        <v>135</v>
      </c>
    </row>
    <row r="15" spans="1:16" ht="15.75">
      <c r="B15">
        <v>373</v>
      </c>
      <c r="C15">
        <v>410</v>
      </c>
      <c r="D15" s="8">
        <f t="shared" si="0"/>
        <v>391.5</v>
      </c>
      <c r="E15" s="8">
        <f t="shared" si="1"/>
        <v>234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116.58103689864549</v>
      </c>
      <c r="J15" s="19">
        <f>AVERAGE(M9:M16)</f>
        <v>159.25</v>
      </c>
      <c r="L15" s="5">
        <v>387</v>
      </c>
      <c r="M15" s="5">
        <v>144</v>
      </c>
    </row>
    <row r="16" spans="1:16" ht="15.75">
      <c r="B16">
        <v>725</v>
      </c>
      <c r="C16">
        <v>416</v>
      </c>
      <c r="D16" s="8">
        <f t="shared" si="0"/>
        <v>570.5</v>
      </c>
      <c r="E16" s="8">
        <f t="shared" si="1"/>
        <v>413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205.76054803051534</v>
      </c>
      <c r="L16" s="5">
        <v>281</v>
      </c>
      <c r="M16" s="5">
        <v>208</v>
      </c>
    </row>
    <row r="17" spans="1:13" ht="15.75">
      <c r="B17">
        <v>327</v>
      </c>
      <c r="C17">
        <v>366</v>
      </c>
      <c r="D17" s="8">
        <f t="shared" si="0"/>
        <v>346.5</v>
      </c>
      <c r="E17" s="8">
        <f t="shared" si="1"/>
        <v>189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94.161606725829046</v>
      </c>
      <c r="K17" s="20"/>
      <c r="L17" s="5">
        <v>304</v>
      </c>
      <c r="M17" s="20"/>
    </row>
    <row r="18" spans="1:13" ht="15.75">
      <c r="B18">
        <v>371</v>
      </c>
      <c r="C18">
        <v>380</v>
      </c>
      <c r="D18" s="8">
        <f t="shared" si="0"/>
        <v>375.5</v>
      </c>
      <c r="E18" s="8">
        <f t="shared" si="1"/>
        <v>218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108.60968394831076</v>
      </c>
      <c r="K18" s="20"/>
      <c r="L18" s="5">
        <v>339</v>
      </c>
    </row>
    <row r="19" spans="1:13" ht="15.75">
      <c r="B19">
        <v>363</v>
      </c>
      <c r="C19">
        <v>369</v>
      </c>
      <c r="D19" s="8">
        <f t="shared" si="0"/>
        <v>366</v>
      </c>
      <c r="E19" s="8"/>
      <c r="F19" s="11"/>
      <c r="G19" s="8"/>
      <c r="H19" s="8"/>
      <c r="L19" s="5">
        <v>302</v>
      </c>
    </row>
    <row r="20" spans="1:13" ht="15.75">
      <c r="B20"/>
      <c r="C20"/>
      <c r="L20" s="5">
        <v>372</v>
      </c>
    </row>
    <row r="21" spans="1:13" ht="15.75">
      <c r="B21"/>
      <c r="C21"/>
      <c r="D21" s="8"/>
      <c r="E21" s="8"/>
      <c r="H21" s="8"/>
      <c r="L21" s="5">
        <v>363</v>
      </c>
    </row>
    <row r="22" spans="1:13" ht="15.75">
      <c r="A22" s="10"/>
      <c r="B22"/>
      <c r="C22"/>
      <c r="D22" s="8"/>
      <c r="E22" s="8"/>
      <c r="H22" s="8"/>
      <c r="L22" s="5">
        <v>369</v>
      </c>
    </row>
    <row r="23" spans="1:13" ht="15.75">
      <c r="A23"/>
      <c r="B23"/>
      <c r="C23"/>
      <c r="D23" s="8"/>
      <c r="E23" s="8"/>
      <c r="F23" s="11"/>
      <c r="G23" s="8"/>
      <c r="H23" s="8"/>
      <c r="L23" s="5">
        <v>388</v>
      </c>
    </row>
    <row r="24" spans="1:13" ht="15.75">
      <c r="B24"/>
      <c r="C24"/>
      <c r="D24" s="8"/>
      <c r="E24" s="8"/>
      <c r="F24" s="11"/>
      <c r="G24" s="8"/>
      <c r="H24" s="8"/>
      <c r="L24" s="5">
        <v>404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CBB4-1DA1-48E2-81A6-ED8D9C9E2826}">
  <dimension ref="A1:P214"/>
  <sheetViews>
    <sheetView workbookViewId="0">
      <selection activeCell="O25" sqref="O25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 s="4">
        <v>4686</v>
      </c>
      <c r="L1" s="4">
        <v>4674</v>
      </c>
      <c r="M1"/>
      <c r="P1" s="5" t="s">
        <v>687</v>
      </c>
    </row>
    <row r="2" spans="1:16" ht="15.75">
      <c r="A2" s="5" t="s">
        <v>673</v>
      </c>
      <c r="E2" s="5">
        <f>E1*2200*0.53</f>
        <v>124179</v>
      </c>
      <c r="F2" s="5" t="s">
        <v>3</v>
      </c>
      <c r="H2"/>
      <c r="K2" s="4">
        <v>4677</v>
      </c>
      <c r="L2" s="4">
        <v>5084</v>
      </c>
      <c r="M2"/>
      <c r="P2" s="5" t="s">
        <v>682</v>
      </c>
    </row>
    <row r="3" spans="1:16" ht="15.75">
      <c r="A3" s="5" t="s">
        <v>4</v>
      </c>
      <c r="B3" s="7"/>
      <c r="E3" s="5">
        <v>0.5</v>
      </c>
      <c r="F3" s="5" t="s">
        <v>5</v>
      </c>
      <c r="H3"/>
      <c r="K3" s="4">
        <v>5242</v>
      </c>
      <c r="L3" s="4">
        <v>4851</v>
      </c>
      <c r="M3"/>
      <c r="P3" s="5" t="s">
        <v>683</v>
      </c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 s="4">
        <v>4932</v>
      </c>
      <c r="L4" s="4">
        <v>5120</v>
      </c>
      <c r="M4"/>
      <c r="P4" s="5" t="s">
        <v>684</v>
      </c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 s="4"/>
      <c r="L5" s="1"/>
      <c r="M5"/>
      <c r="P5" s="5" t="s">
        <v>685</v>
      </c>
    </row>
    <row r="6" spans="1:16" ht="15.75">
      <c r="A6" s="5" t="s">
        <v>665</v>
      </c>
      <c r="E6" s="9"/>
      <c r="H6"/>
      <c r="K6" s="4"/>
      <c r="L6" s="1"/>
      <c r="P6" s="5" t="s">
        <v>686</v>
      </c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 t="s">
        <v>670</v>
      </c>
    </row>
    <row r="8" spans="1:16" ht="15.75">
      <c r="A8" s="7" t="s">
        <v>699</v>
      </c>
      <c r="B8">
        <v>387</v>
      </c>
      <c r="C8">
        <v>281</v>
      </c>
      <c r="D8" s="8">
        <f t="shared" ref="D8:D19" si="0">AVERAGE(B8:C8)</f>
        <v>334</v>
      </c>
      <c r="E8" s="8">
        <f>AVERAGE(J11,D19)-$D$9</f>
        <v>207.71875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4" t="s">
        <v>654</v>
      </c>
      <c r="B9">
        <v>144</v>
      </c>
      <c r="C9">
        <v>208</v>
      </c>
      <c r="D9" s="8">
        <f>AVERAGE(B10:C10)</f>
        <v>165.5</v>
      </c>
      <c r="E9" s="8">
        <f>D9-$D$9</f>
        <v>0</v>
      </c>
      <c r="H9" s="8"/>
      <c r="J9" s="18" t="s">
        <v>417</v>
      </c>
      <c r="L9" s="5">
        <v>343</v>
      </c>
      <c r="M9" s="5">
        <v>148</v>
      </c>
      <c r="P9" s="5" t="s">
        <v>671</v>
      </c>
    </row>
    <row r="10" spans="1:16" ht="15.75">
      <c r="A10" s="5" t="s">
        <v>435</v>
      </c>
      <c r="B10">
        <v>165</v>
      </c>
      <c r="C10">
        <v>166</v>
      </c>
      <c r="D10" s="8">
        <f t="shared" si="0"/>
        <v>165.5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108</v>
      </c>
      <c r="P10" s="7" t="s">
        <v>672</v>
      </c>
    </row>
    <row r="11" spans="1:16" ht="15.75">
      <c r="A11"/>
      <c r="B11">
        <v>204</v>
      </c>
      <c r="C11">
        <v>264</v>
      </c>
      <c r="D11" s="8">
        <f t="shared" si="0"/>
        <v>234</v>
      </c>
      <c r="E11" s="8">
        <f t="shared" si="1"/>
        <v>68.5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32.977282984805179</v>
      </c>
      <c r="J11" s="19">
        <f>AVERAGE(L9:L24)</f>
        <v>350.4375</v>
      </c>
      <c r="L11" s="5">
        <v>322</v>
      </c>
      <c r="M11" s="5">
        <v>183</v>
      </c>
      <c r="P11" s="5" t="s">
        <v>681</v>
      </c>
    </row>
    <row r="12" spans="1:16" ht="15.75">
      <c r="B12">
        <v>288</v>
      </c>
      <c r="C12">
        <v>299</v>
      </c>
      <c r="D12" s="8">
        <f t="shared" si="0"/>
        <v>293.5</v>
      </c>
      <c r="E12" s="8">
        <f t="shared" si="1"/>
        <v>128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61.621784263577553</v>
      </c>
      <c r="J12" s="19" t="s">
        <v>669</v>
      </c>
      <c r="L12" s="5">
        <v>449</v>
      </c>
      <c r="M12" s="5">
        <v>147</v>
      </c>
      <c r="P12" s="5" t="s">
        <v>674</v>
      </c>
    </row>
    <row r="13" spans="1:16" ht="15.75">
      <c r="B13">
        <v>366</v>
      </c>
      <c r="C13">
        <v>467</v>
      </c>
      <c r="D13" s="8">
        <f t="shared" si="0"/>
        <v>416.5</v>
      </c>
      <c r="E13" s="8">
        <f t="shared" si="1"/>
        <v>251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120.83646757935911</v>
      </c>
      <c r="J13" s="19">
        <f>J11-J15</f>
        <v>191.1875</v>
      </c>
      <c r="L13" s="5">
        <v>305</v>
      </c>
      <c r="M13" s="5">
        <v>201</v>
      </c>
    </row>
    <row r="14" spans="1:16" ht="15.75">
      <c r="A14"/>
      <c r="B14">
        <v>369</v>
      </c>
      <c r="C14">
        <v>413</v>
      </c>
      <c r="D14" s="8">
        <f t="shared" si="0"/>
        <v>391</v>
      </c>
      <c r="E14" s="8">
        <f t="shared" si="1"/>
        <v>225.5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108.56025274559951</v>
      </c>
      <c r="J14" s="19" t="s">
        <v>442</v>
      </c>
      <c r="L14" s="5">
        <v>335</v>
      </c>
      <c r="M14" s="5">
        <v>135</v>
      </c>
    </row>
    <row r="15" spans="1:16" ht="15.75">
      <c r="A15"/>
      <c r="B15">
        <v>445</v>
      </c>
      <c r="C15">
        <v>548</v>
      </c>
      <c r="D15" s="8">
        <f t="shared" si="0"/>
        <v>496.5</v>
      </c>
      <c r="E15" s="8">
        <f t="shared" si="1"/>
        <v>331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159.35008274409509</v>
      </c>
      <c r="J15" s="19">
        <f>AVERAGE(M9:M16)</f>
        <v>159.25</v>
      </c>
      <c r="L15" s="5">
        <v>387</v>
      </c>
      <c r="M15" s="5">
        <v>144</v>
      </c>
    </row>
    <row r="16" spans="1:16" ht="15.75">
      <c r="B16">
        <v>385</v>
      </c>
      <c r="C16">
        <v>493</v>
      </c>
      <c r="D16" s="8">
        <f t="shared" si="0"/>
        <v>439</v>
      </c>
      <c r="E16" s="8">
        <f t="shared" si="1"/>
        <v>273.5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131.6684218444411</v>
      </c>
      <c r="L16" s="5">
        <v>281</v>
      </c>
      <c r="M16" s="5">
        <v>208</v>
      </c>
    </row>
    <row r="17" spans="1:13" ht="15.75">
      <c r="B17">
        <v>363</v>
      </c>
      <c r="C17">
        <v>474</v>
      </c>
      <c r="D17" s="8">
        <f t="shared" si="0"/>
        <v>418.5</v>
      </c>
      <c r="E17" s="8">
        <f t="shared" si="1"/>
        <v>253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121.79930795847751</v>
      </c>
      <c r="K17" s="20"/>
      <c r="L17" s="5">
        <v>304</v>
      </c>
      <c r="M17" s="20"/>
    </row>
    <row r="18" spans="1:13" ht="15.75">
      <c r="B18">
        <v>327</v>
      </c>
      <c r="C18">
        <v>377</v>
      </c>
      <c r="D18" s="8">
        <f t="shared" si="0"/>
        <v>352</v>
      </c>
      <c r="E18" s="8">
        <f t="shared" si="1"/>
        <v>186.5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89.784865352790732</v>
      </c>
      <c r="K18" s="20"/>
      <c r="L18" s="5">
        <v>339</v>
      </c>
    </row>
    <row r="19" spans="1:13" ht="15.75">
      <c r="A19"/>
      <c r="B19">
        <v>388</v>
      </c>
      <c r="C19">
        <v>404</v>
      </c>
      <c r="D19" s="8">
        <f t="shared" si="0"/>
        <v>396</v>
      </c>
      <c r="E19" s="8"/>
      <c r="F19" s="11"/>
      <c r="G19" s="8"/>
      <c r="H19" s="8"/>
      <c r="L19" s="5">
        <v>302</v>
      </c>
    </row>
    <row r="20" spans="1:13" ht="15.75">
      <c r="B20"/>
      <c r="C20"/>
      <c r="L20" s="5">
        <v>372</v>
      </c>
    </row>
    <row r="21" spans="1:13" ht="15.75">
      <c r="B21"/>
      <c r="C21"/>
      <c r="D21" s="8"/>
      <c r="E21" s="8"/>
      <c r="H21" s="8"/>
      <c r="L21" s="5">
        <v>363</v>
      </c>
    </row>
    <row r="22" spans="1:13" ht="15.75">
      <c r="A22" s="10"/>
      <c r="B22"/>
      <c r="C22"/>
      <c r="D22" s="8"/>
      <c r="E22" s="8"/>
      <c r="H22" s="8"/>
      <c r="L22" s="5">
        <v>369</v>
      </c>
    </row>
    <row r="23" spans="1:13" ht="15.75">
      <c r="A23"/>
      <c r="B23"/>
      <c r="C23"/>
      <c r="D23" s="8"/>
      <c r="E23" s="8"/>
      <c r="F23" s="11"/>
      <c r="G23" s="8"/>
      <c r="H23" s="8"/>
      <c r="L23" s="5">
        <v>388</v>
      </c>
    </row>
    <row r="24" spans="1:13" ht="15.75">
      <c r="B24"/>
      <c r="C24"/>
      <c r="D24" s="8"/>
      <c r="E24" s="8"/>
      <c r="F24" s="11"/>
      <c r="G24" s="8"/>
      <c r="H24" s="8"/>
      <c r="L24" s="5">
        <v>404</v>
      </c>
    </row>
    <row r="25" spans="1:13" ht="15.75">
      <c r="A25"/>
      <c r="B25"/>
      <c r="C25"/>
      <c r="D25" s="8"/>
      <c r="E25" s="8"/>
      <c r="F25" s="11"/>
      <c r="G25" s="8"/>
      <c r="H25" s="8"/>
    </row>
    <row r="26" spans="1:13" ht="15.75">
      <c r="A26"/>
      <c r="B26"/>
      <c r="C26"/>
      <c r="D26" s="8"/>
      <c r="E26" s="8"/>
      <c r="F26" s="11"/>
      <c r="G26" s="8"/>
      <c r="H26" s="8"/>
    </row>
    <row r="27" spans="1:13" ht="15.75">
      <c r="A27"/>
      <c r="B27"/>
      <c r="C27"/>
      <c r="D27" s="8"/>
      <c r="E27" s="8"/>
      <c r="F27" s="11"/>
      <c r="G27" s="8"/>
      <c r="H27" s="8"/>
    </row>
    <row r="28" spans="1:13" ht="15.75">
      <c r="B28"/>
      <c r="C28"/>
      <c r="D28" s="8"/>
      <c r="E28" s="8"/>
      <c r="F28" s="11"/>
      <c r="G28" s="8"/>
      <c r="H28" s="8"/>
    </row>
    <row r="29" spans="1:13" ht="15.75">
      <c r="A29"/>
      <c r="B29"/>
      <c r="C29"/>
      <c r="D29" s="8"/>
      <c r="E29" s="8"/>
      <c r="F29" s="11"/>
      <c r="G29" s="8"/>
      <c r="H29" s="8"/>
    </row>
    <row r="30" spans="1:13" ht="15.75">
      <c r="B30"/>
      <c r="C30"/>
      <c r="D30" s="8"/>
      <c r="E30" s="8"/>
      <c r="F30" s="11"/>
      <c r="G30" s="8"/>
      <c r="H30" s="8"/>
    </row>
    <row r="31" spans="1:13" ht="15.75">
      <c r="A31"/>
      <c r="B31"/>
      <c r="C31"/>
      <c r="D31" s="8"/>
      <c r="E31" s="8"/>
      <c r="F31" s="11"/>
      <c r="G31" s="8"/>
      <c r="H31" s="8"/>
    </row>
    <row r="32" spans="1:13" ht="15.75">
      <c r="B32"/>
      <c r="C32"/>
      <c r="D32" s="8"/>
      <c r="E32" s="8"/>
      <c r="F32" s="11"/>
      <c r="G32" s="8"/>
      <c r="H32" s="8"/>
    </row>
    <row r="33" spans="1:8" ht="15.75">
      <c r="B33"/>
      <c r="C33"/>
    </row>
    <row r="34" spans="1:8" ht="15.75">
      <c r="B34"/>
      <c r="C34"/>
      <c r="D34" s="8"/>
      <c r="E34" s="8"/>
      <c r="H34" s="8"/>
    </row>
    <row r="35" spans="1:8" ht="15.75">
      <c r="B35"/>
      <c r="C35"/>
      <c r="D35" s="8"/>
      <c r="E35" s="8"/>
      <c r="H35" s="8"/>
    </row>
    <row r="36" spans="1:8" ht="15.75">
      <c r="A36"/>
      <c r="B36"/>
      <c r="C36"/>
      <c r="D36" s="8"/>
      <c r="E36" s="8"/>
      <c r="F36" s="11"/>
      <c r="G36" s="8"/>
      <c r="H36" s="8"/>
    </row>
    <row r="37" spans="1:8" ht="15.75">
      <c r="B37"/>
      <c r="C37"/>
      <c r="D37" s="8"/>
      <c r="E37" s="8"/>
      <c r="F37" s="11"/>
      <c r="G37" s="8"/>
      <c r="H37" s="8"/>
    </row>
    <row r="38" spans="1:8" ht="15.75">
      <c r="B38"/>
      <c r="C38"/>
      <c r="D38" s="8"/>
      <c r="E38" s="8"/>
      <c r="F38" s="11"/>
      <c r="G38" s="8"/>
      <c r="H38" s="8"/>
    </row>
    <row r="39" spans="1:8" ht="15.75">
      <c r="A39"/>
      <c r="B39"/>
      <c r="C39"/>
      <c r="D39" s="8"/>
      <c r="E39" s="8"/>
      <c r="F39" s="11"/>
      <c r="G39" s="8"/>
      <c r="H39" s="8"/>
    </row>
    <row r="40" spans="1:8" ht="15.75">
      <c r="B40"/>
      <c r="C40"/>
      <c r="D40" s="8"/>
      <c r="E40" s="8"/>
      <c r="F40" s="11"/>
      <c r="G40" s="8"/>
      <c r="H40" s="8"/>
    </row>
    <row r="41" spans="1:8" ht="15.75">
      <c r="B41"/>
      <c r="C41"/>
      <c r="D41" s="8"/>
      <c r="E41" s="8"/>
      <c r="F41" s="11"/>
      <c r="G41" s="8"/>
      <c r="H41" s="8"/>
    </row>
    <row r="42" spans="1:8" ht="15.75">
      <c r="B42"/>
      <c r="C42"/>
      <c r="D42" s="8"/>
      <c r="E42" s="8"/>
      <c r="F42" s="11"/>
      <c r="G42" s="8"/>
      <c r="H42" s="8"/>
    </row>
    <row r="43" spans="1:8" ht="15.75">
      <c r="B43"/>
      <c r="C43"/>
      <c r="D43" s="8"/>
      <c r="E43" s="8"/>
      <c r="F43" s="11"/>
      <c r="G43" s="8"/>
      <c r="H43" s="8"/>
    </row>
    <row r="44" spans="1:8" ht="15.75">
      <c r="B44"/>
      <c r="C44"/>
      <c r="D44" s="8"/>
      <c r="E44" s="8"/>
      <c r="F44" s="11"/>
      <c r="G44" s="8"/>
      <c r="H44" s="12"/>
    </row>
    <row r="45" spans="1:8" ht="15.75">
      <c r="B45"/>
      <c r="C45"/>
      <c r="D45" s="8"/>
      <c r="E45" s="8"/>
      <c r="F45" s="11"/>
      <c r="G45" s="8"/>
      <c r="H45" s="8"/>
    </row>
    <row r="46" spans="1:8" ht="15.75">
      <c r="B46"/>
      <c r="C46"/>
    </row>
    <row r="47" spans="1:8" ht="15.75">
      <c r="B47"/>
      <c r="C47"/>
      <c r="D47" s="8"/>
      <c r="E47" s="8"/>
      <c r="H47" s="8"/>
    </row>
    <row r="48" spans="1:8" ht="15.75">
      <c r="A48" s="10"/>
      <c r="B48"/>
      <c r="C48"/>
      <c r="D48" s="8"/>
      <c r="E48" s="8"/>
      <c r="H48" s="8"/>
    </row>
    <row r="49" spans="1:8" ht="15.75">
      <c r="B49"/>
      <c r="C49"/>
      <c r="D49" s="8"/>
      <c r="E49" s="8"/>
      <c r="F49" s="11"/>
      <c r="G49" s="8"/>
      <c r="H49" s="8"/>
    </row>
    <row r="50" spans="1:8" ht="15.75">
      <c r="A50" s="13"/>
      <c r="B50"/>
      <c r="C50"/>
      <c r="D50" s="8"/>
      <c r="E50" s="8"/>
      <c r="F50" s="11"/>
      <c r="G50" s="8"/>
      <c r="H50" s="8"/>
    </row>
    <row r="51" spans="1:8" ht="15.75">
      <c r="B51"/>
      <c r="C51"/>
      <c r="D51" s="8"/>
      <c r="E51" s="8"/>
      <c r="F51" s="11"/>
      <c r="G51" s="8"/>
      <c r="H51" s="8"/>
    </row>
    <row r="52" spans="1:8" ht="15.75">
      <c r="B52"/>
      <c r="C52"/>
      <c r="D52" s="8"/>
      <c r="E52" s="8"/>
      <c r="F52" s="11"/>
      <c r="G52" s="8"/>
      <c r="H52" s="8"/>
    </row>
    <row r="53" spans="1:8" ht="15.75">
      <c r="A53"/>
      <c r="B53"/>
      <c r="C53"/>
      <c r="D53" s="8"/>
      <c r="E53" s="8"/>
      <c r="F53" s="11"/>
      <c r="G53" s="8"/>
      <c r="H53" s="8"/>
    </row>
    <row r="54" spans="1:8" ht="15.75">
      <c r="B54"/>
      <c r="C54"/>
      <c r="D54" s="8"/>
      <c r="E54" s="8"/>
      <c r="F54" s="11"/>
      <c r="G54" s="8"/>
      <c r="H54" s="8"/>
    </row>
    <row r="55" spans="1:8" ht="15.75">
      <c r="B55"/>
      <c r="C55"/>
      <c r="D55" s="8"/>
      <c r="E55" s="8"/>
      <c r="F55" s="11"/>
      <c r="G55" s="8"/>
      <c r="H55" s="8"/>
    </row>
    <row r="56" spans="1:8" ht="15.75">
      <c r="B56"/>
      <c r="C56"/>
      <c r="D56" s="8"/>
      <c r="E56" s="8"/>
      <c r="F56" s="11"/>
      <c r="G56" s="8"/>
      <c r="H56" s="8"/>
    </row>
    <row r="57" spans="1:8" ht="15.75">
      <c r="B57"/>
      <c r="C57"/>
      <c r="D57" s="8"/>
      <c r="E57" s="8"/>
      <c r="F57" s="11"/>
      <c r="G57" s="8"/>
      <c r="H57" s="8"/>
    </row>
    <row r="58" spans="1:8" ht="15.75">
      <c r="A58"/>
      <c r="B58"/>
      <c r="C58"/>
      <c r="D58" s="8"/>
      <c r="E58" s="8"/>
      <c r="F58" s="11"/>
      <c r="G58" s="8"/>
      <c r="H58" s="8"/>
    </row>
    <row r="59" spans="1:8" ht="15.75">
      <c r="B59"/>
      <c r="C59"/>
    </row>
    <row r="60" spans="1:8" ht="15.75">
      <c r="B60"/>
      <c r="C60"/>
      <c r="D60" s="8"/>
      <c r="E60" s="8"/>
      <c r="H60" s="8"/>
    </row>
    <row r="61" spans="1:8" ht="15.75">
      <c r="A61" s="14"/>
      <c r="B61"/>
      <c r="C61"/>
      <c r="D61" s="8"/>
      <c r="E61" s="8"/>
      <c r="H61" s="8"/>
    </row>
    <row r="62" spans="1:8" ht="15.75">
      <c r="B62"/>
      <c r="C62"/>
      <c r="D62" s="8"/>
      <c r="E62" s="8"/>
      <c r="F62" s="11"/>
      <c r="G62" s="8"/>
      <c r="H62" s="8"/>
    </row>
    <row r="63" spans="1:8" ht="15.75">
      <c r="B63"/>
      <c r="C63"/>
      <c r="D63" s="8"/>
      <c r="E63" s="8"/>
      <c r="F63" s="11"/>
      <c r="G63" s="8"/>
      <c r="H63" s="8"/>
    </row>
    <row r="64" spans="1:8" ht="15.75">
      <c r="B64"/>
      <c r="C64"/>
      <c r="D64" s="8"/>
      <c r="E64" s="8"/>
      <c r="F64" s="11"/>
      <c r="G64" s="8"/>
      <c r="H64" s="8"/>
    </row>
    <row r="65" spans="1:8" ht="15.75">
      <c r="B65"/>
      <c r="C65"/>
      <c r="D65" s="8"/>
      <c r="E65" s="8"/>
      <c r="F65" s="11"/>
      <c r="G65" s="8"/>
      <c r="H65" s="8"/>
    </row>
    <row r="66" spans="1:8" ht="15.75">
      <c r="B66"/>
      <c r="C66"/>
      <c r="D66" s="8"/>
      <c r="E66" s="8"/>
      <c r="F66" s="11"/>
      <c r="G66" s="8"/>
      <c r="H66" s="8"/>
    </row>
    <row r="67" spans="1:8" ht="15.75">
      <c r="B67"/>
      <c r="C67"/>
      <c r="D67" s="8"/>
      <c r="E67" s="8"/>
      <c r="F67" s="11"/>
      <c r="G67" s="8"/>
      <c r="H67" s="8"/>
    </row>
    <row r="68" spans="1:8" ht="15.75">
      <c r="B68"/>
      <c r="C68"/>
      <c r="D68" s="8"/>
      <c r="E68" s="8"/>
      <c r="F68" s="11"/>
      <c r="G68" s="8"/>
      <c r="H68" s="8"/>
    </row>
    <row r="69" spans="1:8" ht="15.75">
      <c r="B69"/>
      <c r="C69"/>
      <c r="D69" s="8"/>
      <c r="E69" s="8"/>
      <c r="F69" s="11"/>
      <c r="G69" s="8"/>
      <c r="H69" s="8"/>
    </row>
    <row r="70" spans="1:8" ht="15.75">
      <c r="B70"/>
      <c r="C70"/>
      <c r="D70" s="8"/>
      <c r="E70" s="8"/>
      <c r="F70" s="11"/>
      <c r="G70" s="8"/>
      <c r="H70" s="8"/>
    </row>
    <row r="71" spans="1:8" ht="15.75">
      <c r="B71"/>
      <c r="C71"/>
      <c r="D71" s="8"/>
      <c r="E71" s="8"/>
      <c r="F71" s="11"/>
      <c r="G71" s="8"/>
      <c r="H71" s="8"/>
    </row>
    <row r="72" spans="1:8" ht="15.75">
      <c r="B72"/>
      <c r="C72"/>
    </row>
    <row r="73" spans="1:8" ht="15.75">
      <c r="B73"/>
      <c r="C73"/>
      <c r="D73" s="8"/>
      <c r="E73" s="8"/>
      <c r="H73" s="8"/>
    </row>
    <row r="74" spans="1:8" ht="15.75">
      <c r="A74" s="14"/>
      <c r="B74"/>
      <c r="C74"/>
      <c r="D74" s="8"/>
      <c r="E74" s="8"/>
      <c r="H74" s="8"/>
    </row>
    <row r="75" spans="1:8" ht="15.75">
      <c r="A75"/>
      <c r="B75"/>
      <c r="C75"/>
      <c r="D75" s="8"/>
      <c r="E75" s="8"/>
      <c r="F75" s="11"/>
      <c r="G75" s="8"/>
      <c r="H75" s="8"/>
    </row>
    <row r="76" spans="1:8" ht="15.75">
      <c r="B76"/>
      <c r="C76"/>
      <c r="D76" s="8"/>
      <c r="E76" s="8"/>
      <c r="F76" s="11"/>
      <c r="G76" s="8"/>
      <c r="H76" s="8"/>
    </row>
    <row r="77" spans="1:8" ht="15.75">
      <c r="A77"/>
      <c r="B77"/>
      <c r="C77"/>
      <c r="D77" s="8"/>
      <c r="E77" s="8"/>
      <c r="F77" s="11"/>
      <c r="G77" s="8"/>
      <c r="H77" s="8"/>
    </row>
    <row r="78" spans="1:8" ht="15.75">
      <c r="B78"/>
      <c r="C78"/>
      <c r="D78" s="8"/>
      <c r="E78" s="8"/>
      <c r="F78" s="11"/>
      <c r="G78" s="8"/>
      <c r="H78" s="8"/>
    </row>
    <row r="79" spans="1:8" ht="15.75">
      <c r="B79"/>
      <c r="C79"/>
      <c r="D79" s="8"/>
      <c r="E79" s="8"/>
      <c r="F79" s="11"/>
      <c r="G79" s="8"/>
      <c r="H79" s="8"/>
    </row>
    <row r="80" spans="1:8" ht="15.75">
      <c r="B80"/>
      <c r="C80"/>
      <c r="D80" s="8"/>
      <c r="E80" s="8"/>
      <c r="F80" s="11"/>
      <c r="G80" s="8"/>
      <c r="H80" s="8"/>
    </row>
    <row r="81" spans="1:8" ht="15.75">
      <c r="B81"/>
      <c r="C81"/>
      <c r="D81" s="8"/>
      <c r="E81" s="8"/>
      <c r="F81" s="11"/>
      <c r="G81" s="8"/>
      <c r="H81" s="8"/>
    </row>
    <row r="82" spans="1:8" ht="15.75">
      <c r="B82"/>
      <c r="C82"/>
      <c r="D82" s="8"/>
      <c r="E82" s="8"/>
      <c r="F82" s="11"/>
      <c r="G82" s="8"/>
      <c r="H82" s="8"/>
    </row>
    <row r="83" spans="1:8" ht="15.75">
      <c r="B83"/>
      <c r="C83"/>
      <c r="D83" s="8"/>
      <c r="E83" s="8"/>
      <c r="F83" s="11"/>
      <c r="G83" s="8"/>
      <c r="H83" s="8"/>
    </row>
    <row r="84" spans="1:8" ht="15.75">
      <c r="B84"/>
      <c r="C84"/>
      <c r="D84" s="8"/>
      <c r="E84" s="8"/>
      <c r="F84" s="11"/>
      <c r="G84" s="8"/>
      <c r="H84" s="8"/>
    </row>
    <row r="85" spans="1:8" ht="15.75">
      <c r="B85"/>
      <c r="C85"/>
    </row>
    <row r="86" spans="1:8" ht="15.75">
      <c r="B86"/>
      <c r="C86"/>
      <c r="D86" s="8"/>
      <c r="E86" s="8"/>
      <c r="H86" s="8"/>
    </row>
    <row r="87" spans="1:8" ht="15.75">
      <c r="A87" s="14"/>
      <c r="B87"/>
      <c r="C87"/>
      <c r="D87" s="8"/>
      <c r="E87" s="8"/>
      <c r="H87" s="8"/>
    </row>
    <row r="88" spans="1:8" ht="15.75">
      <c r="A88"/>
      <c r="B88"/>
      <c r="C88"/>
      <c r="D88" s="8"/>
      <c r="E88" s="8"/>
      <c r="F88" s="11"/>
      <c r="G88" s="8"/>
      <c r="H88" s="8"/>
    </row>
    <row r="89" spans="1:8" ht="15.75">
      <c r="B89"/>
      <c r="C89"/>
      <c r="D89" s="8"/>
      <c r="E89" s="8"/>
      <c r="F89" s="11"/>
      <c r="G89" s="8"/>
      <c r="H89" s="8"/>
    </row>
    <row r="90" spans="1:8" ht="15.75">
      <c r="B90"/>
      <c r="C90"/>
      <c r="D90" s="8"/>
      <c r="E90" s="8"/>
      <c r="F90" s="11"/>
      <c r="G90" s="8"/>
      <c r="H90" s="8"/>
    </row>
    <row r="91" spans="1:8" ht="15.75">
      <c r="A91"/>
      <c r="B91"/>
      <c r="C91"/>
      <c r="D91" s="8"/>
      <c r="E91" s="8"/>
      <c r="F91" s="11"/>
      <c r="G91" s="8"/>
      <c r="H91" s="8"/>
    </row>
    <row r="92" spans="1:8" ht="15.75">
      <c r="B92"/>
      <c r="C92"/>
      <c r="D92" s="8"/>
      <c r="E92" s="8"/>
      <c r="F92" s="11"/>
      <c r="G92" s="8"/>
      <c r="H92" s="8"/>
    </row>
    <row r="93" spans="1:8" ht="15.75">
      <c r="B93"/>
      <c r="C93"/>
      <c r="D93" s="8"/>
      <c r="E93" s="8"/>
      <c r="F93" s="11"/>
      <c r="G93" s="8"/>
      <c r="H93" s="8"/>
    </row>
    <row r="94" spans="1:8" ht="15.75">
      <c r="B94"/>
      <c r="C94"/>
      <c r="D94" s="8"/>
      <c r="E94" s="8"/>
      <c r="F94" s="11"/>
      <c r="G94" s="8"/>
      <c r="H94" s="8"/>
    </row>
    <row r="95" spans="1:8" ht="15.75">
      <c r="B95"/>
      <c r="C95"/>
      <c r="D95" s="8"/>
      <c r="E95" s="8"/>
      <c r="F95" s="11"/>
      <c r="G95" s="8"/>
      <c r="H95" s="8"/>
    </row>
    <row r="96" spans="1:8" ht="15.75">
      <c r="B96"/>
      <c r="C96"/>
      <c r="D96" s="8"/>
      <c r="E96" s="8"/>
      <c r="F96" s="11"/>
      <c r="G96" s="8"/>
      <c r="H96" s="8"/>
    </row>
    <row r="97" spans="1:8" ht="15.75">
      <c r="B97"/>
      <c r="C97"/>
      <c r="D97" s="8"/>
      <c r="E97" s="8"/>
      <c r="F97" s="11"/>
      <c r="G97" s="8"/>
      <c r="H97" s="8"/>
    </row>
    <row r="98" spans="1:8" ht="15.75">
      <c r="B98"/>
      <c r="C98"/>
    </row>
    <row r="99" spans="1:8" ht="15.75">
      <c r="B99"/>
      <c r="C99"/>
      <c r="D99" s="8"/>
      <c r="E99" s="8"/>
      <c r="H99" s="8"/>
    </row>
    <row r="100" spans="1:8" ht="15.75">
      <c r="A100" s="14"/>
      <c r="B100"/>
      <c r="C100"/>
      <c r="D100" s="8"/>
      <c r="E100" s="8"/>
      <c r="H100" s="8"/>
    </row>
    <row r="101" spans="1:8" ht="15.75">
      <c r="B101"/>
      <c r="C101"/>
      <c r="D101" s="8"/>
      <c r="E101" s="8"/>
      <c r="F101" s="11"/>
      <c r="G101" s="8"/>
      <c r="H101" s="8"/>
    </row>
    <row r="102" spans="1:8" ht="15.75">
      <c r="A102"/>
      <c r="B102"/>
      <c r="C102"/>
      <c r="D102" s="8"/>
      <c r="E102" s="8"/>
      <c r="F102" s="11"/>
      <c r="G102" s="8"/>
      <c r="H102" s="8"/>
    </row>
    <row r="103" spans="1:8" ht="15.75">
      <c r="B103"/>
      <c r="C103"/>
      <c r="D103" s="8"/>
      <c r="E103" s="8"/>
      <c r="F103" s="11"/>
      <c r="G103" s="8"/>
      <c r="H103" s="8"/>
    </row>
    <row r="104" spans="1:8" ht="15.75">
      <c r="B104"/>
      <c r="C104"/>
      <c r="D104" s="8"/>
      <c r="E104" s="8"/>
      <c r="F104" s="11"/>
      <c r="G104" s="8"/>
      <c r="H104" s="8"/>
    </row>
    <row r="105" spans="1:8" ht="15.75">
      <c r="A105"/>
      <c r="B105"/>
      <c r="C105"/>
      <c r="D105" s="8"/>
      <c r="E105" s="8"/>
      <c r="F105" s="11"/>
      <c r="G105" s="8"/>
      <c r="H105" s="8"/>
    </row>
    <row r="106" spans="1:8" ht="15.75">
      <c r="A106"/>
      <c r="B106"/>
      <c r="C106"/>
      <c r="D106" s="8"/>
      <c r="E106" s="8"/>
      <c r="F106" s="11"/>
      <c r="G106" s="8"/>
      <c r="H106" s="8"/>
    </row>
    <row r="107" spans="1:8" ht="15.75">
      <c r="B107"/>
      <c r="C107"/>
      <c r="D107" s="8"/>
      <c r="E107" s="8"/>
      <c r="F107" s="11"/>
      <c r="G107" s="8"/>
      <c r="H107" s="8"/>
    </row>
    <row r="108" spans="1:8" ht="15.75">
      <c r="B108"/>
      <c r="C108"/>
      <c r="D108" s="8"/>
      <c r="E108" s="8"/>
      <c r="F108" s="11"/>
      <c r="G108" s="8"/>
      <c r="H108" s="8"/>
    </row>
    <row r="109" spans="1:8" ht="15.75">
      <c r="B109"/>
      <c r="C109"/>
      <c r="D109" s="8"/>
      <c r="E109" s="8"/>
      <c r="F109" s="11"/>
      <c r="G109" s="8"/>
      <c r="H109" s="8"/>
    </row>
    <row r="110" spans="1:8" ht="15.75">
      <c r="A110"/>
      <c r="B110"/>
      <c r="C110"/>
      <c r="D110" s="8"/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5ED6-3108-4C73-ADD7-D662739288F3}">
  <dimension ref="A1:P214"/>
  <sheetViews>
    <sheetView topLeftCell="A87" workbookViewId="0">
      <selection activeCell="A99" sqref="A99:C110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6" ht="15.75">
      <c r="A1" s="5" t="s">
        <v>0</v>
      </c>
      <c r="B1" s="6">
        <v>45266</v>
      </c>
      <c r="E1" s="5">
        <v>106.5</v>
      </c>
      <c r="F1" s="5" t="s">
        <v>1</v>
      </c>
      <c r="H1"/>
      <c r="I1" s="5" t="s">
        <v>437</v>
      </c>
      <c r="K1">
        <v>4686</v>
      </c>
      <c r="L1">
        <v>4674</v>
      </c>
      <c r="M1"/>
      <c r="P1" s="7" t="s">
        <v>697</v>
      </c>
    </row>
    <row r="2" spans="1:16" ht="15.75">
      <c r="A2" s="5" t="s">
        <v>2</v>
      </c>
      <c r="E2" s="5">
        <f>E1*2200*0.53</f>
        <v>124179</v>
      </c>
      <c r="F2" s="5" t="s">
        <v>3</v>
      </c>
      <c r="H2"/>
      <c r="K2">
        <v>4677</v>
      </c>
      <c r="L2">
        <v>5084</v>
      </c>
      <c r="M2"/>
    </row>
    <row r="3" spans="1:16" ht="15.75">
      <c r="A3" s="5" t="s">
        <v>4</v>
      </c>
      <c r="B3" s="7"/>
      <c r="E3" s="5">
        <v>0.5</v>
      </c>
      <c r="F3" s="5" t="s">
        <v>5</v>
      </c>
      <c r="H3"/>
      <c r="K3">
        <v>5242</v>
      </c>
      <c r="L3">
        <v>4851</v>
      </c>
      <c r="M3"/>
    </row>
    <row r="4" spans="1:16" ht="15.75">
      <c r="B4" s="7" t="s">
        <v>434</v>
      </c>
      <c r="E4" s="5">
        <f>AVERAGE(K1:L6)*10</f>
        <v>49082.5</v>
      </c>
      <c r="F4" s="5" t="s">
        <v>6</v>
      </c>
      <c r="H4"/>
      <c r="K4">
        <v>4932</v>
      </c>
      <c r="L4">
        <v>5120</v>
      </c>
      <c r="M4"/>
    </row>
    <row r="5" spans="1:16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/>
      <c r="M5"/>
    </row>
    <row r="6" spans="1:16" ht="15.75">
      <c r="A6" s="5" t="s">
        <v>665</v>
      </c>
      <c r="E6" s="9"/>
      <c r="H6"/>
      <c r="K6"/>
    </row>
    <row r="7" spans="1:16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  <c r="P7" s="7"/>
    </row>
    <row r="8" spans="1:16" ht="15.75">
      <c r="A8" s="5" t="s">
        <v>13</v>
      </c>
      <c r="B8">
        <v>300</v>
      </c>
      <c r="C8">
        <v>344</v>
      </c>
      <c r="D8" s="8">
        <f t="shared" ref="D8:D19" si="0">AVERAGE(B8:C8)</f>
        <v>322</v>
      </c>
      <c r="E8" s="8">
        <f>AVERAGE(J11,D19)-$D$9</f>
        <v>201.4375</v>
      </c>
      <c r="H8" s="8">
        <f>E8*100/$E$8</f>
        <v>100</v>
      </c>
      <c r="L8" s="7" t="s">
        <v>667</v>
      </c>
      <c r="M8" s="7" t="s">
        <v>668</v>
      </c>
    </row>
    <row r="9" spans="1:16" ht="15.75">
      <c r="A9" s="10" t="s">
        <v>646</v>
      </c>
      <c r="B9">
        <v>174</v>
      </c>
      <c r="C9">
        <v>214</v>
      </c>
      <c r="D9" s="8">
        <f>AVERAGE(B10:C10)</f>
        <v>142.5</v>
      </c>
      <c r="E9" s="8">
        <f>D9-$D$9</f>
        <v>0</v>
      </c>
      <c r="H9" s="8"/>
      <c r="J9" s="18" t="s">
        <v>417</v>
      </c>
      <c r="L9" s="5">
        <v>300</v>
      </c>
      <c r="M9" s="5">
        <v>174</v>
      </c>
    </row>
    <row r="10" spans="1:16" ht="15.75">
      <c r="A10" t="s">
        <v>435</v>
      </c>
      <c r="B10">
        <v>145</v>
      </c>
      <c r="C10">
        <v>140</v>
      </c>
      <c r="D10" s="8">
        <f t="shared" si="0"/>
        <v>142.5</v>
      </c>
      <c r="E10" s="8">
        <f t="shared" ref="E10:E18" si="1">D10-$D$9</f>
        <v>0</v>
      </c>
      <c r="F10" s="11">
        <v>9.9999999999999995E-7</v>
      </c>
      <c r="G10" s="8">
        <f t="shared" ref="G10:G18" si="2">LOG(F10)</f>
        <v>-6</v>
      </c>
      <c r="H10" s="8">
        <f>E10*100/$E$8</f>
        <v>0</v>
      </c>
      <c r="J10" s="19" t="s">
        <v>441</v>
      </c>
      <c r="L10" s="5">
        <v>344</v>
      </c>
      <c r="M10" s="5">
        <v>214</v>
      </c>
      <c r="P10" s="7"/>
    </row>
    <row r="11" spans="1:16" ht="15.75">
      <c r="A11" s="13" t="s">
        <v>658</v>
      </c>
      <c r="B11">
        <v>195</v>
      </c>
      <c r="C11">
        <v>196</v>
      </c>
      <c r="D11" s="8">
        <f t="shared" si="0"/>
        <v>195.5</v>
      </c>
      <c r="E11" s="8">
        <f t="shared" si="1"/>
        <v>53</v>
      </c>
      <c r="F11" s="11">
        <f t="shared" ref="F11:F18" si="3">F10*0.3162</f>
        <v>3.1619999999999999E-7</v>
      </c>
      <c r="G11" s="8">
        <f t="shared" si="2"/>
        <v>-6.5000381344038098</v>
      </c>
      <c r="H11" s="8">
        <f t="shared" ref="H11:H18" si="4">E11*100/$E$8</f>
        <v>26.310890474713002</v>
      </c>
      <c r="J11" s="19">
        <f>AVERAGE(L9:L24)</f>
        <v>378.375</v>
      </c>
      <c r="L11" s="5">
        <v>373</v>
      </c>
      <c r="M11" s="5">
        <v>212</v>
      </c>
    </row>
    <row r="12" spans="1:16" ht="15.75">
      <c r="B12">
        <v>222</v>
      </c>
      <c r="C12">
        <v>243</v>
      </c>
      <c r="D12" s="8">
        <f t="shared" si="0"/>
        <v>232.5</v>
      </c>
      <c r="E12" s="8">
        <f t="shared" si="1"/>
        <v>90</v>
      </c>
      <c r="F12" s="11">
        <f t="shared" si="3"/>
        <v>9.9982439999999983E-8</v>
      </c>
      <c r="G12" s="8">
        <f t="shared" si="2"/>
        <v>-7.0000762688076197</v>
      </c>
      <c r="H12" s="8">
        <f t="shared" si="4"/>
        <v>44.67887061743717</v>
      </c>
      <c r="J12" s="19" t="s">
        <v>669</v>
      </c>
      <c r="L12" s="5">
        <v>506</v>
      </c>
      <c r="M12" s="5">
        <v>190</v>
      </c>
    </row>
    <row r="13" spans="1:16" ht="15.75">
      <c r="B13">
        <v>277</v>
      </c>
      <c r="C13">
        <v>292</v>
      </c>
      <c r="D13" s="8">
        <f t="shared" si="0"/>
        <v>284.5</v>
      </c>
      <c r="E13" s="8">
        <f t="shared" si="1"/>
        <v>142</v>
      </c>
      <c r="F13" s="11">
        <f t="shared" si="3"/>
        <v>3.1614447527999994E-8</v>
      </c>
      <c r="G13" s="8">
        <f t="shared" si="2"/>
        <v>-7.5001144032114295</v>
      </c>
      <c r="H13" s="8">
        <f t="shared" si="4"/>
        <v>70.493329196400865</v>
      </c>
      <c r="J13" s="19">
        <f>J11-J15</f>
        <v>179.625</v>
      </c>
      <c r="L13" s="5">
        <v>358</v>
      </c>
      <c r="M13" s="5">
        <v>265</v>
      </c>
    </row>
    <row r="14" spans="1:16" ht="15.75">
      <c r="B14">
        <v>349</v>
      </c>
      <c r="C14">
        <v>436</v>
      </c>
      <c r="D14" s="8">
        <f t="shared" si="0"/>
        <v>392.5</v>
      </c>
      <c r="E14" s="8">
        <f t="shared" si="1"/>
        <v>250</v>
      </c>
      <c r="F14" s="11">
        <f t="shared" si="3"/>
        <v>9.9964883083535969E-9</v>
      </c>
      <c r="G14" s="8">
        <f t="shared" si="2"/>
        <v>-8.0001525376152394</v>
      </c>
      <c r="H14" s="8">
        <f t="shared" si="4"/>
        <v>124.10797393732547</v>
      </c>
      <c r="J14" s="19" t="s">
        <v>442</v>
      </c>
      <c r="L14" s="5">
        <v>565</v>
      </c>
      <c r="M14" s="5">
        <v>162</v>
      </c>
    </row>
    <row r="15" spans="1:16" ht="15.75">
      <c r="A15"/>
      <c r="B15">
        <v>341</v>
      </c>
      <c r="C15">
        <v>338</v>
      </c>
      <c r="D15" s="8">
        <f t="shared" si="0"/>
        <v>339.5</v>
      </c>
      <c r="E15" s="8">
        <f t="shared" si="1"/>
        <v>197</v>
      </c>
      <c r="F15" s="11">
        <f t="shared" si="3"/>
        <v>3.1608896031014071E-9</v>
      </c>
      <c r="G15" s="8">
        <f t="shared" si="2"/>
        <v>-8.5001906720190483</v>
      </c>
      <c r="H15" s="8">
        <f t="shared" si="4"/>
        <v>97.797083462612477</v>
      </c>
      <c r="J15" s="19">
        <f>AVERAGE(M9:M16)</f>
        <v>198.75</v>
      </c>
      <c r="L15" s="5">
        <v>361</v>
      </c>
      <c r="M15" s="5">
        <v>176</v>
      </c>
    </row>
    <row r="16" spans="1:16" ht="15.75">
      <c r="B16">
        <v>259</v>
      </c>
      <c r="C16">
        <v>276</v>
      </c>
      <c r="D16" s="8">
        <f t="shared" si="0"/>
        <v>267.5</v>
      </c>
      <c r="E16" s="8">
        <f t="shared" si="1"/>
        <v>125</v>
      </c>
      <c r="F16" s="11">
        <f t="shared" si="3"/>
        <v>9.9947329250066484E-10</v>
      </c>
      <c r="G16" s="8">
        <f t="shared" si="2"/>
        <v>-9.0002288064228591</v>
      </c>
      <c r="H16" s="8">
        <f t="shared" si="4"/>
        <v>62.053986968662734</v>
      </c>
      <c r="L16" s="5">
        <v>352</v>
      </c>
      <c r="M16" s="5">
        <v>197</v>
      </c>
    </row>
    <row r="17" spans="1:13" ht="15.75">
      <c r="B17">
        <v>313</v>
      </c>
      <c r="C17">
        <v>272</v>
      </c>
      <c r="D17" s="8">
        <f t="shared" si="0"/>
        <v>292.5</v>
      </c>
      <c r="E17" s="8">
        <f t="shared" si="1"/>
        <v>150</v>
      </c>
      <c r="F17" s="11">
        <f t="shared" si="3"/>
        <v>3.1603345508871019E-10</v>
      </c>
      <c r="G17" s="8">
        <f t="shared" si="2"/>
        <v>-9.500266940826668</v>
      </c>
      <c r="H17" s="8">
        <f t="shared" si="4"/>
        <v>74.464784362395278</v>
      </c>
      <c r="K17" s="20"/>
      <c r="L17" s="5">
        <v>307</v>
      </c>
      <c r="M17" s="20"/>
    </row>
    <row r="18" spans="1:13" ht="15.75">
      <c r="B18">
        <v>250</v>
      </c>
      <c r="C18">
        <v>270</v>
      </c>
      <c r="D18" s="8">
        <f t="shared" si="0"/>
        <v>260</v>
      </c>
      <c r="E18" s="8">
        <f t="shared" si="1"/>
        <v>117.5</v>
      </c>
      <c r="F18" s="11">
        <f t="shared" si="3"/>
        <v>9.992977849905016E-11</v>
      </c>
      <c r="G18" s="8">
        <f t="shared" si="2"/>
        <v>-10.000305075230479</v>
      </c>
      <c r="H18" s="8">
        <f t="shared" si="4"/>
        <v>58.330747750542976</v>
      </c>
      <c r="K18" s="20"/>
      <c r="L18" s="5">
        <v>312</v>
      </c>
    </row>
    <row r="19" spans="1:13" ht="15.75">
      <c r="B19">
        <v>307</v>
      </c>
      <c r="C19">
        <v>312</v>
      </c>
      <c r="D19" s="8">
        <f t="shared" si="0"/>
        <v>309.5</v>
      </c>
      <c r="E19" s="8"/>
      <c r="F19" s="11"/>
      <c r="G19" s="8"/>
      <c r="H19" s="8"/>
      <c r="L19" s="5">
        <v>369</v>
      </c>
    </row>
    <row r="20" spans="1:13" ht="15.75">
      <c r="B20"/>
      <c r="C20"/>
      <c r="D20" s="5" t="s">
        <v>8</v>
      </c>
      <c r="E20" s="5" t="s">
        <v>9</v>
      </c>
      <c r="F20" s="5" t="s">
        <v>10</v>
      </c>
      <c r="G20" s="5" t="s">
        <v>11</v>
      </c>
      <c r="H20" s="5" t="s">
        <v>12</v>
      </c>
      <c r="L20" s="5">
        <v>385</v>
      </c>
    </row>
    <row r="21" spans="1:13" ht="15.75">
      <c r="A21" s="5" t="s">
        <v>14</v>
      </c>
      <c r="B21">
        <v>373</v>
      </c>
      <c r="C21">
        <v>506</v>
      </c>
      <c r="D21" s="8">
        <f t="shared" ref="D21:D29" si="5">AVERAGE(B21:C21)</f>
        <v>439.5</v>
      </c>
      <c r="E21" s="8">
        <f>AVERAGE(D21,D32)-$D$22</f>
        <v>238.75</v>
      </c>
      <c r="H21" s="8">
        <f>E21*100/$E$21</f>
        <v>100</v>
      </c>
      <c r="L21" s="5">
        <v>334</v>
      </c>
    </row>
    <row r="22" spans="1:13" ht="15.75">
      <c r="A22" s="10" t="s">
        <v>647</v>
      </c>
      <c r="B22">
        <v>212</v>
      </c>
      <c r="C22">
        <v>190</v>
      </c>
      <c r="D22" s="8">
        <f>AVERAGE(C22:C23)</f>
        <v>169.5</v>
      </c>
      <c r="E22" s="8">
        <f t="shared" ref="E22:E31" si="6">D22-$D$22</f>
        <v>0</v>
      </c>
      <c r="H22" s="8"/>
      <c r="L22" s="5">
        <v>413</v>
      </c>
    </row>
    <row r="23" spans="1:13" ht="15.75">
      <c r="A23" t="s">
        <v>435</v>
      </c>
      <c r="B23">
        <v>209</v>
      </c>
      <c r="C23">
        <v>149</v>
      </c>
      <c r="D23" s="8">
        <f t="shared" si="5"/>
        <v>179</v>
      </c>
      <c r="E23" s="8">
        <f t="shared" si="6"/>
        <v>9.5</v>
      </c>
      <c r="F23" s="11">
        <v>9.9999999999999995E-7</v>
      </c>
      <c r="G23" s="8">
        <f t="shared" ref="G23:G31" si="7">LOG(F23)</f>
        <v>-6</v>
      </c>
      <c r="H23" s="8">
        <f t="shared" ref="H23:H31" si="8">E23*100/$E$21</f>
        <v>3.9790575916230368</v>
      </c>
      <c r="L23" s="5">
        <v>422</v>
      </c>
    </row>
    <row r="24" spans="1:13" ht="15.75">
      <c r="B24">
        <v>202</v>
      </c>
      <c r="C24">
        <v>263</v>
      </c>
      <c r="D24" s="8">
        <f t="shared" si="5"/>
        <v>232.5</v>
      </c>
      <c r="E24" s="8">
        <f t="shared" si="6"/>
        <v>63</v>
      </c>
      <c r="F24" s="11">
        <f t="shared" ref="F24:F31" si="9">F23*0.3162</f>
        <v>3.1619999999999999E-7</v>
      </c>
      <c r="G24" s="8">
        <f t="shared" si="7"/>
        <v>-6.5000381344038098</v>
      </c>
      <c r="H24" s="8">
        <f t="shared" si="8"/>
        <v>26.387434554973822</v>
      </c>
      <c r="L24" s="5">
        <v>353</v>
      </c>
    </row>
    <row r="25" spans="1:13" ht="15.75">
      <c r="A25"/>
      <c r="B25">
        <v>234</v>
      </c>
      <c r="C25">
        <v>325</v>
      </c>
      <c r="D25" s="8">
        <f t="shared" si="5"/>
        <v>279.5</v>
      </c>
      <c r="E25" s="8">
        <f t="shared" si="6"/>
        <v>110</v>
      </c>
      <c r="F25" s="11">
        <f t="shared" si="9"/>
        <v>9.9982439999999983E-8</v>
      </c>
      <c r="G25" s="8">
        <f t="shared" si="7"/>
        <v>-7.0000762688076197</v>
      </c>
      <c r="H25" s="8">
        <f t="shared" si="8"/>
        <v>46.073298429319372</v>
      </c>
    </row>
    <row r="26" spans="1:13" ht="15.75">
      <c r="A26"/>
      <c r="B26">
        <v>331</v>
      </c>
      <c r="C26">
        <v>321</v>
      </c>
      <c r="D26" s="8">
        <f t="shared" si="5"/>
        <v>326</v>
      </c>
      <c r="E26" s="8">
        <f t="shared" si="6"/>
        <v>156.5</v>
      </c>
      <c r="F26" s="11">
        <f t="shared" si="9"/>
        <v>3.1614447527999994E-8</v>
      </c>
      <c r="G26" s="8">
        <f t="shared" si="7"/>
        <v>-7.5001144032114295</v>
      </c>
      <c r="H26" s="8">
        <f t="shared" si="8"/>
        <v>65.549738219895289</v>
      </c>
    </row>
    <row r="27" spans="1:13" ht="15.75">
      <c r="A27"/>
      <c r="B27">
        <v>389</v>
      </c>
      <c r="C27">
        <v>374</v>
      </c>
      <c r="D27" s="8">
        <f t="shared" si="5"/>
        <v>381.5</v>
      </c>
      <c r="E27" s="8">
        <f t="shared" si="6"/>
        <v>212</v>
      </c>
      <c r="F27" s="11">
        <f t="shared" si="9"/>
        <v>9.9964883083535969E-9</v>
      </c>
      <c r="G27" s="8">
        <f t="shared" si="7"/>
        <v>-8.0001525376152394</v>
      </c>
      <c r="H27" s="8">
        <f t="shared" si="8"/>
        <v>88.795811518324612</v>
      </c>
    </row>
    <row r="28" spans="1:13" ht="15.75">
      <c r="B28">
        <v>341</v>
      </c>
      <c r="C28">
        <v>372</v>
      </c>
      <c r="D28" s="8">
        <f t="shared" si="5"/>
        <v>356.5</v>
      </c>
      <c r="E28" s="8">
        <f t="shared" si="6"/>
        <v>187</v>
      </c>
      <c r="F28" s="11">
        <f t="shared" si="9"/>
        <v>3.1608896031014071E-9</v>
      </c>
      <c r="G28" s="8">
        <f t="shared" si="7"/>
        <v>-8.5001906720190483</v>
      </c>
      <c r="H28" s="8">
        <f t="shared" si="8"/>
        <v>78.324607329842934</v>
      </c>
    </row>
    <row r="29" spans="1:13" ht="15.75">
      <c r="A29"/>
      <c r="B29">
        <v>326</v>
      </c>
      <c r="C29">
        <v>341</v>
      </c>
      <c r="D29" s="8">
        <f t="shared" si="5"/>
        <v>333.5</v>
      </c>
      <c r="E29" s="8">
        <f t="shared" si="6"/>
        <v>164</v>
      </c>
      <c r="F29" s="11">
        <f t="shared" si="9"/>
        <v>9.9947329250066484E-10</v>
      </c>
      <c r="G29" s="8">
        <f t="shared" si="7"/>
        <v>-9.0002288064228591</v>
      </c>
      <c r="H29" s="8">
        <f t="shared" si="8"/>
        <v>68.691099476439788</v>
      </c>
    </row>
    <row r="30" spans="1:13" ht="15.75">
      <c r="B30">
        <v>358</v>
      </c>
      <c r="C30">
        <v>334</v>
      </c>
      <c r="D30" s="8">
        <f>AVERAGE(A30:C30)</f>
        <v>346</v>
      </c>
      <c r="E30" s="8">
        <f t="shared" si="6"/>
        <v>176.5</v>
      </c>
      <c r="F30" s="11">
        <f t="shared" si="9"/>
        <v>3.1603345508871019E-10</v>
      </c>
      <c r="G30" s="8">
        <f t="shared" si="7"/>
        <v>-9.500266940826668</v>
      </c>
      <c r="H30" s="8">
        <f t="shared" si="8"/>
        <v>73.926701570680635</v>
      </c>
    </row>
    <row r="31" spans="1:13" ht="15.75">
      <c r="A31"/>
      <c r="B31">
        <v>318</v>
      </c>
      <c r="C31">
        <v>333</v>
      </c>
      <c r="D31" s="8">
        <f>AVERAGE(B31:C31)</f>
        <v>325.5</v>
      </c>
      <c r="E31" s="8">
        <f t="shared" si="6"/>
        <v>156</v>
      </c>
      <c r="F31" s="11">
        <f t="shared" si="9"/>
        <v>9.992977849905016E-11</v>
      </c>
      <c r="G31" s="8">
        <f t="shared" si="7"/>
        <v>-10.000305075230479</v>
      </c>
      <c r="H31" s="8">
        <f t="shared" si="8"/>
        <v>65.340314136125656</v>
      </c>
    </row>
    <row r="32" spans="1:13" ht="15.75">
      <c r="B32">
        <v>369</v>
      </c>
      <c r="C32">
        <v>385</v>
      </c>
      <c r="D32" s="8">
        <f>AVERAGE(B32:C32)</f>
        <v>377</v>
      </c>
      <c r="E32" s="8"/>
      <c r="F32" s="11"/>
      <c r="G32" s="8"/>
      <c r="H32" s="8"/>
    </row>
    <row r="33" spans="1:9" ht="15.75">
      <c r="B33"/>
      <c r="C33"/>
      <c r="D33" s="5" t="s">
        <v>8</v>
      </c>
      <c r="E33" s="5" t="s">
        <v>9</v>
      </c>
      <c r="F33" s="5" t="s">
        <v>10</v>
      </c>
      <c r="G33" s="5" t="s">
        <v>11</v>
      </c>
      <c r="H33" s="5" t="s">
        <v>12</v>
      </c>
    </row>
    <row r="34" spans="1:9" ht="15.75">
      <c r="A34" s="5" t="s">
        <v>15</v>
      </c>
      <c r="B34">
        <v>358</v>
      </c>
      <c r="C34">
        <v>565</v>
      </c>
      <c r="D34" s="8">
        <f>AVERAGE(B34:C34)</f>
        <v>461.5</v>
      </c>
      <c r="E34" s="8">
        <f>AVERAGE(D34,D45)-$D$35</f>
        <v>257.5</v>
      </c>
      <c r="H34" s="8">
        <f>E34*100/$E$34</f>
        <v>100</v>
      </c>
      <c r="I34" s="7" t="s">
        <v>689</v>
      </c>
    </row>
    <row r="35" spans="1:9" ht="15.75">
      <c r="A35" s="5" t="s">
        <v>648</v>
      </c>
      <c r="B35">
        <v>265</v>
      </c>
      <c r="C35">
        <v>162</v>
      </c>
      <c r="D35" s="8">
        <f>AVERAGE(C35:C36)</f>
        <v>160</v>
      </c>
      <c r="E35" s="8">
        <f t="shared" ref="E35:E44" si="10">D35-$D$35</f>
        <v>0</v>
      </c>
      <c r="H35" s="8"/>
      <c r="I35" s="7" t="s">
        <v>690</v>
      </c>
    </row>
    <row r="36" spans="1:9" ht="15.75">
      <c r="A36" t="s">
        <v>652</v>
      </c>
      <c r="B36">
        <v>209</v>
      </c>
      <c r="C36">
        <v>158</v>
      </c>
      <c r="D36" s="8">
        <f t="shared" ref="D36:D45" si="11">AVERAGE(B36:C36)</f>
        <v>183.5</v>
      </c>
      <c r="E36" s="8">
        <f t="shared" si="10"/>
        <v>23.5</v>
      </c>
      <c r="F36" s="11">
        <v>1.0000000000000001E-5</v>
      </c>
      <c r="G36" s="8">
        <f t="shared" ref="G36:G44" si="12">LOG(F36)</f>
        <v>-5</v>
      </c>
      <c r="H36" s="8">
        <f>E36*100/$E$34</f>
        <v>9.1262135922330092</v>
      </c>
    </row>
    <row r="37" spans="1:9" ht="15.75">
      <c r="B37">
        <v>282</v>
      </c>
      <c r="C37">
        <v>364</v>
      </c>
      <c r="D37" s="8">
        <f t="shared" si="11"/>
        <v>323</v>
      </c>
      <c r="E37" s="8">
        <f t="shared" si="10"/>
        <v>163</v>
      </c>
      <c r="F37" s="11">
        <f t="shared" ref="F37:F44" si="13">F36*0.3162</f>
        <v>3.162E-6</v>
      </c>
      <c r="G37" s="8">
        <f t="shared" si="12"/>
        <v>-5.5000381344038098</v>
      </c>
      <c r="H37" s="8">
        <f t="shared" ref="H37:H44" si="14">E37*100/$E$34</f>
        <v>63.300970873786405</v>
      </c>
    </row>
    <row r="38" spans="1:9" ht="15.75">
      <c r="B38">
        <v>487</v>
      </c>
      <c r="C38">
        <v>435</v>
      </c>
      <c r="D38" s="8">
        <f t="shared" si="11"/>
        <v>461</v>
      </c>
      <c r="E38" s="8">
        <f t="shared" si="10"/>
        <v>301</v>
      </c>
      <c r="F38" s="11">
        <f t="shared" si="13"/>
        <v>9.9982439999999994E-7</v>
      </c>
      <c r="G38" s="8">
        <f t="shared" si="12"/>
        <v>-6.0000762688076197</v>
      </c>
      <c r="H38" s="8">
        <f t="shared" si="14"/>
        <v>116.89320388349515</v>
      </c>
    </row>
    <row r="39" spans="1:9" ht="15.75">
      <c r="A39"/>
      <c r="B39">
        <v>421</v>
      </c>
      <c r="C39">
        <v>425</v>
      </c>
      <c r="D39" s="8">
        <f t="shared" si="11"/>
        <v>423</v>
      </c>
      <c r="E39" s="8">
        <f t="shared" si="10"/>
        <v>263</v>
      </c>
      <c r="F39" s="11">
        <f t="shared" si="13"/>
        <v>3.1614447527999998E-7</v>
      </c>
      <c r="G39" s="8">
        <f t="shared" si="12"/>
        <v>-6.5001144032114295</v>
      </c>
      <c r="H39" s="8">
        <f t="shared" si="14"/>
        <v>102.13592233009709</v>
      </c>
    </row>
    <row r="40" spans="1:9" ht="15.75">
      <c r="B40">
        <v>454</v>
      </c>
      <c r="C40">
        <v>497</v>
      </c>
      <c r="D40" s="8">
        <f t="shared" si="11"/>
        <v>475.5</v>
      </c>
      <c r="E40" s="8">
        <f t="shared" si="10"/>
        <v>315.5</v>
      </c>
      <c r="F40" s="11">
        <f t="shared" si="13"/>
        <v>9.9964883083535985E-8</v>
      </c>
      <c r="G40" s="8">
        <f t="shared" si="12"/>
        <v>-7.0001525376152394</v>
      </c>
      <c r="H40" s="8">
        <f t="shared" si="14"/>
        <v>122.52427184466019</v>
      </c>
    </row>
    <row r="41" spans="1:9" ht="15.75">
      <c r="B41">
        <v>398</v>
      </c>
      <c r="C41">
        <v>476</v>
      </c>
      <c r="D41" s="8">
        <f t="shared" si="11"/>
        <v>437</v>
      </c>
      <c r="E41" s="8">
        <f t="shared" si="10"/>
        <v>277</v>
      </c>
      <c r="F41" s="11">
        <f t="shared" si="13"/>
        <v>3.1608896031014074E-8</v>
      </c>
      <c r="G41" s="8">
        <f t="shared" si="12"/>
        <v>-7.5001906720190492</v>
      </c>
      <c r="H41" s="8">
        <f t="shared" si="14"/>
        <v>107.57281553398059</v>
      </c>
    </row>
    <row r="42" spans="1:9" ht="15.75">
      <c r="B42">
        <v>335</v>
      </c>
      <c r="C42">
        <v>352</v>
      </c>
      <c r="D42" s="8">
        <f t="shared" si="11"/>
        <v>343.5</v>
      </c>
      <c r="E42" s="8">
        <f t="shared" si="10"/>
        <v>183.5</v>
      </c>
      <c r="F42" s="11">
        <f t="shared" si="13"/>
        <v>9.9947329250066497E-9</v>
      </c>
      <c r="G42" s="8">
        <f t="shared" si="12"/>
        <v>-8.0002288064228591</v>
      </c>
      <c r="H42" s="8">
        <f t="shared" si="14"/>
        <v>71.262135922330103</v>
      </c>
    </row>
    <row r="43" spans="1:9" ht="15.75">
      <c r="B43">
        <v>441</v>
      </c>
      <c r="C43">
        <v>474</v>
      </c>
      <c r="D43" s="8">
        <f t="shared" si="11"/>
        <v>457.5</v>
      </c>
      <c r="E43" s="8">
        <f t="shared" si="10"/>
        <v>297.5</v>
      </c>
      <c r="F43" s="11">
        <f t="shared" si="13"/>
        <v>3.1603345508871026E-9</v>
      </c>
      <c r="G43" s="8">
        <f t="shared" si="12"/>
        <v>-8.500266940826668</v>
      </c>
      <c r="H43" s="8">
        <f t="shared" si="14"/>
        <v>115.53398058252426</v>
      </c>
    </row>
    <row r="44" spans="1:9" ht="15.75">
      <c r="B44">
        <v>343</v>
      </c>
      <c r="C44">
        <v>327</v>
      </c>
      <c r="D44" s="8">
        <f t="shared" si="11"/>
        <v>335</v>
      </c>
      <c r="E44" s="8">
        <f t="shared" si="10"/>
        <v>175</v>
      </c>
      <c r="F44" s="11">
        <f t="shared" si="13"/>
        <v>9.992977849905017E-10</v>
      </c>
      <c r="G44" s="8">
        <f t="shared" si="12"/>
        <v>-9.0003050752304787</v>
      </c>
      <c r="H44" s="12">
        <f t="shared" si="14"/>
        <v>67.961165048543691</v>
      </c>
    </row>
    <row r="45" spans="1:9" ht="15.75">
      <c r="B45">
        <v>334</v>
      </c>
      <c r="C45">
        <v>413</v>
      </c>
      <c r="D45" s="8">
        <f t="shared" si="11"/>
        <v>373.5</v>
      </c>
      <c r="E45" s="8"/>
      <c r="F45" s="11"/>
      <c r="G45" s="8"/>
      <c r="H45" s="8"/>
    </row>
    <row r="46" spans="1:9" ht="15.75">
      <c r="B46"/>
      <c r="C46"/>
      <c r="D46" s="5" t="s">
        <v>8</v>
      </c>
      <c r="E46" s="5" t="s">
        <v>9</v>
      </c>
      <c r="F46" s="5" t="s">
        <v>10</v>
      </c>
      <c r="G46" s="5" t="s">
        <v>11</v>
      </c>
      <c r="H46" s="5" t="s">
        <v>12</v>
      </c>
    </row>
    <row r="47" spans="1:9" ht="15.75">
      <c r="A47" s="1" t="s">
        <v>16</v>
      </c>
      <c r="B47" s="4">
        <v>361</v>
      </c>
      <c r="C47" s="4">
        <v>352</v>
      </c>
      <c r="D47" s="2">
        <f>AVERAGE(B47:C47)</f>
        <v>356.5</v>
      </c>
      <c r="E47" s="2">
        <f>AVERAGE(D47,D58)-$D$48</f>
        <v>185.5</v>
      </c>
      <c r="F47" s="1"/>
      <c r="G47" s="1"/>
      <c r="H47" s="2">
        <f>E47*100/$E$47</f>
        <v>100</v>
      </c>
      <c r="I47" s="1"/>
    </row>
    <row r="48" spans="1:9" ht="15.75">
      <c r="A48" s="3" t="s">
        <v>649</v>
      </c>
      <c r="B48" s="4">
        <v>176</v>
      </c>
      <c r="C48" s="4">
        <v>197</v>
      </c>
      <c r="D48" s="2">
        <f>AVERAGE(B48:C48)</f>
        <v>186.5</v>
      </c>
      <c r="E48" s="2">
        <f>D48-$D$48</f>
        <v>0</v>
      </c>
      <c r="F48" s="1"/>
      <c r="G48" s="1"/>
      <c r="H48" s="2"/>
      <c r="I48" s="1"/>
    </row>
    <row r="49" spans="1:10" ht="15.75">
      <c r="A49" s="1" t="s">
        <v>435</v>
      </c>
      <c r="B49" s="4">
        <v>161</v>
      </c>
      <c r="C49" s="4">
        <v>149</v>
      </c>
      <c r="D49" s="2">
        <f t="shared" ref="D49:D58" si="15">AVERAGE(B49:C49)</f>
        <v>155</v>
      </c>
      <c r="E49" s="2">
        <f>D49-$D$48</f>
        <v>-31.5</v>
      </c>
      <c r="F49" s="16">
        <v>9.9999999999999995E-7</v>
      </c>
      <c r="G49" s="2">
        <f t="shared" ref="G49:G57" si="16">LOG(F49)</f>
        <v>-6</v>
      </c>
      <c r="H49" s="2">
        <f t="shared" ref="H49:H57" si="17">E49*100/$E$47</f>
        <v>-16.981132075471699</v>
      </c>
      <c r="I49" s="1"/>
    </row>
    <row r="50" spans="1:10" ht="15.75">
      <c r="A50" s="17"/>
      <c r="B50" s="4">
        <v>261</v>
      </c>
      <c r="C50" s="4">
        <v>279</v>
      </c>
      <c r="D50" s="2">
        <f t="shared" si="15"/>
        <v>270</v>
      </c>
      <c r="E50" s="2">
        <f t="shared" ref="E50:E57" si="18">D50-$D$48</f>
        <v>83.5</v>
      </c>
      <c r="F50" s="16">
        <f t="shared" ref="F50:F57" si="19">F49*0.3162</f>
        <v>3.1619999999999999E-7</v>
      </c>
      <c r="G50" s="2">
        <f t="shared" si="16"/>
        <v>-6.5000381344038098</v>
      </c>
      <c r="H50" s="2">
        <f t="shared" si="17"/>
        <v>45.01347708894879</v>
      </c>
      <c r="I50" s="1"/>
    </row>
    <row r="51" spans="1:10" ht="15.75">
      <c r="A51" s="1"/>
      <c r="B51" s="4">
        <v>262</v>
      </c>
      <c r="C51" s="4">
        <v>280</v>
      </c>
      <c r="D51" s="2">
        <f t="shared" si="15"/>
        <v>271</v>
      </c>
      <c r="E51" s="2">
        <f t="shared" si="18"/>
        <v>84.5</v>
      </c>
      <c r="F51" s="16">
        <f t="shared" si="19"/>
        <v>9.9982439999999983E-8</v>
      </c>
      <c r="G51" s="2">
        <f t="shared" si="16"/>
        <v>-7.0000762688076197</v>
      </c>
      <c r="H51" s="2">
        <f t="shared" si="17"/>
        <v>45.552560646900268</v>
      </c>
      <c r="I51" s="1"/>
    </row>
    <row r="52" spans="1:10" ht="15.75">
      <c r="A52" s="1"/>
      <c r="B52" s="4">
        <v>387</v>
      </c>
      <c r="C52" s="4">
        <v>394</v>
      </c>
      <c r="D52" s="2">
        <f t="shared" si="15"/>
        <v>390.5</v>
      </c>
      <c r="E52" s="2">
        <f t="shared" si="18"/>
        <v>204</v>
      </c>
      <c r="F52" s="16">
        <f t="shared" si="19"/>
        <v>3.1614447527999994E-8</v>
      </c>
      <c r="G52" s="2">
        <f t="shared" si="16"/>
        <v>-7.5001144032114295</v>
      </c>
      <c r="H52" s="2">
        <f t="shared" si="17"/>
        <v>109.97304582210242</v>
      </c>
      <c r="I52" s="1"/>
    </row>
    <row r="53" spans="1:10" ht="15.75">
      <c r="A53" s="4"/>
      <c r="B53" s="4">
        <v>430</v>
      </c>
      <c r="C53" s="4">
        <v>502</v>
      </c>
      <c r="D53" s="2">
        <f t="shared" si="15"/>
        <v>466</v>
      </c>
      <c r="E53" s="2">
        <f t="shared" si="18"/>
        <v>279.5</v>
      </c>
      <c r="F53" s="16">
        <f t="shared" si="19"/>
        <v>9.9964883083535969E-9</v>
      </c>
      <c r="G53" s="2">
        <f t="shared" si="16"/>
        <v>-8.0001525376152394</v>
      </c>
      <c r="H53" s="2">
        <f t="shared" si="17"/>
        <v>150.67385444743934</v>
      </c>
      <c r="I53" s="1"/>
    </row>
    <row r="54" spans="1:10" ht="15.75">
      <c r="A54" s="1"/>
      <c r="B54" s="4">
        <v>380</v>
      </c>
      <c r="C54" s="4">
        <v>347</v>
      </c>
      <c r="D54" s="2">
        <f t="shared" si="15"/>
        <v>363.5</v>
      </c>
      <c r="E54" s="2">
        <f t="shared" si="18"/>
        <v>177</v>
      </c>
      <c r="F54" s="16">
        <f t="shared" si="19"/>
        <v>3.1608896031014071E-9</v>
      </c>
      <c r="G54" s="2">
        <f t="shared" si="16"/>
        <v>-8.5001906720190483</v>
      </c>
      <c r="H54" s="2">
        <f t="shared" si="17"/>
        <v>95.417789757412393</v>
      </c>
      <c r="I54" s="1"/>
    </row>
    <row r="55" spans="1:10" ht="15.75">
      <c r="A55" s="1"/>
      <c r="B55" s="4">
        <v>314</v>
      </c>
      <c r="C55" s="4">
        <v>337</v>
      </c>
      <c r="D55" s="2">
        <f t="shared" si="15"/>
        <v>325.5</v>
      </c>
      <c r="E55" s="2">
        <f t="shared" si="18"/>
        <v>139</v>
      </c>
      <c r="F55" s="16">
        <f t="shared" si="19"/>
        <v>9.9947329250066484E-10</v>
      </c>
      <c r="G55" s="2">
        <f t="shared" si="16"/>
        <v>-9.0002288064228591</v>
      </c>
      <c r="H55" s="2">
        <f t="shared" si="17"/>
        <v>74.932614555256066</v>
      </c>
      <c r="I55" s="1"/>
    </row>
    <row r="56" spans="1:10" ht="15.75">
      <c r="A56" s="1"/>
      <c r="B56" s="4">
        <v>375</v>
      </c>
      <c r="C56" s="4">
        <v>446</v>
      </c>
      <c r="D56" s="2">
        <f t="shared" si="15"/>
        <v>410.5</v>
      </c>
      <c r="E56" s="2">
        <f t="shared" si="18"/>
        <v>224</v>
      </c>
      <c r="F56" s="16">
        <f t="shared" si="19"/>
        <v>3.1603345508871019E-10</v>
      </c>
      <c r="G56" s="2">
        <f t="shared" si="16"/>
        <v>-9.500266940826668</v>
      </c>
      <c r="H56" s="2">
        <f t="shared" si="17"/>
        <v>120.75471698113208</v>
      </c>
      <c r="I56" s="1"/>
    </row>
    <row r="57" spans="1:10" ht="15.75">
      <c r="A57" s="1"/>
      <c r="B57" s="4">
        <v>396</v>
      </c>
      <c r="C57" s="4">
        <v>395</v>
      </c>
      <c r="D57" s="2">
        <f t="shared" si="15"/>
        <v>395.5</v>
      </c>
      <c r="E57" s="2">
        <f t="shared" si="18"/>
        <v>209</v>
      </c>
      <c r="F57" s="16">
        <f t="shared" si="19"/>
        <v>9.992977849905016E-11</v>
      </c>
      <c r="G57" s="2">
        <f t="shared" si="16"/>
        <v>-10.000305075230479</v>
      </c>
      <c r="H57" s="2">
        <f t="shared" si="17"/>
        <v>112.66846361185983</v>
      </c>
      <c r="I57" s="1"/>
    </row>
    <row r="58" spans="1:10" ht="15.75">
      <c r="A58" s="4"/>
      <c r="B58" s="4">
        <v>422</v>
      </c>
      <c r="C58" s="4">
        <v>353</v>
      </c>
      <c r="D58" s="2">
        <f t="shared" si="15"/>
        <v>387.5</v>
      </c>
      <c r="E58" s="2"/>
      <c r="F58" s="16"/>
      <c r="G58" s="2"/>
      <c r="H58" s="2"/>
      <c r="I58" s="1"/>
    </row>
    <row r="59" spans="1:10" ht="15.75">
      <c r="B59"/>
      <c r="C59"/>
      <c r="D59" s="5" t="s">
        <v>8</v>
      </c>
      <c r="E59" s="5" t="s">
        <v>9</v>
      </c>
      <c r="F59" s="5" t="s">
        <v>10</v>
      </c>
      <c r="G59" s="5" t="s">
        <v>11</v>
      </c>
      <c r="H59" s="5" t="s">
        <v>12</v>
      </c>
    </row>
    <row r="60" spans="1:10" ht="15.75">
      <c r="A60" s="5" t="s">
        <v>17</v>
      </c>
      <c r="B60">
        <v>343</v>
      </c>
      <c r="C60">
        <v>344</v>
      </c>
      <c r="D60" s="8">
        <f>AVERAGE(B60:C60)</f>
        <v>343.5</v>
      </c>
      <c r="E60" s="8">
        <f>AVERAGE(D71,D60)-$D$61</f>
        <v>204.5</v>
      </c>
      <c r="H60" s="8">
        <f>E60*100/$E$60</f>
        <v>100</v>
      </c>
    </row>
    <row r="61" spans="1:10" ht="15.75">
      <c r="A61" s="14" t="s">
        <v>443</v>
      </c>
      <c r="B61">
        <v>148</v>
      </c>
      <c r="C61">
        <v>108</v>
      </c>
      <c r="D61" s="8">
        <f>AVERAGE(B61:C61)</f>
        <v>128</v>
      </c>
      <c r="E61" s="8">
        <f t="shared" ref="E61:E70" si="20">D61-$D$61</f>
        <v>0</v>
      </c>
      <c r="H61" s="8"/>
      <c r="J61" s="5" t="s">
        <v>430</v>
      </c>
    </row>
    <row r="62" spans="1:10" ht="15.75">
      <c r="A62" s="5" t="s">
        <v>435</v>
      </c>
      <c r="B62">
        <v>143</v>
      </c>
      <c r="C62">
        <v>102</v>
      </c>
      <c r="D62" s="8">
        <f t="shared" ref="D62:D71" si="21">AVERAGE(B62:C62)</f>
        <v>122.5</v>
      </c>
      <c r="E62" s="8">
        <f t="shared" si="20"/>
        <v>-5.5</v>
      </c>
      <c r="F62" s="11">
        <v>9.9999999999999995E-7</v>
      </c>
      <c r="G62" s="8">
        <f t="shared" ref="G62:G70" si="22">LOG(F62)</f>
        <v>-6</v>
      </c>
      <c r="H62" s="8">
        <f t="shared" ref="H62:H70" si="23">E62*100/$E$60</f>
        <v>-2.6894865525672373</v>
      </c>
      <c r="J62" s="5" t="s">
        <v>441</v>
      </c>
    </row>
    <row r="63" spans="1:10" ht="15.75">
      <c r="B63">
        <v>151</v>
      </c>
      <c r="C63">
        <v>120</v>
      </c>
      <c r="D63" s="8">
        <f t="shared" si="21"/>
        <v>135.5</v>
      </c>
      <c r="E63" s="8">
        <f t="shared" si="20"/>
        <v>7.5</v>
      </c>
      <c r="F63" s="11">
        <f t="shared" ref="F63:F70" si="24">F62*0.3162</f>
        <v>3.1619999999999999E-7</v>
      </c>
      <c r="G63" s="8">
        <f t="shared" si="22"/>
        <v>-6.5000381344038098</v>
      </c>
      <c r="H63" s="8">
        <f t="shared" si="23"/>
        <v>3.6674816625916868</v>
      </c>
      <c r="J63" s="5">
        <f>AVERAGE(B60:C60,B71:C71,B73:C73,B84:C84,B86:C86,B97:C97,B99:C99,B110:C110,)</f>
        <v>329.8235294117647</v>
      </c>
    </row>
    <row r="64" spans="1:10" ht="15.75">
      <c r="B64">
        <v>297</v>
      </c>
      <c r="C64">
        <v>143</v>
      </c>
      <c r="D64" s="8">
        <f t="shared" si="21"/>
        <v>220</v>
      </c>
      <c r="E64" s="8">
        <f t="shared" si="20"/>
        <v>92</v>
      </c>
      <c r="F64" s="11">
        <f t="shared" si="24"/>
        <v>9.9982439999999983E-8</v>
      </c>
      <c r="G64" s="8">
        <f t="shared" si="22"/>
        <v>-7.0000762688076197</v>
      </c>
      <c r="H64" s="8">
        <f t="shared" si="23"/>
        <v>44.987775061124694</v>
      </c>
      <c r="J64" s="5" t="s">
        <v>442</v>
      </c>
    </row>
    <row r="65" spans="1:10" ht="15.75">
      <c r="B65">
        <v>208</v>
      </c>
      <c r="C65">
        <v>235</v>
      </c>
      <c r="D65" s="8">
        <f t="shared" si="21"/>
        <v>221.5</v>
      </c>
      <c r="E65" s="8">
        <f t="shared" si="20"/>
        <v>93.5</v>
      </c>
      <c r="F65" s="11">
        <f t="shared" si="24"/>
        <v>3.1614447527999994E-8</v>
      </c>
      <c r="G65" s="8">
        <f t="shared" si="22"/>
        <v>-7.5001144032114295</v>
      </c>
      <c r="H65" s="8">
        <f t="shared" si="23"/>
        <v>45.721271393643029</v>
      </c>
      <c r="J65" s="5">
        <f>AVERAGE(B61:C61,B74:C74,C87,B100:C100,)</f>
        <v>134.125</v>
      </c>
    </row>
    <row r="66" spans="1:10" ht="15.75">
      <c r="B66">
        <v>286</v>
      </c>
      <c r="C66">
        <v>267</v>
      </c>
      <c r="D66" s="8">
        <f t="shared" si="21"/>
        <v>276.5</v>
      </c>
      <c r="E66" s="8">
        <f t="shared" si="20"/>
        <v>148.5</v>
      </c>
      <c r="F66" s="11">
        <f t="shared" si="24"/>
        <v>9.9964883083535969E-9</v>
      </c>
      <c r="G66" s="8">
        <f t="shared" si="22"/>
        <v>-8.0001525376152394</v>
      </c>
      <c r="H66" s="8">
        <f t="shared" si="23"/>
        <v>72.616136919315409</v>
      </c>
    </row>
    <row r="67" spans="1:10" ht="15.75">
      <c r="B67">
        <v>284</v>
      </c>
      <c r="C67">
        <v>282</v>
      </c>
      <c r="D67" s="8">
        <f t="shared" si="21"/>
        <v>283</v>
      </c>
      <c r="E67" s="8">
        <f t="shared" si="20"/>
        <v>155</v>
      </c>
      <c r="F67" s="11">
        <f t="shared" si="24"/>
        <v>3.1608896031014071E-9</v>
      </c>
      <c r="G67" s="8">
        <f t="shared" si="22"/>
        <v>-8.5001906720190483</v>
      </c>
      <c r="H67" s="8">
        <f t="shared" si="23"/>
        <v>75.794621026894859</v>
      </c>
    </row>
    <row r="68" spans="1:10" ht="15.75">
      <c r="B68">
        <v>306</v>
      </c>
      <c r="C68">
        <v>287</v>
      </c>
      <c r="D68" s="8">
        <f t="shared" si="21"/>
        <v>296.5</v>
      </c>
      <c r="E68" s="8">
        <f t="shared" si="20"/>
        <v>168.5</v>
      </c>
      <c r="F68" s="11">
        <f t="shared" si="24"/>
        <v>9.9947329250066484E-10</v>
      </c>
      <c r="G68" s="8">
        <f t="shared" si="22"/>
        <v>-9.0002288064228591</v>
      </c>
      <c r="H68" s="8">
        <f t="shared" si="23"/>
        <v>82.396088019559897</v>
      </c>
    </row>
    <row r="69" spans="1:10" ht="15.75">
      <c r="B69">
        <v>288</v>
      </c>
      <c r="C69">
        <v>265</v>
      </c>
      <c r="D69" s="8">
        <f t="shared" si="21"/>
        <v>276.5</v>
      </c>
      <c r="E69" s="8">
        <f t="shared" si="20"/>
        <v>148.5</v>
      </c>
      <c r="F69" s="11">
        <f t="shared" si="24"/>
        <v>3.1603345508871019E-10</v>
      </c>
      <c r="G69" s="8">
        <f t="shared" si="22"/>
        <v>-9.500266940826668</v>
      </c>
      <c r="H69" s="8">
        <f t="shared" si="23"/>
        <v>72.616136919315409</v>
      </c>
    </row>
    <row r="70" spans="1:10" ht="15.75">
      <c r="B70">
        <v>321</v>
      </c>
      <c r="C70">
        <v>278</v>
      </c>
      <c r="D70" s="8">
        <f t="shared" si="21"/>
        <v>299.5</v>
      </c>
      <c r="E70" s="8">
        <f t="shared" si="20"/>
        <v>171.5</v>
      </c>
      <c r="F70" s="11">
        <f t="shared" si="24"/>
        <v>9.992977849905016E-11</v>
      </c>
      <c r="G70" s="8">
        <f t="shared" si="22"/>
        <v>-10.000305075230479</v>
      </c>
      <c r="H70" s="8">
        <f t="shared" si="23"/>
        <v>83.863080684596582</v>
      </c>
    </row>
    <row r="71" spans="1:10" ht="15.75">
      <c r="B71">
        <v>304</v>
      </c>
      <c r="C71">
        <v>339</v>
      </c>
      <c r="D71" s="8">
        <f t="shared" si="21"/>
        <v>321.5</v>
      </c>
      <c r="E71" s="8"/>
      <c r="F71" s="11"/>
      <c r="G71" s="8"/>
      <c r="H71" s="8"/>
    </row>
    <row r="72" spans="1:10" ht="15.75">
      <c r="B72"/>
      <c r="C72"/>
      <c r="D72" s="5" t="s">
        <v>8</v>
      </c>
      <c r="E72" s="5" t="s">
        <v>9</v>
      </c>
      <c r="F72" s="5" t="s">
        <v>10</v>
      </c>
      <c r="G72" s="5" t="s">
        <v>11</v>
      </c>
      <c r="H72" s="5" t="s">
        <v>12</v>
      </c>
    </row>
    <row r="73" spans="1:10" ht="15.75">
      <c r="A73" s="5" t="s">
        <v>18</v>
      </c>
      <c r="B73">
        <v>322</v>
      </c>
      <c r="C73">
        <v>449</v>
      </c>
      <c r="D73" s="8">
        <f>AVERAGE(B73:C73)</f>
        <v>385.5</v>
      </c>
      <c r="E73" s="8">
        <f>AVERAGE(D73,D84)-$D$74</f>
        <v>214.25</v>
      </c>
      <c r="H73" s="8">
        <f>E73*100/$E$73</f>
        <v>100</v>
      </c>
    </row>
    <row r="74" spans="1:10" ht="15.75">
      <c r="A74" s="14" t="s">
        <v>650</v>
      </c>
      <c r="B74">
        <v>183</v>
      </c>
      <c r="C74">
        <v>147</v>
      </c>
      <c r="D74" s="8">
        <f>AVERAGE(C74)</f>
        <v>147</v>
      </c>
      <c r="E74" s="8">
        <f>D74-$D$74</f>
        <v>0</v>
      </c>
      <c r="H74" s="8"/>
    </row>
    <row r="75" spans="1:10" ht="15.75">
      <c r="A75" t="s">
        <v>435</v>
      </c>
      <c r="B75">
        <v>226</v>
      </c>
      <c r="C75">
        <v>153</v>
      </c>
      <c r="D75" s="8">
        <f t="shared" ref="D75:D84" si="25">AVERAGE(B75:C75)</f>
        <v>189.5</v>
      </c>
      <c r="E75" s="8">
        <f t="shared" ref="E75:E84" si="26">D75-$D$74</f>
        <v>42.5</v>
      </c>
      <c r="F75" s="11">
        <v>9.9999999999999995E-8</v>
      </c>
      <c r="G75" s="8">
        <f t="shared" ref="G75:G83" si="27">LOG(F75)</f>
        <v>-7</v>
      </c>
      <c r="H75" s="8">
        <f t="shared" ref="H75:H83" si="28">E75*100/$E$73</f>
        <v>19.836639439906651</v>
      </c>
    </row>
    <row r="76" spans="1:10" ht="15.75">
      <c r="B76">
        <v>232</v>
      </c>
      <c r="C76">
        <v>166</v>
      </c>
      <c r="D76" s="8">
        <f t="shared" si="25"/>
        <v>199</v>
      </c>
      <c r="E76" s="8">
        <f t="shared" si="26"/>
        <v>52</v>
      </c>
      <c r="F76" s="11">
        <f t="shared" ref="F76:F83" si="29">F75*0.3162</f>
        <v>3.1619999999999995E-8</v>
      </c>
      <c r="G76" s="8">
        <f t="shared" si="27"/>
        <v>-7.5000381344038098</v>
      </c>
      <c r="H76" s="8">
        <f t="shared" si="28"/>
        <v>24.27071178529755</v>
      </c>
    </row>
    <row r="77" spans="1:10" ht="15.75">
      <c r="A77"/>
      <c r="B77">
        <v>286</v>
      </c>
      <c r="C77">
        <v>317</v>
      </c>
      <c r="D77" s="8">
        <f t="shared" si="25"/>
        <v>301.5</v>
      </c>
      <c r="E77" s="8">
        <f t="shared" si="26"/>
        <v>154.5</v>
      </c>
      <c r="F77" s="11">
        <f t="shared" si="29"/>
        <v>9.998243999999998E-9</v>
      </c>
      <c r="G77" s="8">
        <f t="shared" si="27"/>
        <v>-8.0000762688076197</v>
      </c>
      <c r="H77" s="8">
        <f t="shared" si="28"/>
        <v>72.112018669778294</v>
      </c>
    </row>
    <row r="78" spans="1:10" ht="15.75">
      <c r="B78">
        <v>361</v>
      </c>
      <c r="C78">
        <v>275</v>
      </c>
      <c r="D78" s="8">
        <f t="shared" si="25"/>
        <v>318</v>
      </c>
      <c r="E78" s="8">
        <f t="shared" si="26"/>
        <v>171</v>
      </c>
      <c r="F78" s="11">
        <f t="shared" si="29"/>
        <v>3.161444752799999E-9</v>
      </c>
      <c r="G78" s="8">
        <f t="shared" si="27"/>
        <v>-8.5001144032114286</v>
      </c>
      <c r="H78" s="8">
        <f t="shared" si="28"/>
        <v>79.813302217036167</v>
      </c>
    </row>
    <row r="79" spans="1:10" ht="15.75">
      <c r="B79">
        <v>310</v>
      </c>
      <c r="C79">
        <v>337</v>
      </c>
      <c r="D79" s="8">
        <f t="shared" si="25"/>
        <v>323.5</v>
      </c>
      <c r="E79" s="8">
        <f t="shared" si="26"/>
        <v>176.5</v>
      </c>
      <c r="F79" s="11">
        <f t="shared" si="29"/>
        <v>9.9964883083535969E-10</v>
      </c>
      <c r="G79" s="8">
        <f t="shared" si="27"/>
        <v>-9.0001525376152394</v>
      </c>
      <c r="H79" s="8">
        <f t="shared" si="28"/>
        <v>82.380396732788796</v>
      </c>
    </row>
    <row r="80" spans="1:10" ht="15.75">
      <c r="B80">
        <v>325</v>
      </c>
      <c r="C80">
        <v>313</v>
      </c>
      <c r="D80" s="8">
        <f t="shared" si="25"/>
        <v>319</v>
      </c>
      <c r="E80" s="8">
        <f t="shared" si="26"/>
        <v>172</v>
      </c>
      <c r="F80" s="11">
        <f t="shared" si="29"/>
        <v>3.1608896031014073E-10</v>
      </c>
      <c r="G80" s="8">
        <f t="shared" si="27"/>
        <v>-9.5001906720190483</v>
      </c>
      <c r="H80" s="8">
        <f t="shared" si="28"/>
        <v>80.280046674445742</v>
      </c>
    </row>
    <row r="81" spans="1:8" ht="15.75">
      <c r="B81">
        <v>339</v>
      </c>
      <c r="C81">
        <v>344</v>
      </c>
      <c r="D81" s="8">
        <f t="shared" si="25"/>
        <v>341.5</v>
      </c>
      <c r="E81" s="8">
        <f t="shared" si="26"/>
        <v>194.5</v>
      </c>
      <c r="F81" s="11">
        <f t="shared" si="29"/>
        <v>9.9947329250066487E-11</v>
      </c>
      <c r="G81" s="8">
        <f t="shared" si="27"/>
        <v>-10.000228806422859</v>
      </c>
      <c r="H81" s="8">
        <f t="shared" si="28"/>
        <v>90.781796966161025</v>
      </c>
    </row>
    <row r="82" spans="1:8" ht="15.75">
      <c r="B82">
        <v>299</v>
      </c>
      <c r="C82">
        <v>346</v>
      </c>
      <c r="D82" s="8">
        <f t="shared" si="25"/>
        <v>322.5</v>
      </c>
      <c r="E82" s="8">
        <f t="shared" si="26"/>
        <v>175.5</v>
      </c>
      <c r="F82" s="11">
        <f t="shared" si="29"/>
        <v>3.1603345508871023E-11</v>
      </c>
      <c r="G82" s="8">
        <f t="shared" si="27"/>
        <v>-10.500266940826668</v>
      </c>
      <c r="H82" s="8">
        <f t="shared" si="28"/>
        <v>81.913652275379235</v>
      </c>
    </row>
    <row r="83" spans="1:8" ht="15.75">
      <c r="B83">
        <v>353</v>
      </c>
      <c r="C83">
        <v>368</v>
      </c>
      <c r="D83" s="8">
        <f t="shared" si="25"/>
        <v>360.5</v>
      </c>
      <c r="E83" s="8">
        <f t="shared" si="26"/>
        <v>213.5</v>
      </c>
      <c r="F83" s="11">
        <f t="shared" si="29"/>
        <v>9.9929778499050173E-12</v>
      </c>
      <c r="G83" s="8">
        <f t="shared" si="27"/>
        <v>-11.000305075230479</v>
      </c>
      <c r="H83" s="8">
        <f t="shared" si="28"/>
        <v>99.649941656942829</v>
      </c>
    </row>
    <row r="84" spans="1:8" ht="15.75">
      <c r="B84">
        <v>302</v>
      </c>
      <c r="C84">
        <v>372</v>
      </c>
      <c r="D84" s="8">
        <f t="shared" si="25"/>
        <v>337</v>
      </c>
      <c r="E84" s="8">
        <f t="shared" si="26"/>
        <v>190</v>
      </c>
      <c r="F84" s="11"/>
      <c r="G84" s="8"/>
      <c r="H84" s="8"/>
    </row>
    <row r="85" spans="1:8" ht="15.75">
      <c r="B85"/>
      <c r="C85"/>
      <c r="D85" s="5" t="s">
        <v>8</v>
      </c>
      <c r="E85" s="5" t="s">
        <v>9</v>
      </c>
      <c r="F85" s="5" t="s">
        <v>10</v>
      </c>
      <c r="G85" s="5" t="s">
        <v>11</v>
      </c>
      <c r="H85" s="5" t="s">
        <v>12</v>
      </c>
    </row>
    <row r="86" spans="1:8" ht="15.75">
      <c r="A86" s="5" t="s">
        <v>19</v>
      </c>
      <c r="B86">
        <v>305</v>
      </c>
      <c r="C86">
        <v>335</v>
      </c>
      <c r="D86" s="8">
        <f>AVERAGE(B86:C86)</f>
        <v>320</v>
      </c>
      <c r="E86" s="8">
        <f>AVERAGE(D86,D97)-$D$87</f>
        <v>196</v>
      </c>
      <c r="H86" s="8">
        <f>E86*100/$E$86</f>
        <v>100</v>
      </c>
    </row>
    <row r="87" spans="1:8" ht="15.75">
      <c r="A87" s="14" t="s">
        <v>651</v>
      </c>
      <c r="B87">
        <v>201</v>
      </c>
      <c r="C87">
        <v>135</v>
      </c>
      <c r="D87" s="8">
        <f>AVERAGE(C87:C88)</f>
        <v>147</v>
      </c>
      <c r="E87" s="8">
        <f t="shared" ref="E87:E96" si="30">D87-$D$87</f>
        <v>0</v>
      </c>
      <c r="H87" s="8"/>
    </row>
    <row r="88" spans="1:8" ht="15.75">
      <c r="A88" t="s">
        <v>653</v>
      </c>
      <c r="B88">
        <v>156</v>
      </c>
      <c r="C88">
        <v>159</v>
      </c>
      <c r="D88" s="8">
        <f t="shared" ref="D88:D97" si="31">AVERAGE(B88:C88)</f>
        <v>157.5</v>
      </c>
      <c r="E88" s="8">
        <f t="shared" si="30"/>
        <v>10.5</v>
      </c>
      <c r="F88" s="11">
        <v>9.9999999999999995E-7</v>
      </c>
      <c r="G88" s="8">
        <f t="shared" ref="G88:G96" si="32">LOG(F88)</f>
        <v>-6</v>
      </c>
      <c r="H88" s="8">
        <f t="shared" ref="H88:H96" si="33">E88*100/$E$86</f>
        <v>5.3571428571428568</v>
      </c>
    </row>
    <row r="89" spans="1:8" ht="15.75">
      <c r="B89">
        <v>188</v>
      </c>
      <c r="C89">
        <v>205</v>
      </c>
      <c r="D89" s="8">
        <f t="shared" si="31"/>
        <v>196.5</v>
      </c>
      <c r="E89" s="8">
        <f t="shared" si="30"/>
        <v>49.5</v>
      </c>
      <c r="F89" s="11">
        <f t="shared" ref="F89:F96" si="34">F88*0.3162</f>
        <v>3.1619999999999999E-7</v>
      </c>
      <c r="G89" s="8">
        <f t="shared" si="32"/>
        <v>-6.5000381344038098</v>
      </c>
      <c r="H89" s="8">
        <f t="shared" si="33"/>
        <v>25.255102040816325</v>
      </c>
    </row>
    <row r="90" spans="1:8" ht="15.75">
      <c r="B90">
        <v>316</v>
      </c>
      <c r="C90">
        <v>289</v>
      </c>
      <c r="D90" s="8">
        <f t="shared" si="31"/>
        <v>302.5</v>
      </c>
      <c r="E90" s="8">
        <f t="shared" si="30"/>
        <v>155.5</v>
      </c>
      <c r="F90" s="11">
        <f t="shared" si="34"/>
        <v>9.9982439999999983E-8</v>
      </c>
      <c r="G90" s="8">
        <f t="shared" si="32"/>
        <v>-7.0000762688076197</v>
      </c>
      <c r="H90" s="8">
        <f t="shared" si="33"/>
        <v>79.336734693877546</v>
      </c>
    </row>
    <row r="91" spans="1:8" ht="15.75">
      <c r="A91"/>
      <c r="B91">
        <v>384</v>
      </c>
      <c r="C91">
        <v>308</v>
      </c>
      <c r="D91" s="8">
        <f t="shared" si="31"/>
        <v>346</v>
      </c>
      <c r="E91" s="8">
        <f t="shared" si="30"/>
        <v>199</v>
      </c>
      <c r="F91" s="11">
        <f t="shared" si="34"/>
        <v>3.1614447527999994E-8</v>
      </c>
      <c r="G91" s="8">
        <f t="shared" si="32"/>
        <v>-7.5001144032114295</v>
      </c>
      <c r="H91" s="8">
        <f t="shared" si="33"/>
        <v>101.53061224489795</v>
      </c>
    </row>
    <row r="92" spans="1:8" ht="15.75">
      <c r="B92">
        <v>383</v>
      </c>
      <c r="C92">
        <v>390</v>
      </c>
      <c r="D92" s="8">
        <f t="shared" si="31"/>
        <v>386.5</v>
      </c>
      <c r="E92" s="8">
        <f t="shared" si="30"/>
        <v>239.5</v>
      </c>
      <c r="F92" s="11">
        <f t="shared" si="34"/>
        <v>9.9964883083535969E-9</v>
      </c>
      <c r="G92" s="8">
        <f t="shared" si="32"/>
        <v>-8.0001525376152394</v>
      </c>
      <c r="H92" s="8">
        <f t="shared" si="33"/>
        <v>122.19387755102041</v>
      </c>
    </row>
    <row r="93" spans="1:8" ht="15.75">
      <c r="B93">
        <v>373</v>
      </c>
      <c r="C93">
        <v>410</v>
      </c>
      <c r="D93" s="8">
        <f t="shared" si="31"/>
        <v>391.5</v>
      </c>
      <c r="E93" s="8">
        <f t="shared" si="30"/>
        <v>244.5</v>
      </c>
      <c r="F93" s="11">
        <f t="shared" si="34"/>
        <v>3.1608896031014071E-9</v>
      </c>
      <c r="G93" s="8">
        <f t="shared" si="32"/>
        <v>-8.5001906720190483</v>
      </c>
      <c r="H93" s="8">
        <f t="shared" si="33"/>
        <v>124.74489795918367</v>
      </c>
    </row>
    <row r="94" spans="1:8" ht="15.75">
      <c r="B94">
        <v>725</v>
      </c>
      <c r="C94">
        <v>416</v>
      </c>
      <c r="D94" s="8">
        <f t="shared" si="31"/>
        <v>570.5</v>
      </c>
      <c r="E94" s="8">
        <f t="shared" si="30"/>
        <v>423.5</v>
      </c>
      <c r="F94" s="11">
        <f t="shared" si="34"/>
        <v>9.9947329250066484E-10</v>
      </c>
      <c r="G94" s="8">
        <f t="shared" si="32"/>
        <v>-9.0002288064228591</v>
      </c>
      <c r="H94" s="8">
        <f t="shared" si="33"/>
        <v>216.07142857142858</v>
      </c>
    </row>
    <row r="95" spans="1:8" ht="15.75">
      <c r="B95">
        <v>327</v>
      </c>
      <c r="C95">
        <v>366</v>
      </c>
      <c r="D95" s="8">
        <f t="shared" si="31"/>
        <v>346.5</v>
      </c>
      <c r="E95" s="8">
        <f t="shared" si="30"/>
        <v>199.5</v>
      </c>
      <c r="F95" s="11">
        <f t="shared" si="34"/>
        <v>3.1603345508871019E-10</v>
      </c>
      <c r="G95" s="8">
        <f t="shared" si="32"/>
        <v>-9.500266940826668</v>
      </c>
      <c r="H95" s="8">
        <f t="shared" si="33"/>
        <v>101.78571428571429</v>
      </c>
    </row>
    <row r="96" spans="1:8" ht="15.75">
      <c r="B96">
        <v>371</v>
      </c>
      <c r="C96">
        <v>380</v>
      </c>
      <c r="D96" s="8">
        <f t="shared" si="31"/>
        <v>375.5</v>
      </c>
      <c r="E96" s="8">
        <f t="shared" si="30"/>
        <v>228.5</v>
      </c>
      <c r="F96" s="11">
        <f t="shared" si="34"/>
        <v>9.992977849905016E-11</v>
      </c>
      <c r="G96" s="8">
        <f t="shared" si="32"/>
        <v>-10.000305075230479</v>
      </c>
      <c r="H96" s="8">
        <f t="shared" si="33"/>
        <v>116.58163265306122</v>
      </c>
    </row>
    <row r="97" spans="1:8" ht="15.75">
      <c r="B97">
        <v>363</v>
      </c>
      <c r="C97">
        <v>369</v>
      </c>
      <c r="D97" s="8">
        <f t="shared" si="31"/>
        <v>366</v>
      </c>
      <c r="E97" s="8"/>
      <c r="F97" s="11"/>
      <c r="G97" s="8"/>
      <c r="H97" s="8"/>
    </row>
    <row r="98" spans="1:8" ht="15.75">
      <c r="B98"/>
      <c r="C98"/>
      <c r="D98" s="5" t="s">
        <v>8</v>
      </c>
      <c r="E98" s="5" t="s">
        <v>9</v>
      </c>
      <c r="F98" s="5" t="s">
        <v>10</v>
      </c>
      <c r="G98" s="5" t="s">
        <v>11</v>
      </c>
      <c r="H98" s="5" t="s">
        <v>12</v>
      </c>
    </row>
    <row r="99" spans="1:8" ht="15.75">
      <c r="A99" s="5" t="s">
        <v>20</v>
      </c>
      <c r="B99">
        <v>387</v>
      </c>
      <c r="C99">
        <v>281</v>
      </c>
      <c r="D99" s="8">
        <f>AVERAGE(B99:C99)</f>
        <v>334</v>
      </c>
      <c r="E99" s="8">
        <f>AVERAGE(D99,D110)-$D$100</f>
        <v>189</v>
      </c>
      <c r="H99" s="8">
        <f>E99*100/$E$99</f>
        <v>100</v>
      </c>
    </row>
    <row r="100" spans="1:8" ht="15.75">
      <c r="A100" s="14" t="s">
        <v>654</v>
      </c>
      <c r="B100">
        <v>144</v>
      </c>
      <c r="C100">
        <v>208</v>
      </c>
      <c r="D100" s="8">
        <f>AVERAGE(B100:C100)</f>
        <v>176</v>
      </c>
      <c r="E100" s="8">
        <f t="shared" ref="E100:E109" si="35">D100-$D$100</f>
        <v>0</v>
      </c>
      <c r="H100" s="8"/>
    </row>
    <row r="101" spans="1:8" ht="15.75">
      <c r="A101" s="5" t="s">
        <v>435</v>
      </c>
      <c r="B101">
        <v>165</v>
      </c>
      <c r="C101">
        <v>166</v>
      </c>
      <c r="D101" s="8">
        <f t="shared" ref="D101:D110" si="36">AVERAGE(B101:C101)</f>
        <v>165.5</v>
      </c>
      <c r="E101" s="8">
        <f t="shared" si="35"/>
        <v>-10.5</v>
      </c>
      <c r="F101" s="11">
        <v>1.0000000000000001E-5</v>
      </c>
      <c r="G101" s="8">
        <f t="shared" ref="G101:G109" si="37">LOG(F101)</f>
        <v>-5</v>
      </c>
      <c r="H101" s="8">
        <f t="shared" ref="H101:H109" si="38">E101*100/$E$99</f>
        <v>-5.5555555555555554</v>
      </c>
    </row>
    <row r="102" spans="1:8" ht="15.75">
      <c r="A102"/>
      <c r="B102">
        <v>204</v>
      </c>
      <c r="C102">
        <v>264</v>
      </c>
      <c r="D102" s="8">
        <f t="shared" si="36"/>
        <v>234</v>
      </c>
      <c r="E102" s="8">
        <f t="shared" si="35"/>
        <v>58</v>
      </c>
      <c r="F102" s="11">
        <f t="shared" ref="F102:F109" si="39">F101*0.3162</f>
        <v>3.162E-6</v>
      </c>
      <c r="G102" s="8">
        <f t="shared" si="37"/>
        <v>-5.5000381344038098</v>
      </c>
      <c r="H102" s="8">
        <f t="shared" si="38"/>
        <v>30.687830687830687</v>
      </c>
    </row>
    <row r="103" spans="1:8" ht="15.75">
      <c r="B103">
        <v>288</v>
      </c>
      <c r="C103">
        <v>299</v>
      </c>
      <c r="D103" s="8">
        <f t="shared" si="36"/>
        <v>293.5</v>
      </c>
      <c r="E103" s="8">
        <f t="shared" si="35"/>
        <v>117.5</v>
      </c>
      <c r="F103" s="11">
        <f t="shared" si="39"/>
        <v>9.9982439999999994E-7</v>
      </c>
      <c r="G103" s="8">
        <f t="shared" si="37"/>
        <v>-6.0000762688076197</v>
      </c>
      <c r="H103" s="8">
        <f t="shared" si="38"/>
        <v>62.169312169312171</v>
      </c>
    </row>
    <row r="104" spans="1:8" ht="15.75">
      <c r="B104">
        <v>366</v>
      </c>
      <c r="C104">
        <v>467</v>
      </c>
      <c r="D104" s="8">
        <f t="shared" si="36"/>
        <v>416.5</v>
      </c>
      <c r="E104" s="8">
        <f t="shared" si="35"/>
        <v>240.5</v>
      </c>
      <c r="F104" s="11">
        <f t="shared" si="39"/>
        <v>3.1614447527999998E-7</v>
      </c>
      <c r="G104" s="8">
        <f t="shared" si="37"/>
        <v>-6.5001144032114295</v>
      </c>
      <c r="H104" s="8">
        <f t="shared" si="38"/>
        <v>127.24867724867725</v>
      </c>
    </row>
    <row r="105" spans="1:8" ht="15.75">
      <c r="A105"/>
      <c r="B105">
        <v>369</v>
      </c>
      <c r="C105">
        <v>413</v>
      </c>
      <c r="D105" s="8">
        <f t="shared" si="36"/>
        <v>391</v>
      </c>
      <c r="E105" s="8">
        <f t="shared" si="35"/>
        <v>215</v>
      </c>
      <c r="F105" s="11">
        <f t="shared" si="39"/>
        <v>9.9964883083535985E-8</v>
      </c>
      <c r="G105" s="8">
        <f t="shared" si="37"/>
        <v>-7.0001525376152394</v>
      </c>
      <c r="H105" s="8">
        <f t="shared" si="38"/>
        <v>113.75661375661376</v>
      </c>
    </row>
    <row r="106" spans="1:8" ht="15.75">
      <c r="A106"/>
      <c r="B106">
        <v>445</v>
      </c>
      <c r="C106">
        <v>548</v>
      </c>
      <c r="D106" s="8">
        <f t="shared" si="36"/>
        <v>496.5</v>
      </c>
      <c r="E106" s="8">
        <f t="shared" si="35"/>
        <v>320.5</v>
      </c>
      <c r="F106" s="11">
        <f t="shared" si="39"/>
        <v>3.1608896031014074E-8</v>
      </c>
      <c r="G106" s="8">
        <f t="shared" si="37"/>
        <v>-7.5001906720190492</v>
      </c>
      <c r="H106" s="8">
        <f t="shared" si="38"/>
        <v>169.57671957671957</v>
      </c>
    </row>
    <row r="107" spans="1:8" ht="15.75">
      <c r="B107">
        <v>385</v>
      </c>
      <c r="C107">
        <v>493</v>
      </c>
      <c r="D107" s="8">
        <f t="shared" si="36"/>
        <v>439</v>
      </c>
      <c r="E107" s="8">
        <f t="shared" si="35"/>
        <v>263</v>
      </c>
      <c r="F107" s="11">
        <f t="shared" si="39"/>
        <v>9.9947329250066497E-9</v>
      </c>
      <c r="G107" s="8">
        <f t="shared" si="37"/>
        <v>-8.0002288064228591</v>
      </c>
      <c r="H107" s="8">
        <f t="shared" si="38"/>
        <v>139.15343915343917</v>
      </c>
    </row>
    <row r="108" spans="1:8" ht="15.75">
      <c r="B108">
        <v>363</v>
      </c>
      <c r="C108">
        <v>474</v>
      </c>
      <c r="D108" s="8">
        <f t="shared" si="36"/>
        <v>418.5</v>
      </c>
      <c r="E108" s="8">
        <f t="shared" si="35"/>
        <v>242.5</v>
      </c>
      <c r="F108" s="11">
        <f t="shared" si="39"/>
        <v>3.1603345508871026E-9</v>
      </c>
      <c r="G108" s="8">
        <f t="shared" si="37"/>
        <v>-8.500266940826668</v>
      </c>
      <c r="H108" s="8">
        <f t="shared" si="38"/>
        <v>128.3068783068783</v>
      </c>
    </row>
    <row r="109" spans="1:8" ht="15.75">
      <c r="B109">
        <v>327</v>
      </c>
      <c r="C109">
        <v>377</v>
      </c>
      <c r="D109" s="8">
        <f t="shared" si="36"/>
        <v>352</v>
      </c>
      <c r="E109" s="8">
        <f t="shared" si="35"/>
        <v>176</v>
      </c>
      <c r="F109" s="11">
        <f t="shared" si="39"/>
        <v>9.992977849905017E-10</v>
      </c>
      <c r="G109" s="8">
        <f t="shared" si="37"/>
        <v>-9.0003050752304787</v>
      </c>
      <c r="H109" s="8">
        <f t="shared" si="38"/>
        <v>93.121693121693127</v>
      </c>
    </row>
    <row r="110" spans="1:8" ht="15.75">
      <c r="A110"/>
      <c r="B110">
        <v>388</v>
      </c>
      <c r="C110">
        <v>404</v>
      </c>
      <c r="D110" s="8">
        <f t="shared" si="36"/>
        <v>396</v>
      </c>
      <c r="E110" s="8"/>
      <c r="F110" s="11"/>
      <c r="G110" s="8"/>
      <c r="H110" s="8"/>
    </row>
    <row r="111" spans="1:8" ht="15.75" customHeight="1">
      <c r="B111"/>
      <c r="C111"/>
    </row>
    <row r="112" spans="1:8" ht="15.75" customHeight="1">
      <c r="D112" s="8"/>
      <c r="E112" s="8"/>
      <c r="H112" s="8"/>
    </row>
    <row r="113" spans="1:8" ht="15.75" customHeight="1">
      <c r="D113" s="8"/>
      <c r="E113" s="8"/>
      <c r="H113" s="8"/>
    </row>
    <row r="114" spans="1:8" ht="15.75" customHeight="1">
      <c r="A114"/>
      <c r="D114" s="8"/>
      <c r="E114" s="8"/>
      <c r="F114" s="11"/>
      <c r="G114" s="8"/>
      <c r="H114" s="8"/>
    </row>
    <row r="115" spans="1:8" ht="15.75" customHeight="1">
      <c r="D115" s="8"/>
      <c r="E115" s="8"/>
      <c r="F115" s="11"/>
      <c r="G115" s="8"/>
      <c r="H115" s="8"/>
    </row>
    <row r="116" spans="1:8" ht="15.75" customHeight="1">
      <c r="D116" s="8"/>
      <c r="E116" s="8"/>
      <c r="F116" s="11"/>
      <c r="G116" s="8"/>
      <c r="H116" s="8"/>
    </row>
    <row r="117" spans="1:8" ht="15.75" customHeight="1">
      <c r="D117" s="8"/>
      <c r="E117" s="8"/>
      <c r="F117" s="11"/>
      <c r="G117" s="8"/>
      <c r="H117" s="8"/>
    </row>
    <row r="118" spans="1:8" ht="15.75" customHeight="1">
      <c r="D118" s="8"/>
      <c r="E118" s="8"/>
      <c r="F118" s="11"/>
      <c r="G118" s="8"/>
      <c r="H118" s="8"/>
    </row>
    <row r="119" spans="1:8" ht="15.75" customHeight="1">
      <c r="D119" s="8"/>
      <c r="E119" s="8"/>
      <c r="F119" s="11"/>
      <c r="G119" s="8"/>
      <c r="H119" s="8"/>
    </row>
    <row r="120" spans="1:8" ht="15.75" customHeight="1">
      <c r="D120" s="8"/>
      <c r="E120" s="8"/>
      <c r="F120" s="11"/>
      <c r="G120" s="8"/>
      <c r="H120" s="8"/>
    </row>
    <row r="121" spans="1:8" ht="15.75" customHeight="1">
      <c r="D121" s="8"/>
      <c r="E121" s="8"/>
      <c r="F121" s="11"/>
      <c r="G121" s="8"/>
      <c r="H121" s="8"/>
    </row>
    <row r="122" spans="1:8" ht="15.75" customHeight="1">
      <c r="D122" s="8"/>
      <c r="E122" s="8"/>
      <c r="F122" s="11"/>
      <c r="G122" s="8"/>
      <c r="H122" s="8"/>
    </row>
    <row r="123" spans="1:8" ht="15.75" customHeight="1">
      <c r="D123" s="8"/>
      <c r="E123" s="8"/>
      <c r="F123" s="11"/>
      <c r="G123" s="8"/>
      <c r="H123" s="8"/>
    </row>
    <row r="124" spans="1:8" ht="15.75" customHeight="1"/>
    <row r="125" spans="1:8" ht="15.75" customHeight="1">
      <c r="D125" s="8"/>
      <c r="E125" s="8"/>
      <c r="H125" s="8"/>
    </row>
    <row r="126" spans="1:8" ht="15.75" customHeight="1">
      <c r="D126" s="8"/>
      <c r="E126" s="8"/>
      <c r="H126" s="8"/>
    </row>
    <row r="127" spans="1:8" ht="15.75" customHeight="1">
      <c r="A127"/>
      <c r="D127" s="8"/>
      <c r="E127" s="8"/>
      <c r="F127" s="11"/>
      <c r="G127" s="8"/>
      <c r="H127" s="8"/>
    </row>
    <row r="128" spans="1:8" ht="15.75" customHeight="1">
      <c r="D128" s="8"/>
      <c r="E128" s="8"/>
      <c r="F128" s="11"/>
      <c r="G128" s="8"/>
      <c r="H128" s="8"/>
    </row>
    <row r="129" spans="1:8" ht="15.75" customHeight="1">
      <c r="D129" s="8"/>
      <c r="E129" s="8"/>
      <c r="F129" s="11"/>
      <c r="G129" s="8"/>
      <c r="H129" s="8"/>
    </row>
    <row r="130" spans="1:8" ht="15.75" customHeight="1">
      <c r="D130" s="8"/>
      <c r="E130" s="8"/>
      <c r="F130" s="11"/>
      <c r="G130" s="8"/>
      <c r="H130" s="8"/>
    </row>
    <row r="131" spans="1:8" ht="15.75" customHeight="1">
      <c r="D131" s="8"/>
      <c r="E131" s="8"/>
      <c r="F131" s="11"/>
      <c r="G131" s="8"/>
      <c r="H131" s="8"/>
    </row>
    <row r="132" spans="1:8" ht="15.75" customHeight="1">
      <c r="D132" s="8"/>
      <c r="E132" s="8"/>
      <c r="F132" s="11"/>
      <c r="G132" s="8"/>
      <c r="H132" s="8"/>
    </row>
    <row r="133" spans="1:8" ht="15.75" customHeight="1">
      <c r="D133" s="8"/>
      <c r="E133" s="8"/>
      <c r="F133" s="11"/>
      <c r="G133" s="8"/>
      <c r="H133" s="8"/>
    </row>
    <row r="134" spans="1:8" ht="15.75" customHeight="1">
      <c r="D134" s="8"/>
      <c r="E134" s="8"/>
      <c r="F134" s="11"/>
      <c r="G134" s="8"/>
      <c r="H134" s="8"/>
    </row>
    <row r="135" spans="1:8" ht="15.75" customHeight="1">
      <c r="D135" s="8"/>
      <c r="E135" s="8"/>
      <c r="F135" s="11"/>
      <c r="G135" s="8"/>
      <c r="H135" s="8"/>
    </row>
    <row r="136" spans="1:8" ht="15.75" customHeight="1">
      <c r="D136" s="8"/>
      <c r="E136" s="8"/>
      <c r="F136" s="11"/>
      <c r="G136" s="8"/>
      <c r="H136" s="8"/>
    </row>
    <row r="137" spans="1:8" ht="15.75" customHeight="1"/>
    <row r="138" spans="1:8" ht="15.75" customHeight="1">
      <c r="D138" s="8"/>
      <c r="E138" s="8"/>
      <c r="H138" s="8"/>
    </row>
    <row r="139" spans="1:8" ht="15.75" customHeight="1">
      <c r="D139" s="8"/>
      <c r="E139" s="8"/>
      <c r="H139" s="8"/>
    </row>
    <row r="140" spans="1:8" ht="15.75" customHeight="1">
      <c r="A140"/>
      <c r="D140" s="8"/>
      <c r="E140" s="8"/>
      <c r="F140" s="11"/>
      <c r="G140" s="8"/>
      <c r="H140" s="8"/>
    </row>
    <row r="141" spans="1:8" ht="15.75" customHeight="1">
      <c r="D141" s="8"/>
      <c r="E141" s="8"/>
      <c r="F141" s="11"/>
      <c r="G141" s="8"/>
      <c r="H141" s="8"/>
    </row>
    <row r="142" spans="1:8" ht="15.75" customHeight="1">
      <c r="D142" s="8"/>
      <c r="E142" s="8"/>
      <c r="F142" s="11"/>
      <c r="G142" s="8"/>
      <c r="H142" s="8"/>
    </row>
    <row r="143" spans="1:8" ht="15.75" customHeight="1">
      <c r="A143"/>
      <c r="D143" s="8"/>
      <c r="E143" s="8"/>
      <c r="F143" s="11"/>
      <c r="G143" s="8"/>
      <c r="H143" s="8"/>
    </row>
    <row r="144" spans="1:8" ht="15.75" customHeight="1">
      <c r="D144" s="8"/>
      <c r="E144" s="8"/>
      <c r="F144" s="11"/>
      <c r="G144" s="8"/>
      <c r="H144" s="8"/>
    </row>
    <row r="145" spans="4:8" ht="15.75" customHeight="1">
      <c r="D145" s="8"/>
      <c r="E145" s="8"/>
      <c r="F145" s="11"/>
      <c r="G145" s="8"/>
      <c r="H145" s="8"/>
    </row>
    <row r="146" spans="4:8" ht="15.75" customHeight="1">
      <c r="D146" s="8"/>
      <c r="E146" s="8"/>
      <c r="F146" s="11"/>
      <c r="G146" s="8"/>
      <c r="H146" s="8"/>
    </row>
    <row r="147" spans="4:8" ht="15.75" customHeight="1">
      <c r="D147" s="8"/>
      <c r="E147" s="8"/>
      <c r="F147" s="11"/>
      <c r="G147" s="8"/>
      <c r="H147" s="8"/>
    </row>
    <row r="148" spans="4:8" ht="15.75" customHeight="1">
      <c r="D148" s="8"/>
      <c r="E148" s="8"/>
      <c r="F148" s="11"/>
      <c r="G148" s="8"/>
      <c r="H148" s="8"/>
    </row>
    <row r="149" spans="4:8" ht="15.75" customHeight="1">
      <c r="D149" s="8"/>
      <c r="E149" s="8"/>
      <c r="F149" s="11"/>
      <c r="G149" s="8"/>
      <c r="H149" s="8"/>
    </row>
    <row r="150" spans="4:8" ht="15.75" customHeight="1"/>
    <row r="151" spans="4:8" ht="15.75" customHeight="1">
      <c r="D151" s="8"/>
      <c r="E151" s="8"/>
      <c r="H151" s="8"/>
    </row>
    <row r="152" spans="4:8" ht="15.75" customHeight="1">
      <c r="D152" s="8"/>
      <c r="E152" s="8"/>
      <c r="H152" s="8"/>
    </row>
    <row r="153" spans="4:8" ht="15.75" customHeight="1">
      <c r="D153" s="8"/>
      <c r="E153" s="8"/>
      <c r="F153" s="11"/>
      <c r="G153" s="8"/>
      <c r="H153" s="8"/>
    </row>
    <row r="154" spans="4:8" ht="15.75" customHeight="1">
      <c r="D154" s="8"/>
      <c r="E154" s="8"/>
      <c r="F154" s="11"/>
      <c r="G154" s="8"/>
      <c r="H154" s="8"/>
    </row>
    <row r="155" spans="4:8" ht="15.75" customHeight="1">
      <c r="D155" s="8"/>
      <c r="E155" s="8"/>
      <c r="F155" s="11"/>
      <c r="G155" s="8"/>
      <c r="H155" s="8"/>
    </row>
    <row r="156" spans="4:8" ht="15.75" customHeight="1">
      <c r="D156" s="8"/>
      <c r="E156" s="8"/>
      <c r="F156" s="11"/>
      <c r="G156" s="8"/>
      <c r="H156" s="8"/>
    </row>
    <row r="157" spans="4:8" ht="15.75" customHeight="1">
      <c r="D157" s="8"/>
      <c r="E157" s="8"/>
      <c r="F157" s="11"/>
      <c r="G157" s="8"/>
      <c r="H157" s="8"/>
    </row>
    <row r="158" spans="4:8" ht="15.75" customHeight="1">
      <c r="D158" s="8"/>
      <c r="E158" s="8"/>
      <c r="F158" s="11"/>
      <c r="G158" s="8"/>
      <c r="H158" s="8"/>
    </row>
    <row r="159" spans="4:8" ht="15.75" customHeight="1">
      <c r="D159" s="8"/>
      <c r="E159" s="8"/>
      <c r="F159" s="11"/>
      <c r="G159" s="8"/>
      <c r="H159" s="8"/>
    </row>
    <row r="160" spans="4:8" ht="15.75" customHeight="1">
      <c r="D160" s="8"/>
      <c r="E160" s="8"/>
      <c r="F160" s="11"/>
      <c r="G160" s="8"/>
      <c r="H160" s="8"/>
    </row>
    <row r="161" spans="1:8" ht="15.75" customHeight="1">
      <c r="D161" s="8"/>
      <c r="E161" s="8"/>
      <c r="F161" s="11"/>
      <c r="G161" s="8"/>
      <c r="H161" s="8"/>
    </row>
    <row r="162" spans="1:8" ht="15.75" customHeight="1">
      <c r="A162"/>
      <c r="D162" s="8"/>
      <c r="E162" s="8"/>
      <c r="F162" s="11"/>
      <c r="G162" s="8"/>
      <c r="H162" s="8"/>
    </row>
    <row r="163" spans="1:8" ht="15.75" customHeight="1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B6CC-AF40-43D4-8811-0226AF27F1B6}">
  <dimension ref="A1:M214"/>
  <sheetViews>
    <sheetView zoomScale="112" zoomScaleNormal="112" workbookViewId="0">
      <selection activeCell="B8" sqref="B8:C110"/>
    </sheetView>
  </sheetViews>
  <sheetFormatPr defaultColWidth="11" defaultRowHeight="12.75"/>
  <cols>
    <col min="1" max="1" width="28.5" style="5" customWidth="1"/>
    <col min="2" max="2" width="10.125" style="5" bestFit="1" customWidth="1"/>
    <col min="3" max="5" width="8.875" style="5" customWidth="1"/>
    <col min="6" max="6" width="8" style="5" customWidth="1"/>
    <col min="7" max="7" width="7.375" style="5" customWidth="1"/>
    <col min="8" max="256" width="8.875" style="5" customWidth="1"/>
    <col min="257" max="257" width="12.875" style="5" customWidth="1"/>
    <col min="258" max="258" width="10.125" style="5" bestFit="1" customWidth="1"/>
    <col min="259" max="512" width="8.875" style="5" customWidth="1"/>
    <col min="513" max="513" width="12.875" style="5" customWidth="1"/>
    <col min="514" max="514" width="10.125" style="5" bestFit="1" customWidth="1"/>
    <col min="515" max="768" width="8.875" style="5" customWidth="1"/>
    <col min="769" max="769" width="12.875" style="5" customWidth="1"/>
    <col min="770" max="770" width="10.125" style="5" bestFit="1" customWidth="1"/>
    <col min="771" max="1024" width="8.875" style="5" customWidth="1"/>
    <col min="1025" max="1025" width="12.875" style="5" customWidth="1"/>
    <col min="1026" max="1026" width="10.125" style="5" bestFit="1" customWidth="1"/>
    <col min="1027" max="1280" width="8.875" style="5" customWidth="1"/>
    <col min="1281" max="1281" width="12.875" style="5" customWidth="1"/>
    <col min="1282" max="1282" width="10.125" style="5" bestFit="1" customWidth="1"/>
    <col min="1283" max="1536" width="8.875" style="5" customWidth="1"/>
    <col min="1537" max="1537" width="12.875" style="5" customWidth="1"/>
    <col min="1538" max="1538" width="10.125" style="5" bestFit="1" customWidth="1"/>
    <col min="1539" max="1792" width="8.875" style="5" customWidth="1"/>
    <col min="1793" max="1793" width="12.875" style="5" customWidth="1"/>
    <col min="1794" max="1794" width="10.125" style="5" bestFit="1" customWidth="1"/>
    <col min="1795" max="2048" width="8.875" style="5" customWidth="1"/>
    <col min="2049" max="2049" width="12.875" style="5" customWidth="1"/>
    <col min="2050" max="2050" width="10.125" style="5" bestFit="1" customWidth="1"/>
    <col min="2051" max="2304" width="8.875" style="5" customWidth="1"/>
    <col min="2305" max="2305" width="12.875" style="5" customWidth="1"/>
    <col min="2306" max="2306" width="10.125" style="5" bestFit="1" customWidth="1"/>
    <col min="2307" max="2560" width="8.875" style="5" customWidth="1"/>
    <col min="2561" max="2561" width="12.875" style="5" customWidth="1"/>
    <col min="2562" max="2562" width="10.125" style="5" bestFit="1" customWidth="1"/>
    <col min="2563" max="2816" width="8.875" style="5" customWidth="1"/>
    <col min="2817" max="2817" width="12.875" style="5" customWidth="1"/>
    <col min="2818" max="2818" width="10.125" style="5" bestFit="1" customWidth="1"/>
    <col min="2819" max="3072" width="8.875" style="5" customWidth="1"/>
    <col min="3073" max="3073" width="12.875" style="5" customWidth="1"/>
    <col min="3074" max="3074" width="10.125" style="5" bestFit="1" customWidth="1"/>
    <col min="3075" max="3328" width="8.875" style="5" customWidth="1"/>
    <col min="3329" max="3329" width="12.875" style="5" customWidth="1"/>
    <col min="3330" max="3330" width="10.125" style="5" bestFit="1" customWidth="1"/>
    <col min="3331" max="3584" width="8.875" style="5" customWidth="1"/>
    <col min="3585" max="3585" width="12.875" style="5" customWidth="1"/>
    <col min="3586" max="3586" width="10.125" style="5" bestFit="1" customWidth="1"/>
    <col min="3587" max="3840" width="8.875" style="5" customWidth="1"/>
    <col min="3841" max="3841" width="12.875" style="5" customWidth="1"/>
    <col min="3842" max="3842" width="10.125" style="5" bestFit="1" customWidth="1"/>
    <col min="3843" max="4096" width="8.875" style="5" customWidth="1"/>
    <col min="4097" max="4097" width="12.875" style="5" customWidth="1"/>
    <col min="4098" max="4098" width="10.125" style="5" bestFit="1" customWidth="1"/>
    <col min="4099" max="4352" width="8.875" style="5" customWidth="1"/>
    <col min="4353" max="4353" width="12.875" style="5" customWidth="1"/>
    <col min="4354" max="4354" width="10.125" style="5" bestFit="1" customWidth="1"/>
    <col min="4355" max="4608" width="8.875" style="5" customWidth="1"/>
    <col min="4609" max="4609" width="12.875" style="5" customWidth="1"/>
    <col min="4610" max="4610" width="10.125" style="5" bestFit="1" customWidth="1"/>
    <col min="4611" max="4864" width="8.875" style="5" customWidth="1"/>
    <col min="4865" max="4865" width="12.875" style="5" customWidth="1"/>
    <col min="4866" max="4866" width="10.125" style="5" bestFit="1" customWidth="1"/>
    <col min="4867" max="5120" width="8.875" style="5" customWidth="1"/>
    <col min="5121" max="5121" width="12.875" style="5" customWidth="1"/>
    <col min="5122" max="5122" width="10.125" style="5" bestFit="1" customWidth="1"/>
    <col min="5123" max="5376" width="8.875" style="5" customWidth="1"/>
    <col min="5377" max="5377" width="12.875" style="5" customWidth="1"/>
    <col min="5378" max="5378" width="10.125" style="5" bestFit="1" customWidth="1"/>
    <col min="5379" max="5632" width="8.875" style="5" customWidth="1"/>
    <col min="5633" max="5633" width="12.875" style="5" customWidth="1"/>
    <col min="5634" max="5634" width="10.125" style="5" bestFit="1" customWidth="1"/>
    <col min="5635" max="5888" width="8.875" style="5" customWidth="1"/>
    <col min="5889" max="5889" width="12.875" style="5" customWidth="1"/>
    <col min="5890" max="5890" width="10.125" style="5" bestFit="1" customWidth="1"/>
    <col min="5891" max="6144" width="8.875" style="5" customWidth="1"/>
    <col min="6145" max="6145" width="12.875" style="5" customWidth="1"/>
    <col min="6146" max="6146" width="10.125" style="5" bestFit="1" customWidth="1"/>
    <col min="6147" max="6400" width="8.875" style="5" customWidth="1"/>
    <col min="6401" max="6401" width="12.875" style="5" customWidth="1"/>
    <col min="6402" max="6402" width="10.125" style="5" bestFit="1" customWidth="1"/>
    <col min="6403" max="6656" width="8.875" style="5" customWidth="1"/>
    <col min="6657" max="6657" width="12.875" style="5" customWidth="1"/>
    <col min="6658" max="6658" width="10.125" style="5" bestFit="1" customWidth="1"/>
    <col min="6659" max="6912" width="8.875" style="5" customWidth="1"/>
    <col min="6913" max="6913" width="12.875" style="5" customWidth="1"/>
    <col min="6914" max="6914" width="10.125" style="5" bestFit="1" customWidth="1"/>
    <col min="6915" max="7168" width="8.875" style="5" customWidth="1"/>
    <col min="7169" max="7169" width="12.875" style="5" customWidth="1"/>
    <col min="7170" max="7170" width="10.125" style="5" bestFit="1" customWidth="1"/>
    <col min="7171" max="7424" width="8.875" style="5" customWidth="1"/>
    <col min="7425" max="7425" width="12.875" style="5" customWidth="1"/>
    <col min="7426" max="7426" width="10.125" style="5" bestFit="1" customWidth="1"/>
    <col min="7427" max="7680" width="8.875" style="5" customWidth="1"/>
    <col min="7681" max="7681" width="12.875" style="5" customWidth="1"/>
    <col min="7682" max="7682" width="10.125" style="5" bestFit="1" customWidth="1"/>
    <col min="7683" max="7936" width="8.875" style="5" customWidth="1"/>
    <col min="7937" max="7937" width="12.875" style="5" customWidth="1"/>
    <col min="7938" max="7938" width="10.125" style="5" bestFit="1" customWidth="1"/>
    <col min="7939" max="8192" width="8.875" style="5" customWidth="1"/>
    <col min="8193" max="8193" width="12.875" style="5" customWidth="1"/>
    <col min="8194" max="8194" width="10.125" style="5" bestFit="1" customWidth="1"/>
    <col min="8195" max="8448" width="8.875" style="5" customWidth="1"/>
    <col min="8449" max="8449" width="12.875" style="5" customWidth="1"/>
    <col min="8450" max="8450" width="10.125" style="5" bestFit="1" customWidth="1"/>
    <col min="8451" max="8704" width="8.875" style="5" customWidth="1"/>
    <col min="8705" max="8705" width="12.875" style="5" customWidth="1"/>
    <col min="8706" max="8706" width="10.125" style="5" bestFit="1" customWidth="1"/>
    <col min="8707" max="8960" width="8.875" style="5" customWidth="1"/>
    <col min="8961" max="8961" width="12.875" style="5" customWidth="1"/>
    <col min="8962" max="8962" width="10.125" style="5" bestFit="1" customWidth="1"/>
    <col min="8963" max="9216" width="8.875" style="5" customWidth="1"/>
    <col min="9217" max="9217" width="12.875" style="5" customWidth="1"/>
    <col min="9218" max="9218" width="10.125" style="5" bestFit="1" customWidth="1"/>
    <col min="9219" max="9472" width="8.875" style="5" customWidth="1"/>
    <col min="9473" max="9473" width="12.875" style="5" customWidth="1"/>
    <col min="9474" max="9474" width="10.125" style="5" bestFit="1" customWidth="1"/>
    <col min="9475" max="9728" width="8.875" style="5" customWidth="1"/>
    <col min="9729" max="9729" width="12.875" style="5" customWidth="1"/>
    <col min="9730" max="9730" width="10.125" style="5" bestFit="1" customWidth="1"/>
    <col min="9731" max="9984" width="8.875" style="5" customWidth="1"/>
    <col min="9985" max="9985" width="12.875" style="5" customWidth="1"/>
    <col min="9986" max="9986" width="10.125" style="5" bestFit="1" customWidth="1"/>
    <col min="9987" max="10240" width="8.875" style="5" customWidth="1"/>
    <col min="10241" max="10241" width="12.875" style="5" customWidth="1"/>
    <col min="10242" max="10242" width="10.125" style="5" bestFit="1" customWidth="1"/>
    <col min="10243" max="10496" width="8.875" style="5" customWidth="1"/>
    <col min="10497" max="10497" width="12.875" style="5" customWidth="1"/>
    <col min="10498" max="10498" width="10.125" style="5" bestFit="1" customWidth="1"/>
    <col min="10499" max="10752" width="8.875" style="5" customWidth="1"/>
    <col min="10753" max="10753" width="12.875" style="5" customWidth="1"/>
    <col min="10754" max="10754" width="10.125" style="5" bestFit="1" customWidth="1"/>
    <col min="10755" max="11008" width="8.875" style="5" customWidth="1"/>
    <col min="11009" max="11009" width="12.875" style="5" customWidth="1"/>
    <col min="11010" max="11010" width="10.125" style="5" bestFit="1" customWidth="1"/>
    <col min="11011" max="11264" width="8.875" style="5" customWidth="1"/>
    <col min="11265" max="11265" width="12.875" style="5" customWidth="1"/>
    <col min="11266" max="11266" width="10.125" style="5" bestFit="1" customWidth="1"/>
    <col min="11267" max="11520" width="8.875" style="5" customWidth="1"/>
    <col min="11521" max="11521" width="12.875" style="5" customWidth="1"/>
    <col min="11522" max="11522" width="10.125" style="5" bestFit="1" customWidth="1"/>
    <col min="11523" max="11776" width="8.875" style="5" customWidth="1"/>
    <col min="11777" max="11777" width="12.875" style="5" customWidth="1"/>
    <col min="11778" max="11778" width="10.125" style="5" bestFit="1" customWidth="1"/>
    <col min="11779" max="12032" width="8.875" style="5" customWidth="1"/>
    <col min="12033" max="12033" width="12.875" style="5" customWidth="1"/>
    <col min="12034" max="12034" width="10.125" style="5" bestFit="1" customWidth="1"/>
    <col min="12035" max="12288" width="8.875" style="5" customWidth="1"/>
    <col min="12289" max="12289" width="12.875" style="5" customWidth="1"/>
    <col min="12290" max="12290" width="10.125" style="5" bestFit="1" customWidth="1"/>
    <col min="12291" max="12544" width="8.875" style="5" customWidth="1"/>
    <col min="12545" max="12545" width="12.875" style="5" customWidth="1"/>
    <col min="12546" max="12546" width="10.125" style="5" bestFit="1" customWidth="1"/>
    <col min="12547" max="12800" width="8.875" style="5" customWidth="1"/>
    <col min="12801" max="12801" width="12.875" style="5" customWidth="1"/>
    <col min="12802" max="12802" width="10.125" style="5" bestFit="1" customWidth="1"/>
    <col min="12803" max="13056" width="8.875" style="5" customWidth="1"/>
    <col min="13057" max="13057" width="12.875" style="5" customWidth="1"/>
    <col min="13058" max="13058" width="10.125" style="5" bestFit="1" customWidth="1"/>
    <col min="13059" max="13312" width="8.875" style="5" customWidth="1"/>
    <col min="13313" max="13313" width="12.875" style="5" customWidth="1"/>
    <col min="13314" max="13314" width="10.125" style="5" bestFit="1" customWidth="1"/>
    <col min="13315" max="13568" width="8.875" style="5" customWidth="1"/>
    <col min="13569" max="13569" width="12.875" style="5" customWidth="1"/>
    <col min="13570" max="13570" width="10.125" style="5" bestFit="1" customWidth="1"/>
    <col min="13571" max="13824" width="8.875" style="5" customWidth="1"/>
    <col min="13825" max="13825" width="12.875" style="5" customWidth="1"/>
    <col min="13826" max="13826" width="10.125" style="5" bestFit="1" customWidth="1"/>
    <col min="13827" max="14080" width="8.875" style="5" customWidth="1"/>
    <col min="14081" max="14081" width="12.875" style="5" customWidth="1"/>
    <col min="14082" max="14082" width="10.125" style="5" bestFit="1" customWidth="1"/>
    <col min="14083" max="14336" width="8.875" style="5" customWidth="1"/>
    <col min="14337" max="14337" width="12.875" style="5" customWidth="1"/>
    <col min="14338" max="14338" width="10.125" style="5" bestFit="1" customWidth="1"/>
    <col min="14339" max="14592" width="8.875" style="5" customWidth="1"/>
    <col min="14593" max="14593" width="12.875" style="5" customWidth="1"/>
    <col min="14594" max="14594" width="10.125" style="5" bestFit="1" customWidth="1"/>
    <col min="14595" max="14848" width="8.875" style="5" customWidth="1"/>
    <col min="14849" max="14849" width="12.875" style="5" customWidth="1"/>
    <col min="14850" max="14850" width="10.125" style="5" bestFit="1" customWidth="1"/>
    <col min="14851" max="15104" width="8.875" style="5" customWidth="1"/>
    <col min="15105" max="15105" width="12.875" style="5" customWidth="1"/>
    <col min="15106" max="15106" width="10.125" style="5" bestFit="1" customWidth="1"/>
    <col min="15107" max="15360" width="8.875" style="5" customWidth="1"/>
    <col min="15361" max="15361" width="12.875" style="5" customWidth="1"/>
    <col min="15362" max="15362" width="10.125" style="5" bestFit="1" customWidth="1"/>
    <col min="15363" max="15616" width="8.875" style="5" customWidth="1"/>
    <col min="15617" max="15617" width="12.875" style="5" customWidth="1"/>
    <col min="15618" max="15618" width="10.125" style="5" bestFit="1" customWidth="1"/>
    <col min="15619" max="15872" width="8.875" style="5" customWidth="1"/>
    <col min="15873" max="15873" width="12.875" style="5" customWidth="1"/>
    <col min="15874" max="15874" width="10.125" style="5" bestFit="1" customWidth="1"/>
    <col min="15875" max="16128" width="8.875" style="5" customWidth="1"/>
    <col min="16129" max="16129" width="12.875" style="5" customWidth="1"/>
    <col min="16130" max="16130" width="10.125" style="5" bestFit="1" customWidth="1"/>
    <col min="16131" max="16384" width="8.875" style="5" customWidth="1"/>
  </cols>
  <sheetData>
    <row r="1" spans="1:13" ht="15.75">
      <c r="A1" s="5" t="s">
        <v>0</v>
      </c>
      <c r="B1" s="6">
        <v>45303</v>
      </c>
      <c r="E1" s="5">
        <v>106.5</v>
      </c>
      <c r="F1" s="5" t="s">
        <v>1</v>
      </c>
      <c r="H1"/>
      <c r="I1" s="5" t="s">
        <v>437</v>
      </c>
      <c r="K1">
        <v>4686</v>
      </c>
      <c r="L1">
        <v>4674</v>
      </c>
      <c r="M1"/>
    </row>
    <row r="2" spans="1:13" ht="15.75">
      <c r="A2" s="5" t="s">
        <v>2</v>
      </c>
      <c r="E2" s="5">
        <f>E1*2200*0.53</f>
        <v>124179</v>
      </c>
      <c r="F2" s="5" t="s">
        <v>3</v>
      </c>
      <c r="H2"/>
      <c r="K2">
        <v>4677</v>
      </c>
      <c r="L2">
        <v>5084</v>
      </c>
      <c r="M2"/>
    </row>
    <row r="3" spans="1:13" ht="15.75">
      <c r="A3" s="5" t="s">
        <v>4</v>
      </c>
      <c r="B3" s="7"/>
      <c r="E3" s="5">
        <v>0.5</v>
      </c>
      <c r="F3" s="5" t="s">
        <v>5</v>
      </c>
      <c r="H3"/>
      <c r="K3">
        <v>5242</v>
      </c>
      <c r="L3">
        <v>4851</v>
      </c>
      <c r="M3"/>
    </row>
    <row r="4" spans="1:13" ht="15.75">
      <c r="B4" s="7" t="s">
        <v>434</v>
      </c>
      <c r="E4" s="5">
        <f>AVERAGE(K1:M4)*10</f>
        <v>49082.5</v>
      </c>
      <c r="F4" s="5" t="s">
        <v>6</v>
      </c>
      <c r="H4"/>
      <c r="K4">
        <v>4932</v>
      </c>
      <c r="L4">
        <v>5120</v>
      </c>
      <c r="M4"/>
    </row>
    <row r="5" spans="1:13" ht="15.75">
      <c r="A5" s="5" t="s">
        <v>664</v>
      </c>
      <c r="D5" s="8"/>
      <c r="E5" s="8">
        <f>E4/(E3*E2)</f>
        <v>0.79051208336353163</v>
      </c>
      <c r="F5" s="9" t="s">
        <v>7</v>
      </c>
      <c r="H5"/>
      <c r="I5" s="7"/>
      <c r="K5"/>
      <c r="M5"/>
    </row>
    <row r="6" spans="1:13" ht="15.75">
      <c r="A6" s="5" t="s">
        <v>665</v>
      </c>
      <c r="E6" s="9"/>
      <c r="H6"/>
      <c r="K6"/>
    </row>
    <row r="7" spans="1:13" ht="15.75"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K7"/>
    </row>
    <row r="8" spans="1:13" ht="15.75">
      <c r="A8" s="5" t="s">
        <v>13</v>
      </c>
      <c r="B8">
        <v>258</v>
      </c>
      <c r="C8">
        <v>384</v>
      </c>
      <c r="D8" s="8">
        <f t="shared" ref="D8:D19" si="0">AVERAGE(B8:C8)</f>
        <v>321</v>
      </c>
      <c r="E8" s="8">
        <f>AVERAGE(D8,D19)-$D$9</f>
        <v>180</v>
      </c>
      <c r="H8" s="8">
        <f>E8*100/$E$8</f>
        <v>100</v>
      </c>
      <c r="K8"/>
    </row>
    <row r="9" spans="1:13" ht="15.75">
      <c r="A9" s="10" t="s">
        <v>655</v>
      </c>
      <c r="B9">
        <v>130</v>
      </c>
      <c r="C9">
        <v>163</v>
      </c>
      <c r="D9" s="8">
        <f>AVERAGE(B9:B10)</f>
        <v>127</v>
      </c>
      <c r="E9" s="8">
        <f>D9-$D$9</f>
        <v>0</v>
      </c>
      <c r="H9" s="8"/>
    </row>
    <row r="10" spans="1:13" ht="15.75">
      <c r="A10" t="s">
        <v>435</v>
      </c>
      <c r="B10">
        <v>124</v>
      </c>
      <c r="C10">
        <v>113</v>
      </c>
      <c r="D10" s="8">
        <f t="shared" si="0"/>
        <v>118.5</v>
      </c>
      <c r="E10" s="8">
        <f t="shared" ref="E10:E18" si="1">D10-$D$9</f>
        <v>-8.5</v>
      </c>
      <c r="F10" s="11">
        <v>1.0000000000000001E-5</v>
      </c>
      <c r="G10" s="8">
        <f t="shared" ref="G10:G18" si="2">LOG(F10)</f>
        <v>-5</v>
      </c>
      <c r="H10" s="8">
        <f>E10*100/$E$8</f>
        <v>-4.7222222222222223</v>
      </c>
    </row>
    <row r="11" spans="1:13" ht="15.75">
      <c r="B11">
        <v>159</v>
      </c>
      <c r="C11">
        <v>149</v>
      </c>
      <c r="D11" s="8">
        <f t="shared" si="0"/>
        <v>154</v>
      </c>
      <c r="E11" s="8">
        <f t="shared" si="1"/>
        <v>27</v>
      </c>
      <c r="F11" s="11">
        <f t="shared" ref="F11:F18" si="3">F10*0.3162</f>
        <v>3.162E-6</v>
      </c>
      <c r="G11" s="8">
        <f t="shared" si="2"/>
        <v>-5.5000381344038098</v>
      </c>
      <c r="H11" s="8">
        <f t="shared" ref="H11:H18" si="4">E11*100/$E$8</f>
        <v>15</v>
      </c>
    </row>
    <row r="12" spans="1:13" ht="15.75">
      <c r="B12">
        <v>228</v>
      </c>
      <c r="C12">
        <v>220</v>
      </c>
      <c r="D12" s="8">
        <f t="shared" si="0"/>
        <v>224</v>
      </c>
      <c r="E12" s="8">
        <f t="shared" si="1"/>
        <v>97</v>
      </c>
      <c r="F12" s="11">
        <f t="shared" si="3"/>
        <v>9.9982439999999994E-7</v>
      </c>
      <c r="G12" s="8">
        <f t="shared" si="2"/>
        <v>-6.0000762688076197</v>
      </c>
      <c r="H12" s="8">
        <f t="shared" si="4"/>
        <v>53.888888888888886</v>
      </c>
    </row>
    <row r="13" spans="1:13" ht="15.75">
      <c r="B13">
        <v>214</v>
      </c>
      <c r="C13">
        <v>282</v>
      </c>
      <c r="D13" s="8">
        <f t="shared" si="0"/>
        <v>248</v>
      </c>
      <c r="E13" s="8">
        <f t="shared" si="1"/>
        <v>121</v>
      </c>
      <c r="F13" s="11">
        <f t="shared" si="3"/>
        <v>3.1614447527999998E-7</v>
      </c>
      <c r="G13" s="8">
        <f t="shared" si="2"/>
        <v>-6.5001144032114295</v>
      </c>
      <c r="H13" s="8">
        <f t="shared" si="4"/>
        <v>67.222222222222229</v>
      </c>
    </row>
    <row r="14" spans="1:13" ht="15.75">
      <c r="B14">
        <v>308</v>
      </c>
      <c r="C14">
        <v>313</v>
      </c>
      <c r="D14" s="8">
        <f t="shared" si="0"/>
        <v>310.5</v>
      </c>
      <c r="E14" s="8">
        <f t="shared" si="1"/>
        <v>183.5</v>
      </c>
      <c r="F14" s="11">
        <f t="shared" si="3"/>
        <v>9.9964883083535985E-8</v>
      </c>
      <c r="G14" s="8">
        <f t="shared" si="2"/>
        <v>-7.0001525376152394</v>
      </c>
      <c r="H14" s="8">
        <f t="shared" si="4"/>
        <v>101.94444444444444</v>
      </c>
    </row>
    <row r="15" spans="1:13" ht="15.75">
      <c r="A15"/>
      <c r="B15">
        <v>348</v>
      </c>
      <c r="C15">
        <v>316</v>
      </c>
      <c r="D15" s="8">
        <f t="shared" si="0"/>
        <v>332</v>
      </c>
      <c r="E15" s="8">
        <f t="shared" si="1"/>
        <v>205</v>
      </c>
      <c r="F15" s="11">
        <f t="shared" si="3"/>
        <v>3.1608896031014074E-8</v>
      </c>
      <c r="G15" s="8">
        <f t="shared" si="2"/>
        <v>-7.5001906720190492</v>
      </c>
      <c r="H15" s="8">
        <f t="shared" si="4"/>
        <v>113.88888888888889</v>
      </c>
    </row>
    <row r="16" spans="1:13" ht="15.75">
      <c r="B16">
        <v>282</v>
      </c>
      <c r="C16">
        <v>282</v>
      </c>
      <c r="D16" s="8">
        <f t="shared" si="0"/>
        <v>282</v>
      </c>
      <c r="E16" s="8">
        <f t="shared" si="1"/>
        <v>155</v>
      </c>
      <c r="F16" s="11">
        <f t="shared" si="3"/>
        <v>9.9947329250066497E-9</v>
      </c>
      <c r="G16" s="8">
        <f t="shared" si="2"/>
        <v>-8.0002288064228591</v>
      </c>
      <c r="H16" s="8">
        <f t="shared" si="4"/>
        <v>86.111111111111114</v>
      </c>
    </row>
    <row r="17" spans="1:8" ht="15.75">
      <c r="B17">
        <v>301</v>
      </c>
      <c r="C17">
        <v>292</v>
      </c>
      <c r="D17" s="8">
        <f t="shared" si="0"/>
        <v>296.5</v>
      </c>
      <c r="E17" s="8">
        <f t="shared" si="1"/>
        <v>169.5</v>
      </c>
      <c r="F17" s="11">
        <f t="shared" si="3"/>
        <v>3.1603345508871026E-9</v>
      </c>
      <c r="G17" s="8">
        <f t="shared" si="2"/>
        <v>-8.500266940826668</v>
      </c>
      <c r="H17" s="8">
        <f t="shared" si="4"/>
        <v>94.166666666666671</v>
      </c>
    </row>
    <row r="18" spans="1:8" ht="15.75">
      <c r="B18">
        <v>264</v>
      </c>
      <c r="C18">
        <v>310</v>
      </c>
      <c r="D18" s="8">
        <f t="shared" si="0"/>
        <v>287</v>
      </c>
      <c r="E18" s="8">
        <f t="shared" si="1"/>
        <v>160</v>
      </c>
      <c r="F18" s="11">
        <f t="shared" si="3"/>
        <v>9.992977849905017E-10</v>
      </c>
      <c r="G18" s="8">
        <f t="shared" si="2"/>
        <v>-9.0003050752304787</v>
      </c>
      <c r="H18" s="8">
        <f t="shared" si="4"/>
        <v>88.888888888888886</v>
      </c>
    </row>
    <row r="19" spans="1:8" ht="15.75">
      <c r="B19">
        <v>284</v>
      </c>
      <c r="C19">
        <v>302</v>
      </c>
      <c r="D19" s="8">
        <f t="shared" si="0"/>
        <v>293</v>
      </c>
      <c r="E19" s="8"/>
      <c r="F19" s="11"/>
      <c r="G19" s="8"/>
      <c r="H19" s="8"/>
    </row>
    <row r="20" spans="1:8" ht="15.75">
      <c r="B20"/>
      <c r="C20"/>
      <c r="D20" s="5" t="s">
        <v>8</v>
      </c>
      <c r="E20" s="5" t="s">
        <v>9</v>
      </c>
      <c r="F20" s="5" t="s">
        <v>10</v>
      </c>
      <c r="G20" s="5" t="s">
        <v>11</v>
      </c>
      <c r="H20" s="5" t="s">
        <v>12</v>
      </c>
    </row>
    <row r="21" spans="1:8" ht="15.75">
      <c r="A21" s="5" t="s">
        <v>14</v>
      </c>
      <c r="B21">
        <v>262</v>
      </c>
      <c r="C21">
        <v>447</v>
      </c>
      <c r="D21" s="8">
        <f t="shared" ref="D21:D29" si="5">AVERAGE(B21:C21)</f>
        <v>354.5</v>
      </c>
      <c r="E21" s="8">
        <f>AVERAGE(D21,D32)-$D$22</f>
        <v>197.75</v>
      </c>
      <c r="H21" s="8">
        <f>E21*100/$E$21</f>
        <v>100</v>
      </c>
    </row>
    <row r="22" spans="1:8" ht="15.75">
      <c r="A22" s="10" t="s">
        <v>656</v>
      </c>
      <c r="B22">
        <v>133</v>
      </c>
      <c r="C22">
        <v>109</v>
      </c>
      <c r="D22" s="8">
        <f t="shared" si="5"/>
        <v>121</v>
      </c>
      <c r="E22" s="8">
        <f t="shared" ref="E22:E31" si="6">D22-$D$22</f>
        <v>0</v>
      </c>
      <c r="H22" s="8"/>
    </row>
    <row r="23" spans="1:8" ht="15.75">
      <c r="A23" t="s">
        <v>435</v>
      </c>
      <c r="B23">
        <v>233</v>
      </c>
      <c r="C23">
        <v>138</v>
      </c>
      <c r="D23" s="8">
        <f t="shared" si="5"/>
        <v>185.5</v>
      </c>
      <c r="E23" s="8">
        <f t="shared" si="6"/>
        <v>64.5</v>
      </c>
      <c r="F23" s="11">
        <v>1.0000000000000001E-5</v>
      </c>
      <c r="G23" s="8">
        <f t="shared" ref="G23:G31" si="7">LOG(F23)</f>
        <v>-5</v>
      </c>
      <c r="H23" s="8">
        <f t="shared" ref="H23:H31" si="8">E23*100/$E$21</f>
        <v>32.616940581542352</v>
      </c>
    </row>
    <row r="24" spans="1:8" ht="15.75">
      <c r="B24">
        <v>201</v>
      </c>
      <c r="C24">
        <v>182</v>
      </c>
      <c r="D24" s="8">
        <f t="shared" si="5"/>
        <v>191.5</v>
      </c>
      <c r="E24" s="8">
        <f t="shared" si="6"/>
        <v>70.5</v>
      </c>
      <c r="F24" s="11">
        <f t="shared" ref="F24:F31" si="9">F23*0.3162</f>
        <v>3.162E-6</v>
      </c>
      <c r="G24" s="8">
        <f t="shared" si="7"/>
        <v>-5.5000381344038098</v>
      </c>
      <c r="H24" s="8">
        <f t="shared" si="8"/>
        <v>35.651074589127688</v>
      </c>
    </row>
    <row r="25" spans="1:8" ht="15.75">
      <c r="A25"/>
      <c r="B25">
        <v>262</v>
      </c>
      <c r="C25">
        <v>292</v>
      </c>
      <c r="D25" s="8">
        <f t="shared" si="5"/>
        <v>277</v>
      </c>
      <c r="E25" s="8">
        <f t="shared" si="6"/>
        <v>156</v>
      </c>
      <c r="F25" s="11">
        <f t="shared" si="9"/>
        <v>9.9982439999999994E-7</v>
      </c>
      <c r="G25" s="8">
        <f t="shared" si="7"/>
        <v>-6.0000762688076197</v>
      </c>
      <c r="H25" s="8">
        <f t="shared" si="8"/>
        <v>78.887484197218711</v>
      </c>
    </row>
    <row r="26" spans="1:8" ht="15.75">
      <c r="A26"/>
      <c r="B26">
        <v>273</v>
      </c>
      <c r="C26">
        <v>262</v>
      </c>
      <c r="D26" s="8">
        <f t="shared" si="5"/>
        <v>267.5</v>
      </c>
      <c r="E26" s="8">
        <f t="shared" si="6"/>
        <v>146.5</v>
      </c>
      <c r="F26" s="11">
        <f t="shared" si="9"/>
        <v>3.1614447527999998E-7</v>
      </c>
      <c r="G26" s="8">
        <f t="shared" si="7"/>
        <v>-6.5001144032114295</v>
      </c>
      <c r="H26" s="8">
        <f t="shared" si="8"/>
        <v>74.083438685208591</v>
      </c>
    </row>
    <row r="27" spans="1:8" ht="15.75">
      <c r="A27"/>
      <c r="B27">
        <v>324</v>
      </c>
      <c r="C27">
        <v>379</v>
      </c>
      <c r="D27" s="8">
        <f t="shared" si="5"/>
        <v>351.5</v>
      </c>
      <c r="E27" s="8">
        <f t="shared" si="6"/>
        <v>230.5</v>
      </c>
      <c r="F27" s="11">
        <f t="shared" si="9"/>
        <v>9.9964883083535985E-8</v>
      </c>
      <c r="G27" s="8">
        <f t="shared" si="7"/>
        <v>-7.0001525376152394</v>
      </c>
      <c r="H27" s="8">
        <f t="shared" si="8"/>
        <v>116.56131479140329</v>
      </c>
    </row>
    <row r="28" spans="1:8" ht="15.75">
      <c r="B28">
        <v>405</v>
      </c>
      <c r="C28">
        <v>354</v>
      </c>
      <c r="D28" s="8">
        <f t="shared" si="5"/>
        <v>379.5</v>
      </c>
      <c r="E28" s="8">
        <f t="shared" si="6"/>
        <v>258.5</v>
      </c>
      <c r="F28" s="11">
        <f t="shared" si="9"/>
        <v>3.1608896031014074E-8</v>
      </c>
      <c r="G28" s="8">
        <f t="shared" si="7"/>
        <v>-7.5001906720190492</v>
      </c>
      <c r="H28" s="8">
        <f t="shared" si="8"/>
        <v>130.72060682680151</v>
      </c>
    </row>
    <row r="29" spans="1:8" ht="15.75">
      <c r="A29"/>
      <c r="B29">
        <v>330</v>
      </c>
      <c r="C29">
        <v>342</v>
      </c>
      <c r="D29" s="8">
        <f t="shared" si="5"/>
        <v>336</v>
      </c>
      <c r="E29" s="8">
        <f t="shared" si="6"/>
        <v>215</v>
      </c>
      <c r="F29" s="11">
        <f t="shared" si="9"/>
        <v>9.9947329250066497E-9</v>
      </c>
      <c r="G29" s="8">
        <f t="shared" si="7"/>
        <v>-8.0002288064228591</v>
      </c>
      <c r="H29" s="8">
        <f t="shared" si="8"/>
        <v>108.72313527180783</v>
      </c>
    </row>
    <row r="30" spans="1:8" ht="15.75">
      <c r="B30">
        <v>279</v>
      </c>
      <c r="C30">
        <v>355</v>
      </c>
      <c r="D30" s="8">
        <f>AVERAGE(A30:C30)</f>
        <v>317</v>
      </c>
      <c r="E30" s="8">
        <f t="shared" si="6"/>
        <v>196</v>
      </c>
      <c r="F30" s="11">
        <f t="shared" si="9"/>
        <v>3.1603345508871026E-9</v>
      </c>
      <c r="G30" s="8">
        <f t="shared" si="7"/>
        <v>-8.500266940826668</v>
      </c>
      <c r="H30" s="8">
        <f t="shared" si="8"/>
        <v>99.115044247787608</v>
      </c>
    </row>
    <row r="31" spans="1:8" ht="15.75">
      <c r="A31"/>
      <c r="B31">
        <v>276</v>
      </c>
      <c r="C31">
        <v>286</v>
      </c>
      <c r="D31" s="8">
        <f>AVERAGE(B31:C31)</f>
        <v>281</v>
      </c>
      <c r="E31" s="8">
        <f t="shared" si="6"/>
        <v>160</v>
      </c>
      <c r="F31" s="11">
        <f t="shared" si="9"/>
        <v>9.992977849905017E-10</v>
      </c>
      <c r="G31" s="8">
        <f t="shared" si="7"/>
        <v>-9.0003050752304787</v>
      </c>
      <c r="H31" s="8">
        <f t="shared" si="8"/>
        <v>80.910240202275602</v>
      </c>
    </row>
    <row r="32" spans="1:8" ht="15.75">
      <c r="B32">
        <v>276</v>
      </c>
      <c r="C32">
        <v>290</v>
      </c>
      <c r="D32" s="8">
        <f>AVERAGE(B32:C32)</f>
        <v>283</v>
      </c>
      <c r="E32" s="8"/>
      <c r="F32" s="11"/>
      <c r="G32" s="8"/>
      <c r="H32" s="8"/>
    </row>
    <row r="33" spans="1:8" ht="15.75">
      <c r="B33"/>
      <c r="C33"/>
      <c r="D33" s="5" t="s">
        <v>8</v>
      </c>
      <c r="E33" s="5" t="s">
        <v>9</v>
      </c>
      <c r="F33" s="5" t="s">
        <v>10</v>
      </c>
      <c r="G33" s="5" t="s">
        <v>11</v>
      </c>
      <c r="H33" s="5" t="s">
        <v>12</v>
      </c>
    </row>
    <row r="34" spans="1:8" ht="15.75">
      <c r="A34" s="5" t="s">
        <v>15</v>
      </c>
      <c r="B34">
        <v>393</v>
      </c>
      <c r="C34">
        <v>298</v>
      </c>
      <c r="D34" s="8">
        <f>AVERAGE(B34:C34)</f>
        <v>345.5</v>
      </c>
      <c r="E34" s="8">
        <f>AVERAGE(D34,D45)-$D$35</f>
        <v>181.75</v>
      </c>
      <c r="H34" s="8">
        <f>E34*100/$E$34</f>
        <v>100</v>
      </c>
    </row>
    <row r="35" spans="1:8" ht="15.75">
      <c r="A35" s="5" t="s">
        <v>436</v>
      </c>
      <c r="B35">
        <v>167</v>
      </c>
      <c r="C35">
        <v>111</v>
      </c>
      <c r="D35" s="8">
        <f>AVERAGE(B35:C35)</f>
        <v>139</v>
      </c>
      <c r="E35" s="8">
        <f t="shared" ref="E35:E36" si="10">D35-$D$35</f>
        <v>0</v>
      </c>
      <c r="H35" s="8"/>
    </row>
    <row r="36" spans="1:8" ht="15.75">
      <c r="A36" t="s">
        <v>652</v>
      </c>
      <c r="B36">
        <v>145</v>
      </c>
      <c r="C36">
        <v>180</v>
      </c>
      <c r="D36" s="8">
        <f t="shared" ref="D36" si="11">AVERAGE(B36:C36)</f>
        <v>162.5</v>
      </c>
      <c r="E36" s="8">
        <f t="shared" si="10"/>
        <v>23.5</v>
      </c>
      <c r="F36" s="11">
        <v>1.0000000000000001E-5</v>
      </c>
      <c r="G36" s="8">
        <f t="shared" ref="G36:G44" si="12">LOG(F36)</f>
        <v>-5</v>
      </c>
      <c r="H36" s="8">
        <f>E36*100/$E$34</f>
        <v>12.929848693259972</v>
      </c>
    </row>
    <row r="37" spans="1:8" ht="15.75">
      <c r="B37">
        <v>200</v>
      </c>
      <c r="C37">
        <v>170</v>
      </c>
      <c r="D37" s="8">
        <f>AVERAGE(B37:C37)</f>
        <v>185</v>
      </c>
      <c r="E37" s="8">
        <f>D37-$D$35</f>
        <v>46</v>
      </c>
      <c r="F37" s="11">
        <f t="shared" ref="F37:F44" si="13">F36*0.3162</f>
        <v>3.162E-6</v>
      </c>
      <c r="G37" s="8">
        <f t="shared" si="12"/>
        <v>-5.5000381344038098</v>
      </c>
      <c r="H37" s="8">
        <f>E37*100/$E$34</f>
        <v>25.309491059147181</v>
      </c>
    </row>
    <row r="38" spans="1:8" ht="15.75">
      <c r="B38">
        <v>411</v>
      </c>
      <c r="C38">
        <v>356</v>
      </c>
      <c r="D38" s="8">
        <f t="shared" ref="D38:D45" si="14">AVERAGE(B38:C38)</f>
        <v>383.5</v>
      </c>
      <c r="E38" s="8">
        <f t="shared" ref="E38:E44" si="15">D38-$D$35</f>
        <v>244.5</v>
      </c>
      <c r="F38" s="11">
        <f t="shared" si="13"/>
        <v>9.9982439999999994E-7</v>
      </c>
      <c r="G38" s="8">
        <f t="shared" si="12"/>
        <v>-6.0000762688076197</v>
      </c>
      <c r="H38" s="8">
        <f t="shared" ref="H38:H44" si="16">E38*100/$E$34</f>
        <v>134.52544704264099</v>
      </c>
    </row>
    <row r="39" spans="1:8" ht="15.75">
      <c r="A39"/>
      <c r="B39">
        <v>305</v>
      </c>
      <c r="C39">
        <v>251</v>
      </c>
      <c r="D39" s="8">
        <f t="shared" si="14"/>
        <v>278</v>
      </c>
      <c r="E39" s="8">
        <f t="shared" si="15"/>
        <v>139</v>
      </c>
      <c r="F39" s="11">
        <f t="shared" si="13"/>
        <v>3.1614447527999998E-7</v>
      </c>
      <c r="G39" s="8">
        <f t="shared" si="12"/>
        <v>-6.5001144032114295</v>
      </c>
      <c r="H39" s="8">
        <f t="shared" si="16"/>
        <v>76.478679504814309</v>
      </c>
    </row>
    <row r="40" spans="1:8" ht="15.75">
      <c r="B40">
        <v>371</v>
      </c>
      <c r="C40">
        <v>375</v>
      </c>
      <c r="D40" s="8">
        <f t="shared" si="14"/>
        <v>373</v>
      </c>
      <c r="E40" s="8">
        <f t="shared" si="15"/>
        <v>234</v>
      </c>
      <c r="F40" s="11">
        <f t="shared" si="13"/>
        <v>9.9964883083535985E-8</v>
      </c>
      <c r="G40" s="8">
        <f t="shared" si="12"/>
        <v>-7.0001525376152394</v>
      </c>
      <c r="H40" s="8">
        <f t="shared" si="16"/>
        <v>128.74828060522697</v>
      </c>
    </row>
    <row r="41" spans="1:8" ht="15.75">
      <c r="B41">
        <v>412</v>
      </c>
      <c r="C41">
        <v>375</v>
      </c>
      <c r="D41" s="8">
        <f t="shared" si="14"/>
        <v>393.5</v>
      </c>
      <c r="E41" s="8">
        <f t="shared" si="15"/>
        <v>254.5</v>
      </c>
      <c r="F41" s="11">
        <f t="shared" si="13"/>
        <v>3.1608896031014074E-8</v>
      </c>
      <c r="G41" s="8">
        <f t="shared" si="12"/>
        <v>-7.5001906720190492</v>
      </c>
      <c r="H41" s="8">
        <f t="shared" si="16"/>
        <v>140.02751031636865</v>
      </c>
    </row>
    <row r="42" spans="1:8" ht="15.75">
      <c r="B42">
        <v>283</v>
      </c>
      <c r="C42">
        <v>343</v>
      </c>
      <c r="D42" s="8">
        <f t="shared" si="14"/>
        <v>313</v>
      </c>
      <c r="E42" s="8">
        <f t="shared" si="15"/>
        <v>174</v>
      </c>
      <c r="F42" s="11">
        <f t="shared" si="13"/>
        <v>9.9947329250066497E-9</v>
      </c>
      <c r="G42" s="8">
        <f t="shared" si="12"/>
        <v>-8.0002288064228591</v>
      </c>
      <c r="H42" s="8">
        <f t="shared" si="16"/>
        <v>95.735900962861066</v>
      </c>
    </row>
    <row r="43" spans="1:8" ht="15.75">
      <c r="B43">
        <v>340</v>
      </c>
      <c r="C43">
        <v>237</v>
      </c>
      <c r="D43" s="8">
        <f t="shared" si="14"/>
        <v>288.5</v>
      </c>
      <c r="E43" s="8">
        <f t="shared" si="15"/>
        <v>149.5</v>
      </c>
      <c r="F43" s="11">
        <f t="shared" si="13"/>
        <v>3.1603345508871026E-9</v>
      </c>
      <c r="G43" s="8">
        <f t="shared" si="12"/>
        <v>-8.500266940826668</v>
      </c>
      <c r="H43" s="8">
        <f t="shared" si="16"/>
        <v>82.255845942228333</v>
      </c>
    </row>
    <row r="44" spans="1:8" ht="15.75">
      <c r="B44">
        <v>338</v>
      </c>
      <c r="C44">
        <v>272</v>
      </c>
      <c r="D44" s="8">
        <f t="shared" si="14"/>
        <v>305</v>
      </c>
      <c r="E44" s="8">
        <f t="shared" si="15"/>
        <v>166</v>
      </c>
      <c r="F44" s="11">
        <f t="shared" si="13"/>
        <v>9.992977849905017E-10</v>
      </c>
      <c r="G44" s="8">
        <f t="shared" si="12"/>
        <v>-9.0003050752304787</v>
      </c>
      <c r="H44" s="12">
        <f t="shared" si="16"/>
        <v>91.334250343878949</v>
      </c>
    </row>
    <row r="45" spans="1:8" ht="15.75">
      <c r="B45">
        <v>321</v>
      </c>
      <c r="C45">
        <v>271</v>
      </c>
      <c r="D45" s="8">
        <f t="shared" si="14"/>
        <v>296</v>
      </c>
      <c r="E45" s="8"/>
      <c r="F45" s="11"/>
      <c r="G45" s="8"/>
      <c r="H45" s="8"/>
    </row>
    <row r="46" spans="1:8" ht="15.75">
      <c r="B46"/>
      <c r="C46"/>
      <c r="D46" s="5" t="s">
        <v>8</v>
      </c>
      <c r="E46" s="5" t="s">
        <v>9</v>
      </c>
      <c r="F46" s="5" t="s">
        <v>10</v>
      </c>
      <c r="G46" s="5" t="s">
        <v>11</v>
      </c>
      <c r="H46" s="5" t="s">
        <v>12</v>
      </c>
    </row>
    <row r="47" spans="1:8" ht="15.75" customHeight="1">
      <c r="A47" s="5" t="s">
        <v>16</v>
      </c>
      <c r="B47">
        <v>803</v>
      </c>
      <c r="C47">
        <v>253</v>
      </c>
      <c r="D47" s="8">
        <f>AVERAGE(B47:C47)</f>
        <v>528</v>
      </c>
      <c r="E47" s="8">
        <f>AVERAGE(B58:C58,C47)-$D$48</f>
        <v>182.66666666666669</v>
      </c>
      <c r="H47" s="8">
        <f>E47*100/$E$47</f>
        <v>100</v>
      </c>
    </row>
    <row r="48" spans="1:8" ht="15.75" customHeight="1">
      <c r="A48" s="10" t="s">
        <v>646</v>
      </c>
      <c r="B48">
        <v>137</v>
      </c>
      <c r="C48">
        <v>177</v>
      </c>
      <c r="D48" s="8">
        <f>AVERAGE(B48:B49)</f>
        <v>137</v>
      </c>
      <c r="E48" s="8">
        <f>D48-$D$48</f>
        <v>0</v>
      </c>
      <c r="H48" s="8"/>
    </row>
    <row r="49" spans="1:8" ht="15.75" customHeight="1">
      <c r="A49" s="5" t="s">
        <v>657</v>
      </c>
      <c r="B49">
        <v>137</v>
      </c>
      <c r="C49">
        <v>145</v>
      </c>
      <c r="D49" s="8">
        <f t="shared" ref="D49:D58" si="17">AVERAGE(B49:C49)</f>
        <v>141</v>
      </c>
      <c r="E49" s="8">
        <f>D49-$D$48</f>
        <v>4</v>
      </c>
      <c r="F49" s="11">
        <v>9.9999999999999995E-7</v>
      </c>
      <c r="G49" s="8">
        <f t="shared" ref="G49:G57" si="18">LOG(F49)</f>
        <v>-6</v>
      </c>
      <c r="H49" s="8">
        <f t="shared" ref="H49:H57" si="19">E49*100/$E$47</f>
        <v>2.1897810218978102</v>
      </c>
    </row>
    <row r="50" spans="1:8" ht="15.75" customHeight="1">
      <c r="A50" s="13" t="s">
        <v>658</v>
      </c>
      <c r="B50">
        <v>214</v>
      </c>
      <c r="C50">
        <v>217</v>
      </c>
      <c r="D50" s="8">
        <f t="shared" si="17"/>
        <v>215.5</v>
      </c>
      <c r="E50" s="8">
        <f t="shared" ref="E50:E57" si="20">D50-$D$48</f>
        <v>78.5</v>
      </c>
      <c r="F50" s="11">
        <f t="shared" ref="F50:F57" si="21">F49*0.3162</f>
        <v>3.1619999999999999E-7</v>
      </c>
      <c r="G50" s="8">
        <f t="shared" si="18"/>
        <v>-6.5000381344038098</v>
      </c>
      <c r="H50" s="8">
        <f t="shared" si="19"/>
        <v>42.974452554744524</v>
      </c>
    </row>
    <row r="51" spans="1:8" ht="15.75" customHeight="1">
      <c r="B51">
        <v>277</v>
      </c>
      <c r="C51">
        <v>242</v>
      </c>
      <c r="D51" s="8">
        <f t="shared" si="17"/>
        <v>259.5</v>
      </c>
      <c r="E51" s="8">
        <f t="shared" si="20"/>
        <v>122.5</v>
      </c>
      <c r="F51" s="11">
        <f t="shared" si="21"/>
        <v>9.9982439999999983E-8</v>
      </c>
      <c r="G51" s="8">
        <f t="shared" si="18"/>
        <v>-7.0000762688076197</v>
      </c>
      <c r="H51" s="8">
        <f t="shared" si="19"/>
        <v>67.062043795620426</v>
      </c>
    </row>
    <row r="52" spans="1:8" ht="15.75" customHeight="1">
      <c r="B52">
        <v>247</v>
      </c>
      <c r="C52">
        <v>278</v>
      </c>
      <c r="D52" s="8">
        <f t="shared" si="17"/>
        <v>262.5</v>
      </c>
      <c r="E52" s="8">
        <f t="shared" si="20"/>
        <v>125.5</v>
      </c>
      <c r="F52" s="11">
        <f t="shared" si="21"/>
        <v>3.1614447527999994E-8</v>
      </c>
      <c r="G52" s="8">
        <f t="shared" si="18"/>
        <v>-7.5001144032114295</v>
      </c>
      <c r="H52" s="8">
        <f t="shared" si="19"/>
        <v>68.704379562043783</v>
      </c>
    </row>
    <row r="53" spans="1:8" ht="15.75" customHeight="1">
      <c r="A53"/>
      <c r="B53">
        <v>305</v>
      </c>
      <c r="C53">
        <v>327</v>
      </c>
      <c r="D53" s="8">
        <f t="shared" si="17"/>
        <v>316</v>
      </c>
      <c r="E53" s="8">
        <f t="shared" si="20"/>
        <v>179</v>
      </c>
      <c r="F53" s="11">
        <f t="shared" si="21"/>
        <v>9.9964883083535969E-9</v>
      </c>
      <c r="G53" s="8">
        <f t="shared" si="18"/>
        <v>-8.0001525376152394</v>
      </c>
      <c r="H53" s="8">
        <f t="shared" si="19"/>
        <v>97.992700729926995</v>
      </c>
    </row>
    <row r="54" spans="1:8" ht="15.75" customHeight="1">
      <c r="B54">
        <v>335</v>
      </c>
      <c r="C54">
        <v>275</v>
      </c>
      <c r="D54" s="8">
        <f t="shared" si="17"/>
        <v>305</v>
      </c>
      <c r="E54" s="8">
        <f t="shared" si="20"/>
        <v>168</v>
      </c>
      <c r="F54" s="11">
        <f t="shared" si="21"/>
        <v>3.1608896031014071E-9</v>
      </c>
      <c r="G54" s="8">
        <f t="shared" si="18"/>
        <v>-8.5001906720190483</v>
      </c>
      <c r="H54" s="8">
        <f t="shared" si="19"/>
        <v>91.970802919708021</v>
      </c>
    </row>
    <row r="55" spans="1:8" ht="15.75" customHeight="1">
      <c r="B55">
        <v>253</v>
      </c>
      <c r="C55">
        <v>355</v>
      </c>
      <c r="D55" s="8">
        <f t="shared" si="17"/>
        <v>304</v>
      </c>
      <c r="E55" s="8">
        <f t="shared" si="20"/>
        <v>167</v>
      </c>
      <c r="F55" s="11">
        <f t="shared" si="21"/>
        <v>9.9947329250066484E-10</v>
      </c>
      <c r="G55" s="8">
        <f t="shared" si="18"/>
        <v>-9.0002288064228591</v>
      </c>
      <c r="H55" s="8">
        <f t="shared" si="19"/>
        <v>91.423357664233563</v>
      </c>
    </row>
    <row r="56" spans="1:8" ht="15.75" customHeight="1">
      <c r="B56">
        <v>356</v>
      </c>
      <c r="C56">
        <v>287</v>
      </c>
      <c r="D56" s="8">
        <f t="shared" si="17"/>
        <v>321.5</v>
      </c>
      <c r="E56" s="8">
        <f t="shared" si="20"/>
        <v>184.5</v>
      </c>
      <c r="F56" s="11">
        <f t="shared" si="21"/>
        <v>3.1603345508871019E-10</v>
      </c>
      <c r="G56" s="8">
        <f t="shared" si="18"/>
        <v>-9.500266940826668</v>
      </c>
      <c r="H56" s="8">
        <f t="shared" si="19"/>
        <v>101.00364963503648</v>
      </c>
    </row>
    <row r="57" spans="1:8" ht="15.75" customHeight="1">
      <c r="B57">
        <v>349</v>
      </c>
      <c r="C57">
        <v>275</v>
      </c>
      <c r="D57" s="8">
        <f t="shared" si="17"/>
        <v>312</v>
      </c>
      <c r="E57" s="8">
        <f t="shared" si="20"/>
        <v>175</v>
      </c>
      <c r="F57" s="11">
        <f t="shared" si="21"/>
        <v>9.992977849905016E-11</v>
      </c>
      <c r="G57" s="8">
        <f t="shared" si="18"/>
        <v>-10.000305075230479</v>
      </c>
      <c r="H57" s="8">
        <f t="shared" si="19"/>
        <v>95.802919708029194</v>
      </c>
    </row>
    <row r="58" spans="1:8" ht="15.75" customHeight="1">
      <c r="A58"/>
      <c r="B58">
        <v>360</v>
      </c>
      <c r="C58">
        <v>346</v>
      </c>
      <c r="D58" s="8">
        <f t="shared" si="17"/>
        <v>353</v>
      </c>
      <c r="E58" s="8"/>
      <c r="F58" s="11"/>
      <c r="G58" s="8"/>
      <c r="H58" s="8"/>
    </row>
    <row r="59" spans="1:8" ht="15.75" customHeight="1">
      <c r="B59"/>
      <c r="C59"/>
      <c r="D59" s="5" t="s">
        <v>8</v>
      </c>
      <c r="E59" s="5" t="s">
        <v>9</v>
      </c>
      <c r="F59" s="5" t="s">
        <v>10</v>
      </c>
      <c r="G59" s="5" t="s">
        <v>11</v>
      </c>
      <c r="H59" s="5" t="s">
        <v>12</v>
      </c>
    </row>
    <row r="60" spans="1:8" ht="15.75" customHeight="1">
      <c r="A60" s="5" t="s">
        <v>17</v>
      </c>
      <c r="B60">
        <v>417</v>
      </c>
      <c r="C60">
        <v>362</v>
      </c>
      <c r="D60" s="8">
        <f>AVERAGE(C60)</f>
        <v>362</v>
      </c>
      <c r="E60" s="8">
        <f>AVERAGE(B71:C71,C60)-$D$61</f>
        <v>148.33333333333331</v>
      </c>
      <c r="H60" s="8">
        <f>E60*100/$E$60</f>
        <v>100</v>
      </c>
    </row>
    <row r="61" spans="1:8" ht="15.75" customHeight="1">
      <c r="A61" s="8" t="s">
        <v>659</v>
      </c>
      <c r="B61">
        <v>189</v>
      </c>
      <c r="C61">
        <v>191</v>
      </c>
      <c r="D61" s="8">
        <f>AVERAGE(B61:C61)</f>
        <v>190</v>
      </c>
      <c r="E61" s="8">
        <f t="shared" ref="E61:E70" si="22">D61-$D$61</f>
        <v>0</v>
      </c>
      <c r="H61" s="8"/>
    </row>
    <row r="62" spans="1:8" ht="15.75" customHeight="1">
      <c r="A62" s="5" t="s">
        <v>661</v>
      </c>
      <c r="B62">
        <v>229</v>
      </c>
      <c r="C62">
        <v>225</v>
      </c>
      <c r="D62" s="8">
        <f t="shared" ref="D62:D71" si="23">AVERAGE(B62:C62)</f>
        <v>227</v>
      </c>
      <c r="E62" s="8">
        <f t="shared" si="22"/>
        <v>37</v>
      </c>
      <c r="F62" s="11">
        <v>1.0000000000000001E-5</v>
      </c>
      <c r="G62" s="8">
        <f t="shared" ref="G62:G70" si="24">LOG(F62)</f>
        <v>-5</v>
      </c>
      <c r="H62" s="8">
        <f t="shared" ref="H62:H70" si="25">E62*100/$E$60</f>
        <v>24.943820224719104</v>
      </c>
    </row>
    <row r="63" spans="1:8" ht="15.75" customHeight="1">
      <c r="B63">
        <v>248</v>
      </c>
      <c r="C63">
        <v>224</v>
      </c>
      <c r="D63" s="8">
        <f t="shared" si="23"/>
        <v>236</v>
      </c>
      <c r="E63" s="8">
        <f t="shared" si="22"/>
        <v>46</v>
      </c>
      <c r="F63" s="11">
        <f t="shared" ref="F63:F70" si="26">F62*0.3162</f>
        <v>3.162E-6</v>
      </c>
      <c r="G63" s="8">
        <f t="shared" si="24"/>
        <v>-5.5000381344038098</v>
      </c>
      <c r="H63" s="8">
        <f t="shared" si="25"/>
        <v>31.011235955056183</v>
      </c>
    </row>
    <row r="64" spans="1:8" ht="15.75" customHeight="1">
      <c r="B64">
        <v>292</v>
      </c>
      <c r="C64">
        <v>274</v>
      </c>
      <c r="D64" s="8">
        <f t="shared" si="23"/>
        <v>283</v>
      </c>
      <c r="E64" s="8">
        <f t="shared" si="22"/>
        <v>93</v>
      </c>
      <c r="F64" s="11">
        <f t="shared" si="26"/>
        <v>9.9982439999999994E-7</v>
      </c>
      <c r="G64" s="8">
        <f t="shared" si="24"/>
        <v>-6.0000762688076197</v>
      </c>
      <c r="H64" s="8">
        <f t="shared" si="25"/>
        <v>62.696629213483156</v>
      </c>
    </row>
    <row r="65" spans="1:8" ht="15.75" customHeight="1">
      <c r="B65">
        <v>339</v>
      </c>
      <c r="C65">
        <v>300</v>
      </c>
      <c r="D65" s="8">
        <f t="shared" si="23"/>
        <v>319.5</v>
      </c>
      <c r="E65" s="8">
        <f t="shared" si="22"/>
        <v>129.5</v>
      </c>
      <c r="F65" s="11">
        <f t="shared" si="26"/>
        <v>3.1614447527999998E-7</v>
      </c>
      <c r="G65" s="8">
        <f t="shared" si="24"/>
        <v>-6.5001144032114295</v>
      </c>
      <c r="H65" s="8">
        <f t="shared" si="25"/>
        <v>87.303370786516865</v>
      </c>
    </row>
    <row r="66" spans="1:8" ht="15.75" customHeight="1">
      <c r="B66">
        <v>349</v>
      </c>
      <c r="C66">
        <v>290</v>
      </c>
      <c r="D66" s="8">
        <f t="shared" si="23"/>
        <v>319.5</v>
      </c>
      <c r="E66" s="8">
        <f t="shared" si="22"/>
        <v>129.5</v>
      </c>
      <c r="F66" s="11">
        <f t="shared" si="26"/>
        <v>9.9964883083535985E-8</v>
      </c>
      <c r="G66" s="8">
        <f t="shared" si="24"/>
        <v>-7.0001525376152394</v>
      </c>
      <c r="H66" s="8">
        <f t="shared" si="25"/>
        <v>87.303370786516865</v>
      </c>
    </row>
    <row r="67" spans="1:8" ht="15.75" customHeight="1">
      <c r="B67">
        <v>334</v>
      </c>
      <c r="C67">
        <v>305</v>
      </c>
      <c r="D67" s="8">
        <f t="shared" si="23"/>
        <v>319.5</v>
      </c>
      <c r="E67" s="8">
        <f t="shared" si="22"/>
        <v>129.5</v>
      </c>
      <c r="F67" s="11">
        <f t="shared" si="26"/>
        <v>3.1608896031014074E-8</v>
      </c>
      <c r="G67" s="8">
        <f t="shared" si="24"/>
        <v>-7.5001906720190492</v>
      </c>
      <c r="H67" s="8">
        <f t="shared" si="25"/>
        <v>87.303370786516865</v>
      </c>
    </row>
    <row r="68" spans="1:8" ht="15.75" customHeight="1">
      <c r="B68">
        <v>360</v>
      </c>
      <c r="C68">
        <v>378</v>
      </c>
      <c r="D68" s="8">
        <f t="shared" si="23"/>
        <v>369</v>
      </c>
      <c r="E68" s="8">
        <f t="shared" si="22"/>
        <v>179</v>
      </c>
      <c r="F68" s="11">
        <f t="shared" si="26"/>
        <v>9.9947329250066497E-9</v>
      </c>
      <c r="G68" s="8">
        <f t="shared" si="24"/>
        <v>-8.0002288064228591</v>
      </c>
      <c r="H68" s="8">
        <f t="shared" si="25"/>
        <v>120.67415730337081</v>
      </c>
    </row>
    <row r="69" spans="1:8" ht="15.75" customHeight="1">
      <c r="B69">
        <v>304</v>
      </c>
      <c r="C69">
        <v>360</v>
      </c>
      <c r="D69" s="8">
        <f t="shared" si="23"/>
        <v>332</v>
      </c>
      <c r="E69" s="8">
        <f t="shared" si="22"/>
        <v>142</v>
      </c>
      <c r="F69" s="11">
        <f t="shared" si="26"/>
        <v>3.1603345508871026E-9</v>
      </c>
      <c r="G69" s="8">
        <f t="shared" si="24"/>
        <v>-8.500266940826668</v>
      </c>
      <c r="H69" s="8">
        <f t="shared" si="25"/>
        <v>95.730337078651701</v>
      </c>
    </row>
    <row r="70" spans="1:8" ht="15.75" customHeight="1">
      <c r="B70">
        <v>323</v>
      </c>
      <c r="C70">
        <v>294</v>
      </c>
      <c r="D70" s="8">
        <f t="shared" si="23"/>
        <v>308.5</v>
      </c>
      <c r="E70" s="8">
        <f t="shared" si="22"/>
        <v>118.5</v>
      </c>
      <c r="F70" s="11">
        <f t="shared" si="26"/>
        <v>9.992977849905017E-10</v>
      </c>
      <c r="G70" s="8">
        <f t="shared" si="24"/>
        <v>-9.0003050752304787</v>
      </c>
      <c r="H70" s="8">
        <f t="shared" si="25"/>
        <v>79.887640449438209</v>
      </c>
    </row>
    <row r="71" spans="1:8" ht="15.75" customHeight="1">
      <c r="B71">
        <v>341</v>
      </c>
      <c r="C71">
        <v>312</v>
      </c>
      <c r="D71" s="8">
        <f t="shared" si="23"/>
        <v>326.5</v>
      </c>
      <c r="E71" s="8"/>
      <c r="F71" s="11"/>
      <c r="G71" s="8"/>
      <c r="H71" s="8"/>
    </row>
    <row r="72" spans="1:8" ht="15.75" customHeight="1">
      <c r="B72"/>
      <c r="C72"/>
      <c r="D72" s="5" t="s">
        <v>8</v>
      </c>
      <c r="E72" s="5" t="s">
        <v>9</v>
      </c>
      <c r="F72" s="5" t="s">
        <v>10</v>
      </c>
      <c r="G72" s="5" t="s">
        <v>11</v>
      </c>
      <c r="H72" s="5" t="s">
        <v>12</v>
      </c>
    </row>
    <row r="73" spans="1:8" ht="15.75" customHeight="1">
      <c r="A73" s="5" t="s">
        <v>18</v>
      </c>
      <c r="B73">
        <v>424</v>
      </c>
      <c r="C73">
        <v>543</v>
      </c>
      <c r="D73" s="8">
        <f>AVERAGE(B73:C73)</f>
        <v>483.5</v>
      </c>
      <c r="E73" s="8">
        <f>AVERAGE(D73,D84)-$D$74</f>
        <v>259</v>
      </c>
      <c r="H73" s="8">
        <f>E73*100/$E$73</f>
        <v>100</v>
      </c>
    </row>
    <row r="74" spans="1:8" ht="15.75" customHeight="1">
      <c r="A74" s="8" t="s">
        <v>660</v>
      </c>
      <c r="B74">
        <v>189</v>
      </c>
      <c r="C74">
        <v>188</v>
      </c>
      <c r="D74" s="8">
        <f>AVERAGE(B74:C74)</f>
        <v>188.5</v>
      </c>
      <c r="E74" s="8">
        <f t="shared" ref="E74:E84" si="27">D74-$D$74</f>
        <v>0</v>
      </c>
      <c r="H74" s="8"/>
    </row>
    <row r="75" spans="1:8" ht="15.75" customHeight="1">
      <c r="A75" t="s">
        <v>435</v>
      </c>
      <c r="B75">
        <v>187</v>
      </c>
      <c r="C75">
        <v>169</v>
      </c>
      <c r="D75" s="8">
        <f t="shared" ref="D75:D84" si="28">AVERAGE(B75:C75)</f>
        <v>178</v>
      </c>
      <c r="E75" s="8">
        <f t="shared" si="27"/>
        <v>-10.5</v>
      </c>
      <c r="F75" s="11">
        <v>1.0000000000000001E-5</v>
      </c>
      <c r="G75" s="8">
        <f t="shared" ref="G75:G83" si="29">LOG(F75)</f>
        <v>-5</v>
      </c>
      <c r="H75" s="8">
        <f t="shared" ref="H75:H83" si="30">E75*100/$E$73</f>
        <v>-4.0540540540540544</v>
      </c>
    </row>
    <row r="76" spans="1:8" ht="15.75" customHeight="1">
      <c r="A76" s="5" t="s">
        <v>666</v>
      </c>
      <c r="B76">
        <v>253</v>
      </c>
      <c r="C76">
        <v>188</v>
      </c>
      <c r="D76" s="8">
        <f t="shared" si="28"/>
        <v>220.5</v>
      </c>
      <c r="E76" s="8">
        <f t="shared" si="27"/>
        <v>32</v>
      </c>
      <c r="F76" s="11">
        <f t="shared" ref="F76:F83" si="31">F75*0.3162</f>
        <v>3.162E-6</v>
      </c>
      <c r="G76" s="8">
        <f t="shared" si="29"/>
        <v>-5.5000381344038098</v>
      </c>
      <c r="H76" s="8">
        <f t="shared" si="30"/>
        <v>12.355212355212355</v>
      </c>
    </row>
    <row r="77" spans="1:8" ht="15.75" customHeight="1">
      <c r="A77"/>
      <c r="B77">
        <v>186</v>
      </c>
      <c r="C77">
        <v>281</v>
      </c>
      <c r="D77" s="8">
        <f t="shared" si="28"/>
        <v>233.5</v>
      </c>
      <c r="E77" s="8">
        <f t="shared" si="27"/>
        <v>45</v>
      </c>
      <c r="F77" s="11">
        <f t="shared" si="31"/>
        <v>9.9982439999999994E-7</v>
      </c>
      <c r="G77" s="8">
        <f t="shared" si="29"/>
        <v>-6.0000762688076197</v>
      </c>
      <c r="H77" s="8">
        <f t="shared" si="30"/>
        <v>17.374517374517374</v>
      </c>
    </row>
    <row r="78" spans="1:8" ht="15.75" customHeight="1">
      <c r="B78">
        <v>199</v>
      </c>
      <c r="C78">
        <v>188</v>
      </c>
      <c r="D78" s="8">
        <f t="shared" si="28"/>
        <v>193.5</v>
      </c>
      <c r="E78" s="8">
        <f t="shared" si="27"/>
        <v>5</v>
      </c>
      <c r="F78" s="11">
        <f t="shared" si="31"/>
        <v>3.1614447527999998E-7</v>
      </c>
      <c r="G78" s="8">
        <f t="shared" si="29"/>
        <v>-6.5001144032114295</v>
      </c>
      <c r="H78" s="8">
        <f t="shared" si="30"/>
        <v>1.9305019305019304</v>
      </c>
    </row>
    <row r="79" spans="1:8" ht="15.75" customHeight="1">
      <c r="B79">
        <v>125</v>
      </c>
      <c r="C79">
        <v>178</v>
      </c>
      <c r="D79" s="8">
        <f t="shared" si="28"/>
        <v>151.5</v>
      </c>
      <c r="E79" s="8">
        <f t="shared" si="27"/>
        <v>-37</v>
      </c>
      <c r="F79" s="11">
        <f t="shared" si="31"/>
        <v>9.9964883083535985E-8</v>
      </c>
      <c r="G79" s="8">
        <f t="shared" si="29"/>
        <v>-7.0001525376152394</v>
      </c>
      <c r="H79" s="8">
        <f t="shared" si="30"/>
        <v>-14.285714285714286</v>
      </c>
    </row>
    <row r="80" spans="1:8" ht="15.75" customHeight="1">
      <c r="B80">
        <v>199</v>
      </c>
      <c r="C80">
        <v>229</v>
      </c>
      <c r="D80" s="8">
        <f t="shared" si="28"/>
        <v>214</v>
      </c>
      <c r="E80" s="8">
        <f t="shared" si="27"/>
        <v>25.5</v>
      </c>
      <c r="F80" s="11">
        <f t="shared" si="31"/>
        <v>3.1608896031014074E-8</v>
      </c>
      <c r="G80" s="8">
        <f t="shared" si="29"/>
        <v>-7.5001906720190492</v>
      </c>
      <c r="H80" s="8">
        <f t="shared" si="30"/>
        <v>9.8455598455598459</v>
      </c>
    </row>
    <row r="81" spans="1:8" ht="15.75" customHeight="1">
      <c r="B81">
        <v>258</v>
      </c>
      <c r="C81">
        <v>311</v>
      </c>
      <c r="D81" s="8">
        <f t="shared" si="28"/>
        <v>284.5</v>
      </c>
      <c r="E81" s="8">
        <f t="shared" si="27"/>
        <v>96</v>
      </c>
      <c r="F81" s="11">
        <f t="shared" si="31"/>
        <v>9.9947329250066497E-9</v>
      </c>
      <c r="G81" s="8">
        <f t="shared" si="29"/>
        <v>-8.0002288064228591</v>
      </c>
      <c r="H81" s="8">
        <f t="shared" si="30"/>
        <v>37.065637065637063</v>
      </c>
    </row>
    <row r="82" spans="1:8" ht="15.75" customHeight="1">
      <c r="B82">
        <v>335</v>
      </c>
      <c r="C82">
        <v>335</v>
      </c>
      <c r="D82" s="8">
        <f t="shared" si="28"/>
        <v>335</v>
      </c>
      <c r="E82" s="8">
        <f t="shared" si="27"/>
        <v>146.5</v>
      </c>
      <c r="F82" s="11">
        <f t="shared" si="31"/>
        <v>3.1603345508871026E-9</v>
      </c>
      <c r="G82" s="8">
        <f t="shared" si="29"/>
        <v>-8.500266940826668</v>
      </c>
      <c r="H82" s="8">
        <f t="shared" si="30"/>
        <v>56.56370656370656</v>
      </c>
    </row>
    <row r="83" spans="1:8" ht="15.75" customHeight="1">
      <c r="B83">
        <v>364</v>
      </c>
      <c r="C83">
        <v>394</v>
      </c>
      <c r="D83" s="8">
        <f t="shared" si="28"/>
        <v>379</v>
      </c>
      <c r="E83" s="8">
        <f t="shared" si="27"/>
        <v>190.5</v>
      </c>
      <c r="F83" s="11">
        <f t="shared" si="31"/>
        <v>9.992977849905017E-10</v>
      </c>
      <c r="G83" s="8">
        <f t="shared" si="29"/>
        <v>-9.0003050752304787</v>
      </c>
      <c r="H83" s="8">
        <f t="shared" si="30"/>
        <v>73.552123552123547</v>
      </c>
    </row>
    <row r="84" spans="1:8" ht="15.75" customHeight="1">
      <c r="B84">
        <v>378</v>
      </c>
      <c r="C84">
        <v>445</v>
      </c>
      <c r="D84" s="8">
        <f t="shared" si="28"/>
        <v>411.5</v>
      </c>
      <c r="E84" s="8">
        <f t="shared" si="27"/>
        <v>223</v>
      </c>
      <c r="F84" s="11"/>
      <c r="G84" s="8"/>
      <c r="H84" s="8"/>
    </row>
    <row r="85" spans="1:8" ht="15.75" customHeight="1">
      <c r="B85"/>
      <c r="C85"/>
      <c r="D85" s="5" t="s">
        <v>8</v>
      </c>
      <c r="E85" s="5" t="s">
        <v>9</v>
      </c>
      <c r="F85" s="5" t="s">
        <v>10</v>
      </c>
      <c r="G85" s="5" t="s">
        <v>11</v>
      </c>
      <c r="H85" s="5" t="s">
        <v>12</v>
      </c>
    </row>
    <row r="86" spans="1:8" ht="15.75" customHeight="1">
      <c r="A86" s="5" t="s">
        <v>19</v>
      </c>
      <c r="B86">
        <v>424</v>
      </c>
      <c r="C86">
        <v>445</v>
      </c>
      <c r="D86" s="8">
        <f>AVERAGE(B86:C86)</f>
        <v>434.5</v>
      </c>
      <c r="E86" s="8">
        <f>AVERAGE(D97,D86)-$D$87</f>
        <v>150.25</v>
      </c>
      <c r="H86" s="8">
        <f>E86*100/$E$86</f>
        <v>100</v>
      </c>
    </row>
    <row r="87" spans="1:8" ht="15.75" customHeight="1">
      <c r="A87" s="8" t="s">
        <v>662</v>
      </c>
      <c r="B87">
        <v>285</v>
      </c>
      <c r="C87">
        <v>251</v>
      </c>
      <c r="D87" s="8">
        <f>AVERAGE(B87:C87)</f>
        <v>268</v>
      </c>
      <c r="E87" s="8">
        <f t="shared" ref="E87:E96" si="32">D87-$D$87</f>
        <v>0</v>
      </c>
      <c r="H87" s="8"/>
    </row>
    <row r="88" spans="1:8" ht="15.75" customHeight="1">
      <c r="A88" t="s">
        <v>653</v>
      </c>
      <c r="B88">
        <v>395</v>
      </c>
      <c r="C88">
        <v>339</v>
      </c>
      <c r="D88" s="8">
        <f t="shared" ref="D88:D97" si="33">AVERAGE(B88:C88)</f>
        <v>367</v>
      </c>
      <c r="E88" s="8">
        <f>D88-$D$87</f>
        <v>99</v>
      </c>
      <c r="F88" s="11">
        <v>1.0000000000000001E-5</v>
      </c>
      <c r="G88" s="8">
        <f t="shared" ref="G88:G96" si="34">LOG(F88)</f>
        <v>-5</v>
      </c>
      <c r="H88" s="8">
        <f>E88*100/$E$86</f>
        <v>65.890183028286188</v>
      </c>
    </row>
    <row r="89" spans="1:8" ht="15.75" customHeight="1">
      <c r="B89">
        <v>410</v>
      </c>
      <c r="C89">
        <v>435</v>
      </c>
      <c r="D89" s="8">
        <f t="shared" si="33"/>
        <v>422.5</v>
      </c>
      <c r="E89" s="8">
        <f t="shared" si="32"/>
        <v>154.5</v>
      </c>
      <c r="F89" s="11">
        <f t="shared" ref="F89:F96" si="35">F88*0.3162</f>
        <v>3.162E-6</v>
      </c>
      <c r="G89" s="8">
        <f t="shared" si="34"/>
        <v>-5.5000381344038098</v>
      </c>
      <c r="H89" s="8">
        <f t="shared" ref="H89:H96" si="36">E89*100/$E$86</f>
        <v>102.82861896838602</v>
      </c>
    </row>
    <row r="90" spans="1:8" ht="15.75" customHeight="1">
      <c r="B90">
        <v>458</v>
      </c>
      <c r="C90">
        <v>415</v>
      </c>
      <c r="D90" s="8">
        <f t="shared" si="33"/>
        <v>436.5</v>
      </c>
      <c r="E90" s="8">
        <f t="shared" si="32"/>
        <v>168.5</v>
      </c>
      <c r="F90" s="11">
        <f t="shared" si="35"/>
        <v>9.9982439999999994E-7</v>
      </c>
      <c r="G90" s="8">
        <f t="shared" si="34"/>
        <v>-6.0000762688076197</v>
      </c>
      <c r="H90" s="8">
        <f t="shared" si="36"/>
        <v>112.14642262895175</v>
      </c>
    </row>
    <row r="91" spans="1:8" ht="15.75" customHeight="1">
      <c r="A91"/>
      <c r="B91">
        <v>484</v>
      </c>
      <c r="C91">
        <v>445</v>
      </c>
      <c r="D91" s="8">
        <f t="shared" si="33"/>
        <v>464.5</v>
      </c>
      <c r="E91" s="8">
        <f t="shared" si="32"/>
        <v>196.5</v>
      </c>
      <c r="F91" s="11">
        <f t="shared" si="35"/>
        <v>3.1614447527999998E-7</v>
      </c>
      <c r="G91" s="8">
        <f t="shared" si="34"/>
        <v>-6.5001144032114295</v>
      </c>
      <c r="H91" s="8">
        <f t="shared" si="36"/>
        <v>130.7820299500832</v>
      </c>
    </row>
    <row r="92" spans="1:8" ht="15.75" customHeight="1">
      <c r="B92">
        <v>372</v>
      </c>
      <c r="C92">
        <v>345</v>
      </c>
      <c r="D92" s="8">
        <f t="shared" si="33"/>
        <v>358.5</v>
      </c>
      <c r="E92" s="8">
        <f t="shared" si="32"/>
        <v>90.5</v>
      </c>
      <c r="F92" s="11">
        <f t="shared" si="35"/>
        <v>9.9964883083535985E-8</v>
      </c>
      <c r="G92" s="8">
        <f t="shared" si="34"/>
        <v>-7.0001525376152394</v>
      </c>
      <c r="H92" s="8">
        <f t="shared" si="36"/>
        <v>60.232945091514146</v>
      </c>
    </row>
    <row r="93" spans="1:8" ht="15.75" customHeight="1">
      <c r="B93">
        <v>399</v>
      </c>
      <c r="C93">
        <v>408</v>
      </c>
      <c r="D93" s="8">
        <f t="shared" si="33"/>
        <v>403.5</v>
      </c>
      <c r="E93" s="8">
        <f t="shared" si="32"/>
        <v>135.5</v>
      </c>
      <c r="F93" s="11">
        <f t="shared" si="35"/>
        <v>3.1608896031014074E-8</v>
      </c>
      <c r="G93" s="8">
        <f t="shared" si="34"/>
        <v>-7.5001906720190492</v>
      </c>
      <c r="H93" s="8">
        <f t="shared" si="36"/>
        <v>90.183028286189682</v>
      </c>
    </row>
    <row r="94" spans="1:8" ht="15.75" customHeight="1">
      <c r="B94">
        <v>324</v>
      </c>
      <c r="C94">
        <v>507</v>
      </c>
      <c r="D94" s="8">
        <f t="shared" si="33"/>
        <v>415.5</v>
      </c>
      <c r="E94" s="8">
        <f t="shared" si="32"/>
        <v>147.5</v>
      </c>
      <c r="F94" s="11">
        <f t="shared" si="35"/>
        <v>9.9947329250066497E-9</v>
      </c>
      <c r="G94" s="8">
        <f t="shared" si="34"/>
        <v>-8.0002288064228591</v>
      </c>
      <c r="H94" s="8">
        <f t="shared" si="36"/>
        <v>98.169717138103167</v>
      </c>
    </row>
    <row r="95" spans="1:8" ht="15.75" customHeight="1">
      <c r="B95">
        <v>400</v>
      </c>
      <c r="C95">
        <v>392</v>
      </c>
      <c r="D95" s="8">
        <f t="shared" si="33"/>
        <v>396</v>
      </c>
      <c r="E95" s="8">
        <f t="shared" si="32"/>
        <v>128</v>
      </c>
      <c r="F95" s="11">
        <f t="shared" si="35"/>
        <v>3.1603345508871026E-9</v>
      </c>
      <c r="G95" s="8">
        <f t="shared" si="34"/>
        <v>-8.500266940826668</v>
      </c>
      <c r="H95" s="8">
        <f t="shared" si="36"/>
        <v>85.191347753743756</v>
      </c>
    </row>
    <row r="96" spans="1:8" ht="15.75" customHeight="1">
      <c r="B96">
        <v>314</v>
      </c>
      <c r="C96">
        <v>419</v>
      </c>
      <c r="D96" s="8">
        <f t="shared" si="33"/>
        <v>366.5</v>
      </c>
      <c r="E96" s="8">
        <f t="shared" si="32"/>
        <v>98.5</v>
      </c>
      <c r="F96" s="11">
        <f t="shared" si="35"/>
        <v>9.992977849905017E-10</v>
      </c>
      <c r="G96" s="8">
        <f t="shared" si="34"/>
        <v>-9.0003050752304787</v>
      </c>
      <c r="H96" s="8">
        <f t="shared" si="36"/>
        <v>65.557404326123134</v>
      </c>
    </row>
    <row r="97" spans="1:8" ht="15.75" customHeight="1">
      <c r="B97">
        <v>393</v>
      </c>
      <c r="C97">
        <v>411</v>
      </c>
      <c r="D97" s="8">
        <f t="shared" si="33"/>
        <v>402</v>
      </c>
      <c r="E97" s="8"/>
      <c r="F97" s="11"/>
      <c r="G97" s="8"/>
      <c r="H97" s="8"/>
    </row>
    <row r="98" spans="1:8" ht="15.75" customHeight="1">
      <c r="B98"/>
      <c r="C98"/>
      <c r="D98" s="5" t="s">
        <v>8</v>
      </c>
      <c r="E98" s="5" t="s">
        <v>9</v>
      </c>
      <c r="F98" s="5" t="s">
        <v>10</v>
      </c>
      <c r="G98" s="5" t="s">
        <v>11</v>
      </c>
      <c r="H98" s="5" t="s">
        <v>12</v>
      </c>
    </row>
    <row r="99" spans="1:8" ht="15.75" customHeight="1">
      <c r="A99" s="5" t="s">
        <v>20</v>
      </c>
      <c r="B99">
        <v>423</v>
      </c>
      <c r="C99">
        <v>516</v>
      </c>
      <c r="D99" s="8">
        <f>AVERAGE(B99:C99)</f>
        <v>469.5</v>
      </c>
      <c r="E99" s="8">
        <f>AVERAGE(D99,D110)-$D$100</f>
        <v>274</v>
      </c>
      <c r="H99" s="8">
        <f>E99*100/$E$99</f>
        <v>100</v>
      </c>
    </row>
    <row r="100" spans="1:8" ht="15.75" customHeight="1">
      <c r="A100" s="14" t="s">
        <v>663</v>
      </c>
      <c r="B100">
        <v>218</v>
      </c>
      <c r="C100">
        <v>288</v>
      </c>
      <c r="D100" s="8">
        <f>AVERAGE(B101:C101)</f>
        <v>174</v>
      </c>
      <c r="E100" s="8">
        <f t="shared" ref="E100:E109" si="37">D100-$D$100</f>
        <v>0</v>
      </c>
      <c r="H100" s="8"/>
    </row>
    <row r="101" spans="1:8" ht="15.75" customHeight="1">
      <c r="A101" s="5" t="s">
        <v>435</v>
      </c>
      <c r="B101">
        <v>176</v>
      </c>
      <c r="C101">
        <v>172</v>
      </c>
      <c r="D101" s="8">
        <f t="shared" ref="D101:D110" si="38">AVERAGE(B101:C101)</f>
        <v>174</v>
      </c>
      <c r="E101" s="8">
        <f t="shared" si="37"/>
        <v>0</v>
      </c>
      <c r="F101" s="11">
        <v>9.9999999999999995E-7</v>
      </c>
      <c r="G101" s="8">
        <f t="shared" ref="G101:G109" si="39">LOG(F101)</f>
        <v>-6</v>
      </c>
      <c r="H101" s="8">
        <f t="shared" ref="H101:H109" si="40">E101*100/$E$99</f>
        <v>0</v>
      </c>
    </row>
    <row r="102" spans="1:8" ht="15.75" customHeight="1">
      <c r="A102"/>
      <c r="B102">
        <v>224</v>
      </c>
      <c r="C102">
        <v>209</v>
      </c>
      <c r="D102" s="8">
        <f t="shared" si="38"/>
        <v>216.5</v>
      </c>
      <c r="E102" s="8">
        <f t="shared" si="37"/>
        <v>42.5</v>
      </c>
      <c r="F102" s="11">
        <f t="shared" ref="F102:F109" si="41">F101*0.3162</f>
        <v>3.1619999999999999E-7</v>
      </c>
      <c r="G102" s="8">
        <f t="shared" si="39"/>
        <v>-6.5000381344038098</v>
      </c>
      <c r="H102" s="8">
        <f t="shared" si="40"/>
        <v>15.510948905109489</v>
      </c>
    </row>
    <row r="103" spans="1:8" ht="15.75" customHeight="1">
      <c r="B103">
        <v>257</v>
      </c>
      <c r="C103">
        <v>252</v>
      </c>
      <c r="D103" s="8">
        <f t="shared" si="38"/>
        <v>254.5</v>
      </c>
      <c r="E103" s="8">
        <f t="shared" si="37"/>
        <v>80.5</v>
      </c>
      <c r="F103" s="11">
        <f t="shared" si="41"/>
        <v>9.9982439999999983E-8</v>
      </c>
      <c r="G103" s="8">
        <f t="shared" si="39"/>
        <v>-7.0000762688076197</v>
      </c>
      <c r="H103" s="8">
        <f t="shared" si="40"/>
        <v>29.37956204379562</v>
      </c>
    </row>
    <row r="104" spans="1:8" ht="15.75" customHeight="1">
      <c r="B104">
        <v>387</v>
      </c>
      <c r="C104">
        <v>436</v>
      </c>
      <c r="D104" s="8">
        <f t="shared" si="38"/>
        <v>411.5</v>
      </c>
      <c r="E104" s="8">
        <f t="shared" si="37"/>
        <v>237.5</v>
      </c>
      <c r="F104" s="11">
        <f t="shared" si="41"/>
        <v>3.1614447527999994E-8</v>
      </c>
      <c r="G104" s="8">
        <f t="shared" si="39"/>
        <v>-7.5001144032114295</v>
      </c>
      <c r="H104" s="8">
        <f t="shared" si="40"/>
        <v>86.678832116788328</v>
      </c>
    </row>
    <row r="105" spans="1:8" ht="15.75" customHeight="1">
      <c r="A105"/>
      <c r="B105">
        <v>294</v>
      </c>
      <c r="C105">
        <v>350</v>
      </c>
      <c r="D105" s="8">
        <f t="shared" si="38"/>
        <v>322</v>
      </c>
      <c r="E105" s="8">
        <f t="shared" si="37"/>
        <v>148</v>
      </c>
      <c r="F105" s="11">
        <f t="shared" si="41"/>
        <v>9.9964883083535969E-9</v>
      </c>
      <c r="G105" s="8">
        <f t="shared" si="39"/>
        <v>-8.0001525376152394</v>
      </c>
      <c r="H105" s="8">
        <f t="shared" si="40"/>
        <v>54.014598540145982</v>
      </c>
    </row>
    <row r="106" spans="1:8" ht="15.75" customHeight="1">
      <c r="A106"/>
      <c r="B106">
        <v>414</v>
      </c>
      <c r="C106">
        <v>401</v>
      </c>
      <c r="D106" s="8">
        <f t="shared" si="38"/>
        <v>407.5</v>
      </c>
      <c r="E106" s="8">
        <f t="shared" si="37"/>
        <v>233.5</v>
      </c>
      <c r="F106" s="11">
        <f t="shared" si="41"/>
        <v>3.1608896031014071E-9</v>
      </c>
      <c r="G106" s="8">
        <f t="shared" si="39"/>
        <v>-8.5001906720190483</v>
      </c>
      <c r="H106" s="8">
        <f t="shared" si="40"/>
        <v>85.21897810218978</v>
      </c>
    </row>
    <row r="107" spans="1:8" ht="15.75" customHeight="1">
      <c r="B107">
        <v>444</v>
      </c>
      <c r="C107">
        <v>509</v>
      </c>
      <c r="D107" s="8">
        <f t="shared" si="38"/>
        <v>476.5</v>
      </c>
      <c r="E107" s="8">
        <f t="shared" si="37"/>
        <v>302.5</v>
      </c>
      <c r="F107" s="11">
        <f t="shared" si="41"/>
        <v>9.9947329250066484E-10</v>
      </c>
      <c r="G107" s="8">
        <f t="shared" si="39"/>
        <v>-9.0002288064228591</v>
      </c>
      <c r="H107" s="8">
        <f t="shared" si="40"/>
        <v>110.4014598540146</v>
      </c>
    </row>
    <row r="108" spans="1:8" ht="15.75" customHeight="1">
      <c r="B108">
        <v>406</v>
      </c>
      <c r="C108">
        <v>388</v>
      </c>
      <c r="D108" s="8">
        <f t="shared" si="38"/>
        <v>397</v>
      </c>
      <c r="E108" s="8">
        <f t="shared" si="37"/>
        <v>223</v>
      </c>
      <c r="F108" s="11">
        <f t="shared" si="41"/>
        <v>3.1603345508871019E-10</v>
      </c>
      <c r="G108" s="8">
        <f t="shared" si="39"/>
        <v>-9.500266940826668</v>
      </c>
      <c r="H108" s="8">
        <f t="shared" si="40"/>
        <v>81.386861313868607</v>
      </c>
    </row>
    <row r="109" spans="1:8" ht="15.75" customHeight="1">
      <c r="B109">
        <v>439</v>
      </c>
      <c r="C109">
        <v>406</v>
      </c>
      <c r="D109" s="8">
        <f t="shared" si="38"/>
        <v>422.5</v>
      </c>
      <c r="E109" s="8">
        <f t="shared" si="37"/>
        <v>248.5</v>
      </c>
      <c r="F109" s="11">
        <f t="shared" si="41"/>
        <v>9.992977849905016E-11</v>
      </c>
      <c r="G109" s="8">
        <f t="shared" si="39"/>
        <v>-10.000305075230479</v>
      </c>
      <c r="H109" s="8">
        <f t="shared" si="40"/>
        <v>90.693430656934311</v>
      </c>
    </row>
    <row r="110" spans="1:8" ht="15.75" customHeight="1">
      <c r="A110"/>
      <c r="B110">
        <v>401</v>
      </c>
      <c r="C110">
        <v>452</v>
      </c>
      <c r="D110" s="8">
        <f t="shared" si="38"/>
        <v>426.5</v>
      </c>
      <c r="E110" s="8"/>
      <c r="F110" s="11"/>
      <c r="G110" s="8"/>
      <c r="H110" s="8"/>
    </row>
    <row r="111" spans="1:8" ht="15.75" customHeight="1"/>
    <row r="112" spans="1:8" ht="15.75" customHeight="1">
      <c r="B112"/>
      <c r="C112"/>
      <c r="D112" s="8"/>
      <c r="E112" s="8"/>
      <c r="H112" s="8"/>
    </row>
    <row r="113" spans="2:8" ht="15.75" customHeight="1">
      <c r="B113"/>
      <c r="C113"/>
      <c r="D113" s="8"/>
      <c r="E113" s="8"/>
      <c r="H113" s="8"/>
    </row>
    <row r="114" spans="2:8" ht="15.75" customHeight="1">
      <c r="B114"/>
      <c r="C114"/>
      <c r="D114" s="8"/>
      <c r="E114" s="8"/>
      <c r="F114" s="11"/>
      <c r="G114" s="8"/>
      <c r="H114" s="8"/>
    </row>
    <row r="115" spans="2:8" ht="15.75" customHeight="1">
      <c r="B115"/>
      <c r="C115"/>
      <c r="D115" s="8"/>
      <c r="E115" s="8"/>
      <c r="F115" s="11"/>
      <c r="G115" s="8"/>
      <c r="H115" s="8"/>
    </row>
    <row r="116" spans="2:8" ht="15.75" customHeight="1">
      <c r="B116"/>
      <c r="C116"/>
      <c r="D116" s="8"/>
      <c r="E116" s="8"/>
      <c r="F116" s="11"/>
      <c r="G116" s="8"/>
      <c r="H116" s="8"/>
    </row>
    <row r="117" spans="2:8" ht="15.75" customHeight="1">
      <c r="B117"/>
      <c r="C117"/>
      <c r="D117" s="8"/>
      <c r="E117" s="8"/>
      <c r="F117" s="11"/>
      <c r="G117" s="8"/>
      <c r="H117" s="8"/>
    </row>
    <row r="118" spans="2:8" ht="15.75" customHeight="1">
      <c r="B118"/>
      <c r="C118"/>
      <c r="D118" s="8"/>
      <c r="E118" s="8"/>
      <c r="F118" s="11"/>
      <c r="G118" s="8"/>
      <c r="H118" s="8"/>
    </row>
    <row r="119" spans="2:8" ht="15.75" customHeight="1">
      <c r="B119"/>
      <c r="C119"/>
      <c r="D119" s="8"/>
      <c r="E119" s="8"/>
      <c r="F119" s="11"/>
      <c r="G119" s="8"/>
      <c r="H119" s="8"/>
    </row>
    <row r="120" spans="2:8" ht="15.75" customHeight="1">
      <c r="B120"/>
      <c r="C120"/>
      <c r="D120" s="8"/>
      <c r="E120" s="8"/>
      <c r="F120" s="11"/>
      <c r="G120" s="8"/>
      <c r="H120" s="8"/>
    </row>
    <row r="121" spans="2:8" ht="15.75" customHeight="1">
      <c r="B121"/>
      <c r="C121"/>
      <c r="D121" s="8"/>
      <c r="E121" s="8"/>
      <c r="F121" s="11"/>
      <c r="G121" s="8"/>
      <c r="H121" s="8"/>
    </row>
    <row r="122" spans="2:8" ht="15.75" customHeight="1">
      <c r="B122"/>
      <c r="C122"/>
      <c r="D122" s="8"/>
      <c r="E122" s="8"/>
      <c r="F122" s="11"/>
      <c r="G122" s="8"/>
      <c r="H122" s="8"/>
    </row>
    <row r="123" spans="2:8" ht="15.75" customHeight="1">
      <c r="B123"/>
      <c r="C123"/>
      <c r="D123" s="8"/>
      <c r="E123" s="8"/>
      <c r="F123" s="11"/>
      <c r="G123" s="8"/>
      <c r="H123" s="8"/>
    </row>
    <row r="124" spans="2:8" ht="15.75" customHeight="1">
      <c r="B124"/>
      <c r="C124"/>
    </row>
    <row r="125" spans="2:8" ht="15.75" customHeight="1">
      <c r="B125"/>
      <c r="C125"/>
      <c r="D125" s="8"/>
      <c r="E125" s="8"/>
      <c r="H125" s="8"/>
    </row>
    <row r="126" spans="2:8" ht="15.75" customHeight="1">
      <c r="B126"/>
      <c r="C126"/>
      <c r="D126" s="8"/>
      <c r="E126" s="8"/>
      <c r="H126" s="8"/>
    </row>
    <row r="127" spans="2:8" ht="15.75" customHeight="1">
      <c r="B127"/>
      <c r="C127"/>
      <c r="D127" s="8"/>
      <c r="E127" s="8"/>
      <c r="F127" s="11"/>
      <c r="G127" s="8"/>
      <c r="H127" s="8"/>
    </row>
    <row r="128" spans="2:8" ht="15.75" customHeight="1">
      <c r="B128"/>
      <c r="C128"/>
      <c r="D128" s="8"/>
      <c r="E128" s="8"/>
      <c r="F128" s="11"/>
      <c r="G128" s="8"/>
      <c r="H128" s="8"/>
    </row>
    <row r="129" spans="1:8" ht="15.75" customHeight="1">
      <c r="B129"/>
      <c r="C129"/>
      <c r="D129" s="8"/>
      <c r="E129" s="8"/>
      <c r="F129" s="11"/>
      <c r="G129" s="8"/>
      <c r="H129" s="8"/>
    </row>
    <row r="130" spans="1:8" ht="15.75" customHeight="1">
      <c r="B130"/>
      <c r="C130"/>
      <c r="D130" s="8"/>
      <c r="E130" s="8"/>
      <c r="F130" s="11"/>
      <c r="G130" s="8"/>
      <c r="H130" s="8"/>
    </row>
    <row r="131" spans="1:8" ht="15.75" customHeight="1">
      <c r="B131"/>
      <c r="C131"/>
      <c r="D131" s="8"/>
      <c r="E131" s="8"/>
      <c r="F131" s="11"/>
      <c r="G131" s="8"/>
      <c r="H131" s="8"/>
    </row>
    <row r="132" spans="1:8" ht="15.75" customHeight="1">
      <c r="B132"/>
      <c r="C132"/>
      <c r="D132" s="8"/>
      <c r="E132" s="8"/>
      <c r="F132" s="11"/>
      <c r="G132" s="8"/>
      <c r="H132" s="8"/>
    </row>
    <row r="133" spans="1:8" ht="15.75" customHeight="1">
      <c r="B133"/>
      <c r="C133"/>
      <c r="D133" s="8"/>
      <c r="E133" s="8"/>
      <c r="F133" s="11"/>
      <c r="G133" s="8"/>
      <c r="H133" s="8"/>
    </row>
    <row r="134" spans="1:8" ht="15.75" customHeight="1">
      <c r="B134"/>
      <c r="C134"/>
      <c r="D134" s="8"/>
      <c r="E134" s="8"/>
      <c r="F134" s="11"/>
      <c r="G134" s="8"/>
      <c r="H134" s="8"/>
    </row>
    <row r="135" spans="1:8" ht="15.75" customHeight="1">
      <c r="B135"/>
      <c r="C135"/>
      <c r="D135" s="8"/>
      <c r="E135" s="8"/>
      <c r="F135" s="11"/>
      <c r="G135" s="8"/>
      <c r="H135" s="8"/>
    </row>
    <row r="136" spans="1:8" ht="15.75" customHeight="1">
      <c r="B136"/>
      <c r="C136"/>
      <c r="D136" s="8"/>
      <c r="E136" s="8"/>
      <c r="F136" s="11"/>
      <c r="G136" s="8"/>
      <c r="H136" s="8"/>
    </row>
    <row r="137" spans="1:8" ht="15.75" customHeight="1">
      <c r="B137"/>
      <c r="C137"/>
    </row>
    <row r="138" spans="1:8" ht="15.75" customHeight="1">
      <c r="B138"/>
      <c r="C138"/>
      <c r="D138" s="8"/>
      <c r="E138" s="8"/>
      <c r="H138" s="8"/>
    </row>
    <row r="139" spans="1:8" ht="15.75" customHeight="1">
      <c r="B139"/>
      <c r="C139"/>
      <c r="D139" s="8"/>
      <c r="E139" s="8"/>
      <c r="H139" s="8"/>
    </row>
    <row r="140" spans="1:8" ht="15.75" customHeight="1">
      <c r="B140"/>
      <c r="C140"/>
      <c r="D140" s="8"/>
      <c r="E140" s="8"/>
      <c r="F140" s="11"/>
      <c r="G140" s="8"/>
      <c r="H140" s="8"/>
    </row>
    <row r="141" spans="1:8" ht="15.75" customHeight="1">
      <c r="B141"/>
      <c r="C141"/>
      <c r="D141" s="8"/>
      <c r="E141" s="8"/>
      <c r="F141" s="11"/>
      <c r="G141" s="8"/>
      <c r="H141" s="8"/>
    </row>
    <row r="142" spans="1:8" ht="15.75" customHeight="1">
      <c r="B142"/>
      <c r="C142"/>
      <c r="D142" s="8"/>
      <c r="E142" s="8"/>
      <c r="F142" s="11"/>
      <c r="G142" s="8"/>
      <c r="H142" s="8"/>
    </row>
    <row r="143" spans="1:8" ht="15.75" customHeight="1">
      <c r="A143"/>
      <c r="B143"/>
      <c r="C143"/>
      <c r="D143" s="8"/>
      <c r="E143" s="8"/>
      <c r="F143" s="11"/>
      <c r="G143" s="8"/>
      <c r="H143" s="8"/>
    </row>
    <row r="144" spans="1:8" ht="15.75" customHeight="1">
      <c r="B144"/>
      <c r="C144"/>
      <c r="D144" s="8"/>
      <c r="E144" s="8"/>
      <c r="F144" s="11"/>
      <c r="G144" s="8"/>
      <c r="H144" s="8"/>
    </row>
    <row r="145" spans="1:8" ht="15.75" customHeight="1">
      <c r="B145"/>
      <c r="C145"/>
      <c r="D145" s="8"/>
      <c r="E145" s="8"/>
      <c r="F145" s="11"/>
      <c r="G145" s="8"/>
      <c r="H145" s="8"/>
    </row>
    <row r="146" spans="1:8" ht="15.75" customHeight="1">
      <c r="B146"/>
      <c r="C146"/>
      <c r="D146" s="8"/>
      <c r="E146" s="8"/>
      <c r="F146" s="11"/>
      <c r="G146" s="8"/>
      <c r="H146" s="8"/>
    </row>
    <row r="147" spans="1:8" ht="15.75" customHeight="1">
      <c r="B147"/>
      <c r="C147"/>
      <c r="D147" s="8"/>
      <c r="E147" s="8"/>
      <c r="F147" s="11"/>
      <c r="G147" s="8"/>
      <c r="H147" s="8"/>
    </row>
    <row r="148" spans="1:8" ht="15.75" customHeight="1">
      <c r="B148"/>
      <c r="C148"/>
      <c r="D148" s="8"/>
      <c r="E148" s="8"/>
      <c r="F148" s="11"/>
      <c r="G148" s="8"/>
      <c r="H148" s="8"/>
    </row>
    <row r="149" spans="1:8" ht="15.75" customHeight="1">
      <c r="B149"/>
      <c r="C149"/>
      <c r="D149" s="8"/>
      <c r="E149" s="8"/>
      <c r="F149" s="11"/>
      <c r="G149" s="8"/>
      <c r="H149" s="8"/>
    </row>
    <row r="150" spans="1:8" ht="15.75" customHeight="1">
      <c r="B150"/>
      <c r="C150"/>
    </row>
    <row r="151" spans="1:8" ht="15.75" customHeight="1">
      <c r="B151"/>
      <c r="C151"/>
      <c r="D151" s="8"/>
      <c r="E151" s="8"/>
      <c r="H151" s="8"/>
    </row>
    <row r="152" spans="1:8" ht="15.75" customHeight="1">
      <c r="A152" s="10"/>
      <c r="B152"/>
      <c r="C152"/>
      <c r="D152" s="8"/>
      <c r="E152" s="8"/>
      <c r="H152" s="8"/>
    </row>
    <row r="153" spans="1:8" ht="15.75" customHeight="1">
      <c r="B153"/>
      <c r="C153"/>
      <c r="D153" s="8"/>
      <c r="E153" s="8"/>
      <c r="F153" s="11"/>
      <c r="G153" s="8"/>
      <c r="H153" s="8"/>
    </row>
    <row r="154" spans="1:8" ht="15.75" customHeight="1">
      <c r="B154"/>
      <c r="C154"/>
      <c r="D154" s="8"/>
      <c r="E154" s="8"/>
      <c r="F154" s="11"/>
      <c r="G154" s="8"/>
      <c r="H154" s="8"/>
    </row>
    <row r="155" spans="1:8" ht="15.75" customHeight="1">
      <c r="B155"/>
      <c r="C155"/>
      <c r="D155" s="8"/>
      <c r="E155" s="8"/>
      <c r="F155" s="11"/>
      <c r="G155" s="8"/>
      <c r="H155" s="8"/>
    </row>
    <row r="156" spans="1:8" ht="15.75" customHeight="1">
      <c r="B156"/>
      <c r="C156"/>
      <c r="D156" s="8"/>
      <c r="E156" s="8"/>
      <c r="F156" s="11"/>
      <c r="G156" s="8"/>
      <c r="H156" s="8"/>
    </row>
    <row r="157" spans="1:8" ht="15.75" customHeight="1">
      <c r="B157"/>
      <c r="C157"/>
      <c r="D157" s="8"/>
      <c r="E157" s="8"/>
      <c r="F157" s="11"/>
      <c r="G157" s="8"/>
      <c r="H157" s="8"/>
    </row>
    <row r="158" spans="1:8" ht="15.75" customHeight="1">
      <c r="B158"/>
      <c r="C158"/>
      <c r="D158" s="8"/>
      <c r="E158" s="8"/>
      <c r="F158" s="11"/>
      <c r="G158" s="8"/>
      <c r="H158" s="8"/>
    </row>
    <row r="159" spans="1:8" ht="15.75" customHeight="1">
      <c r="B159"/>
      <c r="C159"/>
      <c r="D159" s="8"/>
      <c r="E159" s="8"/>
      <c r="F159" s="11"/>
      <c r="G159" s="8"/>
      <c r="H159" s="8"/>
    </row>
    <row r="160" spans="1:8" ht="15.75" customHeight="1">
      <c r="B160"/>
      <c r="C160"/>
      <c r="D160" s="8"/>
      <c r="E160" s="8"/>
      <c r="F160" s="11"/>
      <c r="G160" s="8"/>
      <c r="H160" s="8"/>
    </row>
    <row r="161" spans="1:8" ht="15.75" customHeight="1">
      <c r="B161"/>
      <c r="C161"/>
      <c r="D161" s="8"/>
      <c r="E161" s="8"/>
      <c r="F161" s="11"/>
      <c r="G161" s="8"/>
      <c r="H161" s="8"/>
    </row>
    <row r="162" spans="1:8" ht="15.75" customHeight="1">
      <c r="A162"/>
      <c r="B162"/>
      <c r="C162"/>
      <c r="D162" s="8"/>
      <c r="E162" s="8"/>
      <c r="F162" s="11"/>
      <c r="G162" s="8"/>
      <c r="H162" s="8"/>
    </row>
    <row r="163" spans="1:8">
      <c r="H163" s="15"/>
    </row>
    <row r="164" spans="1:8">
      <c r="D164" s="8"/>
      <c r="E164" s="8"/>
      <c r="H164" s="8"/>
    </row>
    <row r="165" spans="1:8">
      <c r="D165" s="8"/>
      <c r="E165" s="8"/>
      <c r="H165" s="8"/>
    </row>
    <row r="166" spans="1:8">
      <c r="D166" s="8"/>
      <c r="E166" s="8"/>
      <c r="F166" s="11"/>
      <c r="G166" s="8"/>
      <c r="H166" s="8"/>
    </row>
    <row r="167" spans="1:8">
      <c r="D167" s="8"/>
      <c r="E167" s="8"/>
      <c r="F167" s="11"/>
      <c r="G167" s="8"/>
      <c r="H167" s="8"/>
    </row>
    <row r="168" spans="1:8">
      <c r="D168" s="8"/>
      <c r="E168" s="8"/>
      <c r="F168" s="11"/>
      <c r="G168" s="8"/>
      <c r="H168" s="8"/>
    </row>
    <row r="169" spans="1:8">
      <c r="D169" s="8"/>
      <c r="E169" s="8"/>
      <c r="F169" s="11"/>
      <c r="G169" s="8"/>
      <c r="H169" s="8"/>
    </row>
    <row r="170" spans="1:8">
      <c r="D170" s="8"/>
      <c r="E170" s="8"/>
      <c r="F170" s="11"/>
      <c r="G170" s="8"/>
      <c r="H170" s="8"/>
    </row>
    <row r="171" spans="1:8">
      <c r="D171" s="8"/>
      <c r="E171" s="8"/>
      <c r="F171" s="11"/>
      <c r="G171" s="8"/>
      <c r="H171" s="8"/>
    </row>
    <row r="172" spans="1:8">
      <c r="D172" s="8"/>
      <c r="E172" s="8"/>
      <c r="F172" s="11"/>
      <c r="G172" s="8"/>
      <c r="H172" s="8"/>
    </row>
    <row r="173" spans="1:8">
      <c r="D173" s="8"/>
      <c r="E173" s="8"/>
      <c r="F173" s="11"/>
      <c r="G173" s="8"/>
      <c r="H173" s="8"/>
    </row>
    <row r="174" spans="1:8">
      <c r="D174" s="8"/>
      <c r="E174" s="8"/>
      <c r="F174" s="11"/>
      <c r="G174" s="8"/>
      <c r="H174" s="8"/>
    </row>
    <row r="175" spans="1:8">
      <c r="D175" s="8"/>
      <c r="E175" s="8"/>
      <c r="F175" s="11"/>
      <c r="G175" s="8"/>
      <c r="H175" s="8"/>
    </row>
    <row r="176" spans="1:8">
      <c r="H176" s="15"/>
    </row>
    <row r="177" spans="4:8">
      <c r="D177" s="8"/>
      <c r="E177" s="8"/>
      <c r="H177" s="8"/>
    </row>
    <row r="178" spans="4:8">
      <c r="D178" s="8"/>
      <c r="E178" s="8"/>
      <c r="H178" s="8"/>
    </row>
    <row r="179" spans="4:8">
      <c r="D179" s="8"/>
      <c r="E179" s="8"/>
      <c r="F179" s="11"/>
      <c r="G179" s="8"/>
      <c r="H179" s="8"/>
    </row>
    <row r="180" spans="4:8">
      <c r="D180" s="8"/>
      <c r="E180" s="8"/>
      <c r="F180" s="11"/>
      <c r="G180" s="8"/>
      <c r="H180" s="8"/>
    </row>
    <row r="181" spans="4:8">
      <c r="D181" s="8"/>
      <c r="E181" s="8"/>
      <c r="F181" s="11"/>
      <c r="G181" s="8"/>
      <c r="H181" s="8"/>
    </row>
    <row r="182" spans="4:8">
      <c r="D182" s="8"/>
      <c r="E182" s="8"/>
      <c r="F182" s="11"/>
      <c r="G182" s="8"/>
      <c r="H182" s="8"/>
    </row>
    <row r="183" spans="4:8">
      <c r="D183" s="8"/>
      <c r="E183" s="8"/>
      <c r="F183" s="11"/>
      <c r="G183" s="8"/>
      <c r="H183" s="8"/>
    </row>
    <row r="184" spans="4:8">
      <c r="D184" s="8"/>
      <c r="E184" s="8"/>
      <c r="F184" s="11"/>
      <c r="G184" s="8"/>
      <c r="H184" s="8"/>
    </row>
    <row r="185" spans="4:8">
      <c r="D185" s="8"/>
      <c r="E185" s="8"/>
      <c r="F185" s="11"/>
      <c r="G185" s="8"/>
      <c r="H185" s="8"/>
    </row>
    <row r="186" spans="4:8">
      <c r="D186" s="8"/>
      <c r="E186" s="8"/>
      <c r="F186" s="11"/>
      <c r="G186" s="8"/>
      <c r="H186" s="8"/>
    </row>
    <row r="187" spans="4:8">
      <c r="D187" s="8"/>
      <c r="E187" s="8"/>
      <c r="F187" s="11"/>
      <c r="G187" s="8"/>
      <c r="H187" s="8"/>
    </row>
    <row r="188" spans="4:8">
      <c r="D188" s="8"/>
      <c r="E188" s="8"/>
      <c r="F188" s="11"/>
      <c r="G188" s="8"/>
      <c r="H188" s="8"/>
    </row>
    <row r="189" spans="4:8">
      <c r="H189" s="15"/>
    </row>
    <row r="190" spans="4:8">
      <c r="D190" s="8"/>
      <c r="E190" s="8"/>
      <c r="H190" s="8"/>
    </row>
    <row r="191" spans="4:8">
      <c r="D191" s="8"/>
      <c r="E191" s="8"/>
      <c r="H191" s="8"/>
    </row>
    <row r="192" spans="4:8">
      <c r="D192" s="8"/>
      <c r="E192" s="8"/>
      <c r="F192" s="11"/>
      <c r="G192" s="8"/>
      <c r="H192" s="8"/>
    </row>
    <row r="193" spans="4:8">
      <c r="D193" s="8"/>
      <c r="E193" s="8"/>
      <c r="F193" s="11"/>
      <c r="G193" s="8"/>
      <c r="H193" s="8"/>
    </row>
    <row r="194" spans="4:8">
      <c r="D194" s="8"/>
      <c r="E194" s="8"/>
      <c r="F194" s="11"/>
      <c r="G194" s="8"/>
      <c r="H194" s="8"/>
    </row>
    <row r="195" spans="4:8">
      <c r="D195" s="8"/>
      <c r="E195" s="8"/>
      <c r="F195" s="11"/>
      <c r="G195" s="8"/>
      <c r="H195" s="8"/>
    </row>
    <row r="196" spans="4:8">
      <c r="D196" s="8"/>
      <c r="E196" s="8"/>
      <c r="F196" s="11"/>
      <c r="G196" s="8"/>
      <c r="H196" s="8"/>
    </row>
    <row r="197" spans="4:8">
      <c r="D197" s="8"/>
      <c r="E197" s="8"/>
      <c r="F197" s="11"/>
      <c r="G197" s="8"/>
      <c r="H197" s="8"/>
    </row>
    <row r="198" spans="4:8">
      <c r="D198" s="8"/>
      <c r="E198" s="8"/>
      <c r="F198" s="11"/>
      <c r="G198" s="8"/>
      <c r="H198" s="8"/>
    </row>
    <row r="199" spans="4:8">
      <c r="D199" s="8"/>
      <c r="E199" s="8"/>
      <c r="F199" s="11"/>
      <c r="G199" s="8"/>
      <c r="H199" s="8"/>
    </row>
    <row r="200" spans="4:8">
      <c r="D200" s="8"/>
      <c r="E200" s="8"/>
      <c r="F200" s="11"/>
      <c r="G200" s="8"/>
      <c r="H200" s="8"/>
    </row>
    <row r="201" spans="4:8">
      <c r="D201" s="8"/>
      <c r="E201" s="8"/>
      <c r="F201" s="11"/>
      <c r="G201" s="8"/>
      <c r="H201" s="8"/>
    </row>
    <row r="202" spans="4:8">
      <c r="H202" s="15"/>
    </row>
    <row r="203" spans="4:8">
      <c r="D203" s="8"/>
      <c r="E203" s="8"/>
      <c r="H203" s="8"/>
    </row>
    <row r="204" spans="4:8">
      <c r="D204" s="8"/>
      <c r="E204" s="8"/>
      <c r="H204" s="8"/>
    </row>
    <row r="205" spans="4:8">
      <c r="D205" s="8"/>
      <c r="E205" s="8"/>
      <c r="F205" s="11"/>
      <c r="G205" s="8"/>
      <c r="H205" s="8"/>
    </row>
    <row r="206" spans="4:8">
      <c r="D206" s="8"/>
      <c r="E206" s="8"/>
      <c r="F206" s="11"/>
      <c r="G206" s="8"/>
      <c r="H206" s="8"/>
    </row>
    <row r="207" spans="4:8">
      <c r="D207" s="8"/>
      <c r="E207" s="8"/>
      <c r="F207" s="11"/>
      <c r="G207" s="8"/>
      <c r="H207" s="8"/>
    </row>
    <row r="208" spans="4:8">
      <c r="D208" s="8"/>
      <c r="E208" s="8"/>
      <c r="F208" s="11"/>
      <c r="G208" s="8"/>
      <c r="H208" s="8"/>
    </row>
    <row r="209" spans="4:8">
      <c r="D209" s="8"/>
      <c r="E209" s="8"/>
      <c r="F209" s="11"/>
      <c r="G209" s="8"/>
      <c r="H209" s="8"/>
    </row>
    <row r="210" spans="4:8">
      <c r="D210" s="8"/>
      <c r="E210" s="8"/>
      <c r="F210" s="11"/>
      <c r="G210" s="8"/>
      <c r="H210" s="8"/>
    </row>
    <row r="211" spans="4:8">
      <c r="D211" s="8"/>
      <c r="E211" s="8"/>
      <c r="F211" s="11"/>
      <c r="G211" s="8"/>
      <c r="H211" s="8"/>
    </row>
    <row r="212" spans="4:8">
      <c r="D212" s="8"/>
      <c r="E212" s="8"/>
      <c r="F212" s="11"/>
      <c r="G212" s="8"/>
      <c r="H212" s="8"/>
    </row>
    <row r="213" spans="4:8">
      <c r="D213" s="8"/>
      <c r="E213" s="8"/>
      <c r="F213" s="11"/>
      <c r="G213" s="8"/>
      <c r="H213" s="8"/>
    </row>
    <row r="214" spans="4:8">
      <c r="D214" s="8"/>
      <c r="E214" s="8"/>
      <c r="F214" s="11"/>
      <c r="G214" s="8"/>
      <c r="H214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E8B8F7-7A94-4F55-AA82-E2A15DF69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4FAAEB-000D-483B-B2DE-F2367FA15CED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8cafe7d8-4bd4-4378-b54d-cfdec05ca8b5"/>
    <ds:schemaRef ds:uri="http://purl.org/dc/dcmitype/"/>
    <ds:schemaRef ds:uri="http://schemas.openxmlformats.org/package/2006/metadata/core-properties"/>
    <ds:schemaRef ds:uri="1a253495-b0d9-40a4-8e1c-242bf543167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E6DE3FD-FF9A-4067-8896-5AF41390C1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011224</vt:lpstr>
      <vt:lpstr>Template sheet</vt:lpstr>
      <vt:lpstr>P1 D9-THC -6</vt:lpstr>
      <vt:lpstr>P2 D8-THC -6</vt:lpstr>
      <vt:lpstr>P3 D9-THC-B -6</vt:lpstr>
      <vt:lpstr>P2 D9-THC-H -6</vt:lpstr>
      <vt:lpstr>P2 D8-THC-P -7</vt:lpstr>
      <vt:lpstr>D9-THC -6</vt:lpstr>
      <vt:lpstr>D8-THC-O -5</vt:lpstr>
      <vt:lpstr>FDA 1-2</vt:lpstr>
      <vt:lpstr>FDA3-4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Atheir Abbas</cp:lastModifiedBy>
  <cp:lastPrinted>2023-05-10T15:28:16Z</cp:lastPrinted>
  <dcterms:created xsi:type="dcterms:W3CDTF">2023-02-09T21:09:58Z</dcterms:created>
  <dcterms:modified xsi:type="dcterms:W3CDTF">2024-09-27T14:58:35Z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