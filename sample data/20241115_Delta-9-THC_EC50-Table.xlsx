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FDA CB Project/Data for Neil Adjacent/Binding Analysis/d9THC/"/>
    </mc:Choice>
  </mc:AlternateContent>
  <xr:revisionPtr revIDLastSave="6" documentId="14_{F8772537-3A1A-4FAE-8268-54F5B38A9566}" xr6:coauthVersionLast="47" xr6:coauthVersionMax="47" xr10:uidLastSave="{C72BCD45-FFC9-2346-A5E7-91FB607DE955}"/>
  <bookViews>
    <workbookView xWindow="2080" yWindow="1700" windowWidth="24280" windowHeight="15400" xr2:uid="{00000000-000D-0000-FFFF-FFFF00000000}"/>
  </bookViews>
  <sheets>
    <sheet name="Delta-9-THC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E7" i="6"/>
  <c r="C25" i="6"/>
  <c r="E18" i="6" l="1"/>
  <c r="F18" i="6"/>
  <c r="A27" i="6"/>
  <c r="E20" i="6"/>
  <c r="F20" i="6"/>
  <c r="B27" i="6"/>
  <c r="E13" i="6"/>
  <c r="F13" i="6"/>
  <c r="E14" i="6"/>
  <c r="F14" i="6"/>
  <c r="E17" i="6"/>
  <c r="F17" i="6"/>
  <c r="E19" i="6"/>
  <c r="F19" i="6"/>
  <c r="E21" i="6"/>
  <c r="F21" i="6"/>
  <c r="E22" i="6"/>
  <c r="F22" i="6"/>
  <c r="E23" i="6"/>
  <c r="F23" i="6"/>
  <c r="C27" i="6"/>
  <c r="F10" i="6"/>
  <c r="E10" i="6"/>
  <c r="F9" i="6"/>
  <c r="E9" i="6"/>
  <c r="F8" i="6"/>
  <c r="E8" i="6"/>
  <c r="F6" i="6"/>
  <c r="E6" i="6"/>
  <c r="F4" i="6"/>
  <c r="E4" i="6"/>
  <c r="D27" i="6" l="1"/>
  <c r="H27" i="6"/>
  <c r="G27" i="6"/>
  <c r="E27" i="6"/>
  <c r="F27" i="6"/>
</calcChain>
</file>

<file path=xl/sharedStrings.xml><?xml version="1.0" encoding="utf-8"?>
<sst xmlns="http://schemas.openxmlformats.org/spreadsheetml/2006/main" count="25" uniqueCount="21">
  <si>
    <t>Date</t>
  </si>
  <si>
    <t>%max CP</t>
  </si>
  <si>
    <t xml:space="preserve">Log </t>
  </si>
  <si>
    <t># Expts</t>
  </si>
  <si>
    <t>EC50 (nM)</t>
  </si>
  <si>
    <t>Ave EC50 ± sem (nM)</t>
  </si>
  <si>
    <t>Emax ± sem % maximal CP55, 940)</t>
  </si>
  <si>
    <t>Notes:</t>
  </si>
  <si>
    <t>max CP55,940</t>
  </si>
  <si>
    <t>max drug effect</t>
  </si>
  <si>
    <t xml:space="preserve">Log EC50 ± sem </t>
  </si>
  <si>
    <t xml:space="preserve">HEK-CB1 Cells Functional Assays: Inhibition of cAMP accumulation </t>
  </si>
  <si>
    <t>% Error (EC50)</t>
  </si>
  <si>
    <t>bottom not defined</t>
  </si>
  <si>
    <t>66.45*</t>
  </si>
  <si>
    <t>75.83*</t>
  </si>
  <si>
    <t>136.1*</t>
  </si>
  <si>
    <t>96.85*</t>
  </si>
  <si>
    <t>3816*</t>
  </si>
  <si>
    <t>Delta-9-THC</t>
  </si>
  <si>
    <t>Summary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</si>
</sst>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4" fillId="0" borderId="0" xfId="0" quotePrefix="1" applyFont="1" applyAlignment="1">
      <alignment horizontal="left" vertical="center"/>
    </xf>
    <xf numFmtId="2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vertical="center"/>
    </xf>
    <xf numFmtId="166" fontId="4" fillId="0" borderId="0" xfId="1" applyNumberFormat="1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10" zoomScaleNormal="110" workbookViewId="0">
      <selection activeCell="E31" sqref="E31"/>
    </sheetView>
  </sheetViews>
  <sheetFormatPr baseColWidth="10" defaultColWidth="8.83203125" defaultRowHeight="14" x14ac:dyDescent="0.15"/>
  <cols>
    <col min="1" max="1" width="14" style="9" customWidth="1"/>
    <col min="2" max="2" width="9.5" style="6" customWidth="1"/>
    <col min="3" max="3" width="10.5" style="6" customWidth="1"/>
    <col min="4" max="4" width="10.6640625" style="6" customWidth="1"/>
    <col min="5" max="5" width="10.83203125" style="6" customWidth="1"/>
    <col min="6" max="6" width="10.6640625" style="6" customWidth="1"/>
    <col min="7" max="7" width="9.6640625" style="6" customWidth="1"/>
    <col min="8" max="8" width="11.1640625" style="6" customWidth="1"/>
    <col min="9" max="9" width="5.83203125" style="8" bestFit="1" customWidth="1"/>
    <col min="10" max="10" width="13.5" style="9" customWidth="1"/>
    <col min="11" max="16384" width="8.83203125" style="9"/>
  </cols>
  <sheetData>
    <row r="1" spans="1:9" s="5" customFormat="1" ht="20" customHeight="1" x14ac:dyDescent="0.2">
      <c r="A1" s="1" t="s">
        <v>19</v>
      </c>
      <c r="B1" s="10"/>
      <c r="C1" s="10"/>
      <c r="D1" s="10"/>
      <c r="E1" s="10"/>
      <c r="F1" s="10"/>
      <c r="G1" s="3"/>
      <c r="H1" s="10"/>
      <c r="I1" s="25"/>
    </row>
    <row r="2" spans="1:9" s="27" customFormat="1" ht="20" customHeight="1" x14ac:dyDescent="0.15">
      <c r="A2" s="5" t="s">
        <v>11</v>
      </c>
      <c r="B2" s="26"/>
      <c r="C2" s="26"/>
      <c r="D2" s="26"/>
      <c r="E2" s="26"/>
      <c r="F2" s="26"/>
      <c r="G2" s="26"/>
      <c r="H2" s="7"/>
      <c r="I2" s="16"/>
    </row>
    <row r="3" spans="1:9" ht="30" customHeight="1" x14ac:dyDescent="0.15">
      <c r="A3" s="2" t="s">
        <v>0</v>
      </c>
      <c r="B3" s="11" t="s">
        <v>4</v>
      </c>
      <c r="C3" s="11" t="s">
        <v>9</v>
      </c>
      <c r="D3" s="11" t="s">
        <v>8</v>
      </c>
      <c r="E3" s="2" t="s">
        <v>1</v>
      </c>
      <c r="F3" s="4" t="s">
        <v>2</v>
      </c>
      <c r="G3" s="31" t="s">
        <v>7</v>
      </c>
      <c r="H3" s="31"/>
      <c r="I3" s="9"/>
    </row>
    <row r="4" spans="1:9" x14ac:dyDescent="0.15">
      <c r="A4" s="12">
        <v>45330</v>
      </c>
      <c r="B4" s="13">
        <v>16.77</v>
      </c>
      <c r="C4" s="8">
        <v>62.88</v>
      </c>
      <c r="D4" s="8">
        <v>47.73</v>
      </c>
      <c r="E4" s="8">
        <f>(100-C4)/(100-D4)*100</f>
        <v>71.015879089343784</v>
      </c>
      <c r="F4" s="14">
        <f>LOG(B4*0.000000001)</f>
        <v>-7.7754669373939143</v>
      </c>
      <c r="G4" s="28"/>
      <c r="H4" s="28"/>
      <c r="I4" s="9"/>
    </row>
    <row r="5" spans="1:9" x14ac:dyDescent="0.15">
      <c r="A5" s="12">
        <v>45330</v>
      </c>
      <c r="B5" s="13" t="s">
        <v>18</v>
      </c>
      <c r="C5" s="8"/>
      <c r="D5" s="8">
        <v>66.599999999999994</v>
      </c>
      <c r="E5" s="8"/>
      <c r="F5" s="14"/>
      <c r="G5" s="28" t="s">
        <v>13</v>
      </c>
      <c r="H5" s="28"/>
      <c r="I5" s="9"/>
    </row>
    <row r="6" spans="1:9" x14ac:dyDescent="0.15">
      <c r="A6" s="12">
        <v>45330</v>
      </c>
      <c r="B6" s="13">
        <v>16.62</v>
      </c>
      <c r="C6" s="6">
        <v>51.31</v>
      </c>
      <c r="D6" s="8">
        <v>43.2</v>
      </c>
      <c r="E6" s="8">
        <f t="shared" ref="E6:E10" si="0">(100-C6)/(100-D6)*100</f>
        <v>85.721830985915489</v>
      </c>
      <c r="F6" s="14">
        <f t="shared" ref="F6:F10" si="1">LOG(B6*0.000000001)</f>
        <v>-7.779368980551908</v>
      </c>
      <c r="G6" s="28"/>
      <c r="H6" s="28"/>
      <c r="I6" s="9"/>
    </row>
    <row r="7" spans="1:9" x14ac:dyDescent="0.15">
      <c r="A7" s="12">
        <v>45330</v>
      </c>
      <c r="B7" s="13">
        <v>26.79</v>
      </c>
      <c r="C7" s="8">
        <v>60.59</v>
      </c>
      <c r="D7" s="8">
        <v>54.47</v>
      </c>
      <c r="E7" s="8">
        <f t="shared" si="0"/>
        <v>86.558313200087838</v>
      </c>
      <c r="F7" s="14">
        <f t="shared" si="1"/>
        <v>-7.5720272863917915</v>
      </c>
      <c r="G7" s="28"/>
      <c r="H7" s="28"/>
      <c r="I7" s="9"/>
    </row>
    <row r="8" spans="1:9" x14ac:dyDescent="0.15">
      <c r="A8" s="12">
        <v>45331</v>
      </c>
      <c r="B8" s="13">
        <v>49.16</v>
      </c>
      <c r="C8" s="8">
        <v>48.44</v>
      </c>
      <c r="D8" s="8">
        <v>35.65</v>
      </c>
      <c r="E8" s="8">
        <f t="shared" si="0"/>
        <v>80.124320124320136</v>
      </c>
      <c r="F8" s="14">
        <f t="shared" si="1"/>
        <v>-7.3083881257855836</v>
      </c>
      <c r="G8" s="28"/>
      <c r="H8" s="28"/>
      <c r="I8" s="9"/>
    </row>
    <row r="9" spans="1:9" x14ac:dyDescent="0.15">
      <c r="A9" s="12">
        <v>45331</v>
      </c>
      <c r="B9" s="13">
        <v>4.6639999999999997</v>
      </c>
      <c r="C9" s="8">
        <v>45.08</v>
      </c>
      <c r="D9" s="8">
        <v>32.32</v>
      </c>
      <c r="E9" s="8">
        <f t="shared" si="0"/>
        <v>81.146572104018915</v>
      </c>
      <c r="F9" s="14">
        <f t="shared" si="1"/>
        <v>-8.3312414582490426</v>
      </c>
      <c r="G9" s="28"/>
      <c r="H9" s="28"/>
      <c r="I9" s="9"/>
    </row>
    <row r="10" spans="1:9" x14ac:dyDescent="0.15">
      <c r="A10" s="12">
        <v>45331</v>
      </c>
      <c r="B10" s="13">
        <v>22.51</v>
      </c>
      <c r="C10" s="8">
        <v>53.31</v>
      </c>
      <c r="D10" s="8">
        <v>43.76</v>
      </c>
      <c r="E10" s="8">
        <f t="shared" si="0"/>
        <v>83.019203413940247</v>
      </c>
      <c r="F10" s="14">
        <f t="shared" si="1"/>
        <v>-7.64762450499948</v>
      </c>
      <c r="G10" s="28"/>
      <c r="H10" s="28"/>
      <c r="I10" s="9"/>
    </row>
    <row r="11" spans="1:9" x14ac:dyDescent="0.15">
      <c r="A11" s="12">
        <v>45331</v>
      </c>
      <c r="B11" s="13" t="s">
        <v>14</v>
      </c>
      <c r="C11" s="8">
        <v>57.19</v>
      </c>
      <c r="D11" s="8">
        <v>40.700000000000003</v>
      </c>
      <c r="E11" s="8"/>
      <c r="F11" s="14"/>
      <c r="G11" s="28" t="s">
        <v>13</v>
      </c>
      <c r="H11" s="28"/>
      <c r="I11" s="9"/>
    </row>
    <row r="12" spans="1:9" x14ac:dyDescent="0.15">
      <c r="A12" s="12">
        <v>45336</v>
      </c>
      <c r="B12" s="13" t="s">
        <v>15</v>
      </c>
      <c r="C12" s="8">
        <v>60.53</v>
      </c>
      <c r="D12" s="8">
        <v>38.93</v>
      </c>
      <c r="E12" s="8"/>
      <c r="F12" s="14"/>
      <c r="G12" s="28" t="s">
        <v>13</v>
      </c>
      <c r="H12" s="28"/>
      <c r="I12" s="9"/>
    </row>
    <row r="13" spans="1:9" x14ac:dyDescent="0.15">
      <c r="A13" s="12">
        <v>45336</v>
      </c>
      <c r="B13" s="13">
        <v>71.28</v>
      </c>
      <c r="C13" s="8">
        <v>48.48</v>
      </c>
      <c r="D13" s="8">
        <v>23.13</v>
      </c>
      <c r="E13" s="8">
        <f t="shared" ref="E13:E23" si="2">(100-C13)/(100-D13)*100</f>
        <v>67.022245349291012</v>
      </c>
      <c r="F13" s="14">
        <f t="shared" ref="F13:F23" si="3">LOG(B13*0.000000001)</f>
        <v>-7.1470323089711814</v>
      </c>
      <c r="G13" s="28"/>
      <c r="H13" s="28"/>
      <c r="I13" s="9"/>
    </row>
    <row r="14" spans="1:9" x14ac:dyDescent="0.15">
      <c r="A14" s="12">
        <v>45336</v>
      </c>
      <c r="B14" s="13">
        <v>21.82</v>
      </c>
      <c r="C14" s="8">
        <v>48.17</v>
      </c>
      <c r="D14" s="8">
        <v>48.63</v>
      </c>
      <c r="E14" s="8">
        <f t="shared" si="2"/>
        <v>100.89546427876192</v>
      </c>
      <c r="F14" s="14">
        <f t="shared" si="3"/>
        <v>-7.6611452537476765</v>
      </c>
      <c r="G14" s="28"/>
      <c r="H14" s="28"/>
      <c r="I14" s="9"/>
    </row>
    <row r="15" spans="1:9" x14ac:dyDescent="0.15">
      <c r="A15" s="12">
        <v>45336</v>
      </c>
      <c r="B15" s="13" t="s">
        <v>17</v>
      </c>
      <c r="C15" s="8">
        <v>44.79</v>
      </c>
      <c r="D15" s="8">
        <v>34.49</v>
      </c>
      <c r="E15" s="8"/>
      <c r="F15" s="14"/>
      <c r="G15" s="28" t="s">
        <v>13</v>
      </c>
      <c r="H15" s="28"/>
      <c r="I15" s="9"/>
    </row>
    <row r="16" spans="1:9" x14ac:dyDescent="0.15">
      <c r="A16" s="12">
        <v>45338</v>
      </c>
      <c r="B16" s="13" t="s">
        <v>16</v>
      </c>
      <c r="C16" s="8">
        <v>48.77</v>
      </c>
      <c r="D16" s="8">
        <v>39.14</v>
      </c>
      <c r="E16" s="8"/>
      <c r="F16" s="14"/>
      <c r="G16" s="28" t="s">
        <v>13</v>
      </c>
      <c r="H16" s="28"/>
      <c r="I16" s="9"/>
    </row>
    <row r="17" spans="1:9" x14ac:dyDescent="0.15">
      <c r="A17" s="12">
        <v>45338</v>
      </c>
      <c r="B17" s="13">
        <v>9.8350000000000009</v>
      </c>
      <c r="C17" s="8">
        <v>39.25</v>
      </c>
      <c r="D17" s="8">
        <v>32.549999999999997</v>
      </c>
      <c r="E17" s="8">
        <f t="shared" si="2"/>
        <v>90.066716085989611</v>
      </c>
      <c r="F17" s="14">
        <f t="shared" si="3"/>
        <v>-8.0072256357446445</v>
      </c>
      <c r="G17" s="28"/>
      <c r="H17" s="28"/>
      <c r="I17" s="9"/>
    </row>
    <row r="18" spans="1:9" x14ac:dyDescent="0.15">
      <c r="A18" s="12">
        <v>45338</v>
      </c>
      <c r="B18" s="13">
        <v>27.39</v>
      </c>
      <c r="C18" s="8">
        <v>54.41</v>
      </c>
      <c r="D18" s="8">
        <v>29.96</v>
      </c>
      <c r="E18" s="8">
        <f t="shared" ref="E18" si="4">(100-C18)/(100-D18)*100</f>
        <v>65.091376356367803</v>
      </c>
      <c r="F18" s="14">
        <f t="shared" ref="F18" si="5">LOG(B18*0.000000001)</f>
        <v>-7.5624079677460383</v>
      </c>
      <c r="G18" s="28"/>
      <c r="H18" s="28"/>
      <c r="I18" s="9"/>
    </row>
    <row r="19" spans="1:9" x14ac:dyDescent="0.15">
      <c r="A19" s="12">
        <v>45345</v>
      </c>
      <c r="B19" s="13">
        <v>11.8</v>
      </c>
      <c r="C19" s="8">
        <v>34.409999999999997</v>
      </c>
      <c r="D19" s="8">
        <v>25.48</v>
      </c>
      <c r="E19" s="8">
        <f t="shared" si="2"/>
        <v>88.016639828234048</v>
      </c>
      <c r="F19" s="14">
        <f t="shared" si="3"/>
        <v>-7.928117992693875</v>
      </c>
      <c r="G19" s="28"/>
      <c r="H19" s="28"/>
      <c r="I19" s="9"/>
    </row>
    <row r="20" spans="1:9" x14ac:dyDescent="0.15">
      <c r="A20" s="12">
        <v>45351</v>
      </c>
      <c r="B20" s="13">
        <v>14.7</v>
      </c>
      <c r="C20" s="8">
        <v>55.27</v>
      </c>
      <c r="D20" s="8">
        <v>29.5</v>
      </c>
      <c r="E20" s="8">
        <f t="shared" ref="E20" si="6">(100-C20)/(100-D20)*100</f>
        <v>63.446808510638299</v>
      </c>
      <c r="F20" s="14">
        <f t="shared" ref="F20" si="7">LOG(B20*0.000000001)</f>
        <v>-7.8326826652518236</v>
      </c>
      <c r="G20" s="28"/>
      <c r="H20" s="28"/>
      <c r="I20" s="9"/>
    </row>
    <row r="21" spans="1:9" x14ac:dyDescent="0.15">
      <c r="A21" s="12">
        <v>45379</v>
      </c>
      <c r="B21" s="13">
        <v>52.73</v>
      </c>
      <c r="C21" s="8">
        <v>45.69</v>
      </c>
      <c r="D21" s="8">
        <v>28.97</v>
      </c>
      <c r="E21" s="8">
        <f t="shared" si="2"/>
        <v>76.460650429396026</v>
      </c>
      <c r="F21" s="14">
        <f t="shared" si="3"/>
        <v>-7.277942228668536</v>
      </c>
      <c r="G21" s="28"/>
      <c r="H21" s="28"/>
      <c r="I21" s="9"/>
    </row>
    <row r="22" spans="1:9" x14ac:dyDescent="0.15">
      <c r="A22" s="12">
        <v>45393</v>
      </c>
      <c r="B22" s="13">
        <v>11.3</v>
      </c>
      <c r="C22" s="8">
        <v>32.82</v>
      </c>
      <c r="D22" s="8">
        <v>23.22</v>
      </c>
      <c r="E22" s="8">
        <f t="shared" si="2"/>
        <v>87.496743943735353</v>
      </c>
      <c r="F22" s="14">
        <f t="shared" si="3"/>
        <v>-7.9469215565165801</v>
      </c>
      <c r="G22" s="28"/>
      <c r="H22" s="28"/>
      <c r="I22" s="9"/>
    </row>
    <row r="23" spans="1:9" x14ac:dyDescent="0.15">
      <c r="A23" s="12">
        <v>45393</v>
      </c>
      <c r="B23" s="13">
        <v>15.22</v>
      </c>
      <c r="C23" s="8">
        <v>39.950000000000003</v>
      </c>
      <c r="D23" s="8">
        <v>32.07</v>
      </c>
      <c r="E23" s="8">
        <f t="shared" si="2"/>
        <v>88.399823347563654</v>
      </c>
      <c r="F23" s="14">
        <f t="shared" si="3"/>
        <v>-7.817585347565446</v>
      </c>
      <c r="G23" s="28"/>
      <c r="H23" s="28"/>
      <c r="I23" s="9"/>
    </row>
    <row r="24" spans="1:9" x14ac:dyDescent="0.15">
      <c r="A24" s="15"/>
      <c r="B24" s="12"/>
      <c r="E24" s="8"/>
      <c r="F24" s="14"/>
      <c r="G24" s="28"/>
      <c r="H24" s="28"/>
      <c r="I24" s="14"/>
    </row>
    <row r="25" spans="1:9" s="27" customFormat="1" x14ac:dyDescent="0.15">
      <c r="A25" s="22"/>
      <c r="B25" s="22"/>
      <c r="C25" s="22" t="str">
        <f>A1</f>
        <v>Delta-9-THC</v>
      </c>
      <c r="D25" s="22"/>
      <c r="E25" s="22" t="s">
        <v>20</v>
      </c>
      <c r="F25" s="22"/>
      <c r="G25" s="22"/>
      <c r="H25" s="22"/>
    </row>
    <row r="26" spans="1:9" ht="31.5" customHeight="1" x14ac:dyDescent="0.15">
      <c r="A26" s="17" t="s">
        <v>3</v>
      </c>
      <c r="B26" s="29" t="s">
        <v>5</v>
      </c>
      <c r="C26" s="29"/>
      <c r="D26" s="29" t="s">
        <v>6</v>
      </c>
      <c r="E26" s="29"/>
      <c r="F26" s="30" t="s">
        <v>10</v>
      </c>
      <c r="G26" s="30"/>
      <c r="H26" s="23" t="s">
        <v>12</v>
      </c>
      <c r="I26" s="9"/>
    </row>
    <row r="27" spans="1:9" x14ac:dyDescent="0.15">
      <c r="A27" s="24">
        <f>COUNT(B4:B24)</f>
        <v>15</v>
      </c>
      <c r="B27" s="18">
        <f>AVERAGE(B4:B24)</f>
        <v>24.839266666666671</v>
      </c>
      <c r="C27" s="18">
        <f>STDEV(B4:B24)/SQRT(COUNT(B4:B24))</f>
        <v>4.8129259949656271</v>
      </c>
      <c r="D27" s="18">
        <f>AVERAGE(E4:E24)</f>
        <v>80.965505803173599</v>
      </c>
      <c r="E27" s="18">
        <f>STDEV(E4:E24)/SQRT(COUNT(E4:E24))</f>
        <v>2.7247858245497474</v>
      </c>
      <c r="F27" s="19">
        <f>AVERAGE(F4:F24)</f>
        <v>-7.7063452166851674</v>
      </c>
      <c r="G27" s="20">
        <f>STDEV(F4:F24)/SQRT(COUNT(F4:F24))</f>
        <v>7.9447813673839227E-2</v>
      </c>
      <c r="H27" s="21">
        <f>C27/B27</f>
        <v>0.19376280546254557</v>
      </c>
      <c r="I27" s="9"/>
    </row>
  </sheetData>
  <mergeCells count="25">
    <mergeCell ref="G11:H11"/>
    <mergeCell ref="G12:H12"/>
    <mergeCell ref="G13:H13"/>
    <mergeCell ref="G14:H14"/>
    <mergeCell ref="G3:H3"/>
    <mergeCell ref="G4:H4"/>
    <mergeCell ref="G10:H10"/>
    <mergeCell ref="G5:H5"/>
    <mergeCell ref="G6:H6"/>
    <mergeCell ref="G7:H7"/>
    <mergeCell ref="G8:H8"/>
    <mergeCell ref="G9:H9"/>
    <mergeCell ref="G15:H15"/>
    <mergeCell ref="G22:H22"/>
    <mergeCell ref="G23:H23"/>
    <mergeCell ref="B26:C26"/>
    <mergeCell ref="D26:E26"/>
    <mergeCell ref="F26:G26"/>
    <mergeCell ref="G24:H24"/>
    <mergeCell ref="G16:H16"/>
    <mergeCell ref="G17:H17"/>
    <mergeCell ref="G19:H19"/>
    <mergeCell ref="G21:H21"/>
    <mergeCell ref="G18:H18"/>
    <mergeCell ref="G20:H20"/>
  </mergeCells>
  <phoneticPr fontId="1" type="noConversion"/>
  <pageMargins left="0.25" right="0.25" top="0.75" bottom="0.75" header="0.3" footer="0.3"/>
  <pageSetup fitToWidth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9EA3E1-2BF4-4451-8829-1C59B50F40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413074-A5D3-4863-84C0-6B271B0D568A}">
  <ds:schemaRefs>
    <ds:schemaRef ds:uri="http://schemas.openxmlformats.org/package/2006/metadata/core-properties"/>
    <ds:schemaRef ds:uri="1a253495-b0d9-40a4-8e1c-242bf5431677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8cafe7d8-4bd4-4378-b54d-cfdec05ca8b5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37FD8A-B622-41AC-99E0-AB41875AD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Delta-9-THC</vt:lpstr>
    </vt:vector>
  </TitlesOfParts>
  <Manager/>
  <Company>OHSU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Eshleman;Laura Kozell</dc:creator>
  <cp:keywords/>
  <dc:description/>
  <cp:lastModifiedBy>Laura Kozell</cp:lastModifiedBy>
  <cp:revision/>
  <dcterms:created xsi:type="dcterms:W3CDTF">2013-05-13T18:51:33Z</dcterms:created>
  <dcterms:modified xsi:type="dcterms:W3CDTF">2024-11-24T22:15:15Z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Order">
    <vt:r8>8300</vt:r8>
  </property>
  <property fmtid="{D5CDD505-2E9C-101B-9397-08002B2CF9AE}" pid="4" name="MediaServiceImageTags">
    <vt:lpwstr/>
  </property>
</Properties>
</file>