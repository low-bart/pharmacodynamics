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FDA CB Project/Data for Neil Adjacent/Binding Analysis/d9THC/"/>
    </mc:Choice>
  </mc:AlternateContent>
  <xr:revisionPtr revIDLastSave="306" documentId="8_{943953EE-A7C0-47CE-A2BB-3AE2CE9C17A9}" xr6:coauthVersionLast="47" xr6:coauthVersionMax="47" xr10:uidLastSave="{B1747F68-E9A4-4CE7-9D3E-BAF4422E2951}"/>
  <bookViews>
    <workbookView xWindow="1800" yWindow="0" windowWidth="25455" windowHeight="15600" activeTab="7" xr2:uid="{C58027DD-7F89-4431-94A9-FAB1A980871B}"/>
  </bookViews>
  <sheets>
    <sheet name="120423" sheetId="10" r:id="rId1"/>
    <sheet name="120523" sheetId="17" r:id="rId2"/>
    <sheet name="120623" sheetId="9" r:id="rId3"/>
    <sheet name="011224" sheetId="3" r:id="rId4"/>
    <sheet name="012324" sheetId="4" r:id="rId5"/>
    <sheet name="012524" sheetId="5" r:id="rId6"/>
    <sheet name="020224" sheetId="14" r:id="rId7"/>
    <sheet name="020924" sheetId="16" r:id="rId8"/>
    <sheet name="031424" sheetId="12" r:id="rId9"/>
    <sheet name="032124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6" l="1"/>
  <c r="J12" i="5"/>
  <c r="J12" i="4"/>
  <c r="J50" i="3"/>
  <c r="J31" i="3"/>
  <c r="J55" i="14" l="1"/>
  <c r="D31" i="3" l="1"/>
  <c r="D32" i="3"/>
  <c r="D33" i="3"/>
  <c r="D34" i="3"/>
  <c r="D35" i="3"/>
  <c r="D36" i="3"/>
  <c r="D37" i="3"/>
  <c r="D38" i="3"/>
  <c r="D39" i="3"/>
  <c r="E4" i="16" l="1"/>
  <c r="E4" i="8"/>
  <c r="E4" i="12"/>
  <c r="E4" i="14"/>
  <c r="E4" i="5"/>
  <c r="E4" i="4"/>
  <c r="H9" i="3"/>
  <c r="E4" i="3"/>
  <c r="E4" i="9"/>
  <c r="H9" i="17"/>
  <c r="E4" i="17"/>
  <c r="E4" i="10"/>
  <c r="D20" i="17" l="1"/>
  <c r="D19" i="17"/>
  <c r="D18" i="17"/>
  <c r="D17" i="17"/>
  <c r="J16" i="17"/>
  <c r="D16" i="17"/>
  <c r="D15" i="17"/>
  <c r="D14" i="17"/>
  <c r="E14" i="17" s="1"/>
  <c r="D13" i="17"/>
  <c r="J12" i="17"/>
  <c r="F12" i="17"/>
  <c r="G12" i="17" s="1"/>
  <c r="D12" i="17"/>
  <c r="E12" i="17" s="1"/>
  <c r="G11" i="17"/>
  <c r="D11" i="17"/>
  <c r="E11" i="17" s="1"/>
  <c r="D9" i="17"/>
  <c r="E2" i="17"/>
  <c r="E19" i="17" l="1"/>
  <c r="E5" i="17"/>
  <c r="E17" i="17"/>
  <c r="F13" i="17"/>
  <c r="F14" i="17" s="1"/>
  <c r="F15" i="17" s="1"/>
  <c r="J14" i="17"/>
  <c r="H17" i="17" s="1"/>
  <c r="E15" i="17"/>
  <c r="E18" i="17"/>
  <c r="E13" i="17"/>
  <c r="E16" i="17"/>
  <c r="G14" i="17" l="1"/>
  <c r="G13" i="17"/>
  <c r="H12" i="17"/>
  <c r="H15" i="17"/>
  <c r="H19" i="17"/>
  <c r="H13" i="17"/>
  <c r="H14" i="17"/>
  <c r="G15" i="17"/>
  <c r="F16" i="17"/>
  <c r="H16" i="17"/>
  <c r="H11" i="17"/>
  <c r="H18" i="17"/>
  <c r="F17" i="17" l="1"/>
  <c r="G16" i="17"/>
  <c r="G17" i="17" l="1"/>
  <c r="F18" i="17"/>
  <c r="G18" i="17" l="1"/>
  <c r="F19" i="17"/>
  <c r="G19" i="17" s="1"/>
  <c r="D12" i="9" l="1"/>
  <c r="D13" i="9"/>
  <c r="D14" i="9"/>
  <c r="D15" i="9"/>
  <c r="D16" i="9"/>
  <c r="D17" i="9"/>
  <c r="D18" i="9"/>
  <c r="D19" i="9"/>
  <c r="D20" i="9"/>
  <c r="D12" i="10"/>
  <c r="D13" i="10"/>
  <c r="D14" i="10"/>
  <c r="D15" i="10"/>
  <c r="D16" i="10"/>
  <c r="D17" i="10"/>
  <c r="D18" i="10"/>
  <c r="D19" i="10"/>
  <c r="D20" i="10"/>
  <c r="D12" i="8"/>
  <c r="D13" i="8"/>
  <c r="D14" i="8"/>
  <c r="D15" i="8"/>
  <c r="D16" i="8"/>
  <c r="D17" i="8"/>
  <c r="D18" i="8"/>
  <c r="D19" i="8"/>
  <c r="D20" i="8"/>
  <c r="D12" i="12"/>
  <c r="D13" i="12"/>
  <c r="D14" i="12"/>
  <c r="D15" i="12"/>
  <c r="D16" i="12"/>
  <c r="D17" i="12"/>
  <c r="D18" i="12"/>
  <c r="D19" i="12"/>
  <c r="D20" i="12"/>
  <c r="D12" i="16"/>
  <c r="D13" i="16"/>
  <c r="D14" i="16"/>
  <c r="D15" i="16"/>
  <c r="D16" i="16"/>
  <c r="D17" i="16"/>
  <c r="D18" i="16"/>
  <c r="D19" i="16"/>
  <c r="D20" i="16"/>
  <c r="D51" i="14"/>
  <c r="D52" i="14"/>
  <c r="D53" i="14"/>
  <c r="D54" i="14"/>
  <c r="D55" i="14"/>
  <c r="D56" i="14"/>
  <c r="D57" i="14"/>
  <c r="D58" i="14"/>
  <c r="D59" i="14"/>
  <c r="D32" i="14"/>
  <c r="D33" i="14"/>
  <c r="D34" i="14"/>
  <c r="D35" i="14"/>
  <c r="D36" i="14"/>
  <c r="D37" i="14"/>
  <c r="D38" i="14"/>
  <c r="D39" i="14"/>
  <c r="D40" i="14"/>
  <c r="D12" i="14"/>
  <c r="D13" i="14"/>
  <c r="D14" i="14"/>
  <c r="D15" i="14"/>
  <c r="D16" i="14"/>
  <c r="D17" i="14"/>
  <c r="D18" i="14"/>
  <c r="D19" i="14"/>
  <c r="D20" i="14"/>
  <c r="D12" i="5"/>
  <c r="D13" i="5"/>
  <c r="D14" i="5"/>
  <c r="D15" i="5"/>
  <c r="D16" i="5"/>
  <c r="D17" i="5"/>
  <c r="D18" i="5"/>
  <c r="D19" i="5"/>
  <c r="D12" i="4"/>
  <c r="D13" i="4"/>
  <c r="D14" i="4"/>
  <c r="D15" i="4"/>
  <c r="D16" i="4"/>
  <c r="D17" i="4"/>
  <c r="D18" i="4"/>
  <c r="D19" i="4"/>
  <c r="D20" i="4"/>
  <c r="D47" i="3"/>
  <c r="D50" i="3"/>
  <c r="D51" i="3"/>
  <c r="D52" i="3"/>
  <c r="D53" i="3"/>
  <c r="D54" i="3"/>
  <c r="D55" i="3"/>
  <c r="D56" i="3"/>
  <c r="D57" i="3"/>
  <c r="D58" i="3"/>
  <c r="H9" i="10" l="1"/>
  <c r="J53" i="14" l="1"/>
  <c r="H48" i="14" s="1"/>
  <c r="J51" i="14"/>
  <c r="F51" i="14"/>
  <c r="F52" i="14" s="1"/>
  <c r="G50" i="14"/>
  <c r="D50" i="14"/>
  <c r="D48" i="14"/>
  <c r="J36" i="14"/>
  <c r="J32" i="14"/>
  <c r="F32" i="14"/>
  <c r="F33" i="14" s="1"/>
  <c r="G31" i="14"/>
  <c r="D31" i="14"/>
  <c r="D29" i="14"/>
  <c r="G32" i="14" l="1"/>
  <c r="G52" i="14"/>
  <c r="F53" i="14"/>
  <c r="G51" i="14"/>
  <c r="G33" i="14"/>
  <c r="F34" i="14"/>
  <c r="J34" i="14"/>
  <c r="H29" i="14" s="1"/>
  <c r="G53" i="14" l="1"/>
  <c r="F54" i="14"/>
  <c r="F35" i="14"/>
  <c r="G34" i="14"/>
  <c r="F55" i="14" l="1"/>
  <c r="G54" i="14"/>
  <c r="G35" i="14"/>
  <c r="F36" i="14"/>
  <c r="G55" i="14" l="1"/>
  <c r="F56" i="14"/>
  <c r="G36" i="14"/>
  <c r="F37" i="14"/>
  <c r="G56" i="14" l="1"/>
  <c r="F57" i="14"/>
  <c r="F38" i="14"/>
  <c r="G37" i="14"/>
  <c r="F58" i="14" l="1"/>
  <c r="G58" i="14" s="1"/>
  <c r="G57" i="14"/>
  <c r="G38" i="14"/>
  <c r="F39" i="14"/>
  <c r="G39" i="14" s="1"/>
  <c r="J16" i="8" l="1"/>
  <c r="E15" i="8" s="1"/>
  <c r="J12" i="8"/>
  <c r="F12" i="8"/>
  <c r="F13" i="8" s="1"/>
  <c r="G11" i="8"/>
  <c r="D11" i="8"/>
  <c r="D9" i="8"/>
  <c r="J14" i="8" l="1"/>
  <c r="E11" i="8"/>
  <c r="H11" i="8" s="1"/>
  <c r="E17" i="8"/>
  <c r="H17" i="8" s="1"/>
  <c r="E12" i="8"/>
  <c r="H12" i="8" s="1"/>
  <c r="E18" i="8"/>
  <c r="H18" i="8" s="1"/>
  <c r="E19" i="8"/>
  <c r="H19" i="8" s="1"/>
  <c r="E13" i="8"/>
  <c r="H13" i="8" s="1"/>
  <c r="E14" i="8"/>
  <c r="H14" i="8" s="1"/>
  <c r="E16" i="8"/>
  <c r="H16" i="8" s="1"/>
  <c r="G13" i="8"/>
  <c r="F14" i="8"/>
  <c r="G12" i="8"/>
  <c r="H15" i="8" l="1"/>
  <c r="H9" i="8"/>
  <c r="F15" i="8"/>
  <c r="G14" i="8"/>
  <c r="G15" i="8" l="1"/>
  <c r="F16" i="8"/>
  <c r="F17" i="8" l="1"/>
  <c r="G16" i="8"/>
  <c r="G17" i="8" l="1"/>
  <c r="F18" i="8"/>
  <c r="F19" i="8" l="1"/>
  <c r="G19" i="8" s="1"/>
  <c r="G18" i="8"/>
  <c r="J16" i="16" l="1"/>
  <c r="F12" i="16"/>
  <c r="F13" i="16" s="1"/>
  <c r="G11" i="16"/>
  <c r="D11" i="16"/>
  <c r="D9" i="16"/>
  <c r="G12" i="16" l="1"/>
  <c r="J14" i="16"/>
  <c r="H9" i="16" s="1"/>
  <c r="E11" i="16"/>
  <c r="E18" i="16"/>
  <c r="E14" i="16"/>
  <c r="E16" i="16"/>
  <c r="E17" i="16"/>
  <c r="E12" i="16"/>
  <c r="E19" i="16"/>
  <c r="E13" i="16"/>
  <c r="E15" i="16"/>
  <c r="G13" i="16"/>
  <c r="F14" i="16"/>
  <c r="H12" i="16" l="1"/>
  <c r="H14" i="16"/>
  <c r="H19" i="16"/>
  <c r="H17" i="16"/>
  <c r="H16" i="16"/>
  <c r="H18" i="16"/>
  <c r="H15" i="16"/>
  <c r="H11" i="16"/>
  <c r="H13" i="16"/>
  <c r="F15" i="16"/>
  <c r="G14" i="16"/>
  <c r="G15" i="16" l="1"/>
  <c r="F16" i="16"/>
  <c r="F17" i="16" l="1"/>
  <c r="G16" i="16"/>
  <c r="G17" i="16" l="1"/>
  <c r="F18" i="16"/>
  <c r="G18" i="16" l="1"/>
  <c r="F19" i="16"/>
  <c r="G19" i="16" s="1"/>
  <c r="E2" i="14" l="1"/>
  <c r="E5" i="14"/>
  <c r="D9" i="14"/>
  <c r="D11" i="14"/>
  <c r="G11" i="14"/>
  <c r="F12" i="14"/>
  <c r="G12" i="14" s="1"/>
  <c r="J12" i="14"/>
  <c r="J16" i="14"/>
  <c r="E18" i="14" l="1"/>
  <c r="E34" i="14"/>
  <c r="H34" i="14" s="1"/>
  <c r="E57" i="14"/>
  <c r="H57" i="14" s="1"/>
  <c r="E32" i="14"/>
  <c r="H32" i="14" s="1"/>
  <c r="E54" i="14"/>
  <c r="H54" i="14" s="1"/>
  <c r="E35" i="14"/>
  <c r="H35" i="14" s="1"/>
  <c r="E52" i="14"/>
  <c r="H52" i="14" s="1"/>
  <c r="E58" i="14"/>
  <c r="H58" i="14" s="1"/>
  <c r="E36" i="14"/>
  <c r="H36" i="14" s="1"/>
  <c r="E56" i="14"/>
  <c r="H56" i="14" s="1"/>
  <c r="E55" i="14"/>
  <c r="H55" i="14" s="1"/>
  <c r="E31" i="14"/>
  <c r="H31" i="14" s="1"/>
  <c r="E53" i="14"/>
  <c r="H53" i="14" s="1"/>
  <c r="E50" i="14"/>
  <c r="H50" i="14" s="1"/>
  <c r="E51" i="14"/>
  <c r="H51" i="14" s="1"/>
  <c r="E37" i="14"/>
  <c r="H37" i="14" s="1"/>
  <c r="E38" i="14"/>
  <c r="H38" i="14" s="1"/>
  <c r="E33" i="14"/>
  <c r="H33" i="14" s="1"/>
  <c r="E39" i="14"/>
  <c r="H39" i="14" s="1"/>
  <c r="J14" i="14"/>
  <c r="E16" i="14"/>
  <c r="E14" i="14"/>
  <c r="E15" i="14"/>
  <c r="E19" i="14"/>
  <c r="E13" i="14"/>
  <c r="E17" i="14"/>
  <c r="E12" i="14"/>
  <c r="E11" i="14"/>
  <c r="F13" i="14"/>
  <c r="H18" i="14" l="1"/>
  <c r="H9" i="14"/>
  <c r="H14" i="14"/>
  <c r="H16" i="14"/>
  <c r="H17" i="14"/>
  <c r="H11" i="14"/>
  <c r="H12" i="14"/>
  <c r="H13" i="14"/>
  <c r="H19" i="14"/>
  <c r="H15" i="14"/>
  <c r="F14" i="14"/>
  <c r="G13" i="14"/>
  <c r="G14" i="14" l="1"/>
  <c r="F15" i="14"/>
  <c r="F16" i="14" l="1"/>
  <c r="G15" i="14"/>
  <c r="F17" i="14" l="1"/>
  <c r="G16" i="14"/>
  <c r="F18" i="14" l="1"/>
  <c r="G17" i="14"/>
  <c r="F19" i="14" l="1"/>
  <c r="G19" i="14" s="1"/>
  <c r="G18" i="14"/>
  <c r="D20" i="5" l="1"/>
  <c r="J16" i="5"/>
  <c r="E14" i="5"/>
  <c r="J14" i="5"/>
  <c r="H9" i="5" s="1"/>
  <c r="F12" i="5"/>
  <c r="G12" i="5" s="1"/>
  <c r="E12" i="5"/>
  <c r="G11" i="5"/>
  <c r="D11" i="5"/>
  <c r="D9" i="5"/>
  <c r="J16" i="4"/>
  <c r="E18" i="4"/>
  <c r="F12" i="4"/>
  <c r="F13" i="4" s="1"/>
  <c r="G11" i="4"/>
  <c r="D11" i="4"/>
  <c r="E11" i="4" s="1"/>
  <c r="D9" i="4"/>
  <c r="J54" i="3"/>
  <c r="F50" i="3"/>
  <c r="F51" i="3" s="1"/>
  <c r="G49" i="3"/>
  <c r="D49" i="3"/>
  <c r="J35" i="3"/>
  <c r="F31" i="3"/>
  <c r="F32" i="3" s="1"/>
  <c r="G30" i="3"/>
  <c r="D30" i="3"/>
  <c r="D28" i="3"/>
  <c r="E37" i="3" l="1"/>
  <c r="E38" i="3"/>
  <c r="E13" i="5"/>
  <c r="E17" i="5"/>
  <c r="F13" i="5"/>
  <c r="F14" i="5" s="1"/>
  <c r="F15" i="5" s="1"/>
  <c r="E35" i="3"/>
  <c r="E49" i="3"/>
  <c r="E16" i="5"/>
  <c r="E11" i="5"/>
  <c r="E18" i="5"/>
  <c r="E19" i="5"/>
  <c r="E15" i="5"/>
  <c r="E15" i="4"/>
  <c r="E19" i="4"/>
  <c r="E13" i="4"/>
  <c r="E17" i="4"/>
  <c r="E12" i="4"/>
  <c r="E14" i="4"/>
  <c r="E16" i="4"/>
  <c r="J14" i="4"/>
  <c r="G13" i="4"/>
  <c r="F14" i="4"/>
  <c r="G12" i="4"/>
  <c r="E36" i="3"/>
  <c r="E30" i="3"/>
  <c r="E31" i="3"/>
  <c r="E53" i="3"/>
  <c r="E54" i="3"/>
  <c r="E55" i="3"/>
  <c r="E57" i="3"/>
  <c r="E51" i="3"/>
  <c r="E56" i="3"/>
  <c r="E50" i="3"/>
  <c r="E52" i="3"/>
  <c r="E32" i="3"/>
  <c r="E33" i="3"/>
  <c r="E34" i="3"/>
  <c r="G32" i="3"/>
  <c r="F33" i="3"/>
  <c r="G51" i="3"/>
  <c r="F52" i="3"/>
  <c r="G31" i="3"/>
  <c r="J33" i="3"/>
  <c r="H28" i="3" s="1"/>
  <c r="G50" i="3"/>
  <c r="J52" i="3"/>
  <c r="H47" i="3" s="1"/>
  <c r="H50" i="3" l="1"/>
  <c r="H18" i="4"/>
  <c r="H9" i="4"/>
  <c r="H30" i="3"/>
  <c r="H36" i="3"/>
  <c r="G13" i="5"/>
  <c r="G14" i="5"/>
  <c r="H16" i="5"/>
  <c r="H19" i="5"/>
  <c r="H11" i="5"/>
  <c r="H18" i="5"/>
  <c r="H17" i="5"/>
  <c r="H13" i="5"/>
  <c r="H15" i="5"/>
  <c r="H12" i="5"/>
  <c r="F16" i="5"/>
  <c r="G15" i="5"/>
  <c r="H14" i="5"/>
  <c r="H13" i="4"/>
  <c r="H12" i="4"/>
  <c r="H11" i="4"/>
  <c r="H16" i="4"/>
  <c r="H14" i="4"/>
  <c r="H17" i="4"/>
  <c r="H19" i="4"/>
  <c r="H15" i="4"/>
  <c r="F15" i="4"/>
  <c r="G14" i="4"/>
  <c r="H53" i="3"/>
  <c r="H52" i="3"/>
  <c r="H51" i="3"/>
  <c r="H35" i="3"/>
  <c r="H32" i="3"/>
  <c r="H34" i="3"/>
  <c r="H56" i="3"/>
  <c r="H55" i="3"/>
  <c r="H54" i="3"/>
  <c r="H31" i="3"/>
  <c r="H38" i="3"/>
  <c r="F34" i="3"/>
  <c r="G33" i="3"/>
  <c r="H49" i="3"/>
  <c r="F53" i="3"/>
  <c r="G52" i="3"/>
  <c r="H33" i="3"/>
  <c r="H37" i="3"/>
  <c r="H57" i="3"/>
  <c r="F17" i="5" l="1"/>
  <c r="G16" i="5"/>
  <c r="G15" i="4"/>
  <c r="F16" i="4"/>
  <c r="F35" i="3"/>
  <c r="G34" i="3"/>
  <c r="G53" i="3"/>
  <c r="F54" i="3"/>
  <c r="G17" i="5" l="1"/>
  <c r="F18" i="5"/>
  <c r="F17" i="4"/>
  <c r="G16" i="4"/>
  <c r="F55" i="3"/>
  <c r="G54" i="3"/>
  <c r="F36" i="3"/>
  <c r="G35" i="3"/>
  <c r="F19" i="5" l="1"/>
  <c r="G19" i="5" s="1"/>
  <c r="G18" i="5"/>
  <c r="G17" i="4"/>
  <c r="F18" i="4"/>
  <c r="F37" i="3"/>
  <c r="G36" i="3"/>
  <c r="G55" i="3"/>
  <c r="F56" i="3"/>
  <c r="F19" i="4" l="1"/>
  <c r="G19" i="4" s="1"/>
  <c r="G18" i="4"/>
  <c r="F57" i="3"/>
  <c r="G57" i="3" s="1"/>
  <c r="G56" i="3"/>
  <c r="G37" i="3"/>
  <c r="F38" i="3"/>
  <c r="G38" i="3" s="1"/>
  <c r="E19" i="10" l="1"/>
  <c r="E18" i="10"/>
  <c r="J16" i="10"/>
  <c r="J12" i="10"/>
  <c r="F12" i="10"/>
  <c r="G12" i="10" s="1"/>
  <c r="G11" i="10"/>
  <c r="D11" i="10"/>
  <c r="D9" i="10"/>
  <c r="F13" i="10" l="1"/>
  <c r="G13" i="10" s="1"/>
  <c r="E15" i="10"/>
  <c r="E17" i="10"/>
  <c r="E13" i="10"/>
  <c r="E16" i="10"/>
  <c r="E11" i="10"/>
  <c r="E12" i="10"/>
  <c r="E14" i="10"/>
  <c r="J14" i="10"/>
  <c r="F14" i="10" l="1"/>
  <c r="H14" i="10"/>
  <c r="H13" i="10"/>
  <c r="H11" i="10"/>
  <c r="H16" i="10"/>
  <c r="H15" i="10"/>
  <c r="H18" i="10"/>
  <c r="H17" i="10"/>
  <c r="H19" i="10"/>
  <c r="H12" i="10"/>
  <c r="F15" i="10" l="1"/>
  <c r="G14" i="10"/>
  <c r="F16" i="10" l="1"/>
  <c r="G15" i="10"/>
  <c r="F17" i="10" l="1"/>
  <c r="G16" i="10"/>
  <c r="G17" i="10" l="1"/>
  <c r="F18" i="10"/>
  <c r="F19" i="10" l="1"/>
  <c r="G19" i="10" s="1"/>
  <c r="G18" i="10"/>
  <c r="E5" i="16" l="1"/>
  <c r="E2" i="16"/>
  <c r="J16" i="12"/>
  <c r="J12" i="12"/>
  <c r="F12" i="12"/>
  <c r="G12" i="12" s="1"/>
  <c r="G11" i="12"/>
  <c r="D11" i="12"/>
  <c r="D9" i="12"/>
  <c r="E5" i="12"/>
  <c r="E2" i="12"/>
  <c r="E5" i="10"/>
  <c r="E2" i="10"/>
  <c r="E18" i="12" l="1"/>
  <c r="E19" i="12"/>
  <c r="F13" i="12"/>
  <c r="F14" i="12" s="1"/>
  <c r="F15" i="12" s="1"/>
  <c r="E11" i="12"/>
  <c r="E12" i="12"/>
  <c r="E13" i="12"/>
  <c r="E16" i="12"/>
  <c r="J14" i="12"/>
  <c r="E14" i="12"/>
  <c r="E15" i="12"/>
  <c r="E17" i="12"/>
  <c r="G14" i="12"/>
  <c r="G13" i="12"/>
  <c r="H13" i="12" l="1"/>
  <c r="H9" i="12"/>
  <c r="H17" i="12"/>
  <c r="H15" i="12"/>
  <c r="H14" i="12"/>
  <c r="H12" i="12"/>
  <c r="H19" i="12"/>
  <c r="H18" i="12"/>
  <c r="H16" i="12"/>
  <c r="H11" i="12"/>
  <c r="F16" i="12"/>
  <c r="G15" i="12"/>
  <c r="F17" i="12" l="1"/>
  <c r="G16" i="12"/>
  <c r="G17" i="12" l="1"/>
  <c r="F18" i="12"/>
  <c r="F19" i="12" l="1"/>
  <c r="G19" i="12" s="1"/>
  <c r="G18" i="12"/>
  <c r="J16" i="9" l="1"/>
  <c r="J12" i="9"/>
  <c r="G11" i="9" l="1"/>
  <c r="J16" i="3"/>
  <c r="J14" i="9" l="1"/>
  <c r="H9" i="9" s="1"/>
  <c r="E19" i="9" l="1"/>
  <c r="H19" i="9" s="1"/>
  <c r="E18" i="9"/>
  <c r="H18" i="9" s="1"/>
  <c r="E17" i="9"/>
  <c r="H17" i="9" s="1"/>
  <c r="E16" i="9"/>
  <c r="H16" i="9" s="1"/>
  <c r="E15" i="9"/>
  <c r="H15" i="9" s="1"/>
  <c r="E14" i="9"/>
  <c r="H14" i="9" s="1"/>
  <c r="E13" i="9"/>
  <c r="H13" i="9" s="1"/>
  <c r="F12" i="9"/>
  <c r="G12" i="9" s="1"/>
  <c r="E12" i="9"/>
  <c r="H12" i="9" s="1"/>
  <c r="D11" i="9"/>
  <c r="E11" i="9" s="1"/>
  <c r="H11" i="9" s="1"/>
  <c r="D9" i="9"/>
  <c r="E2" i="9"/>
  <c r="E5" i="9" s="1"/>
  <c r="E2" i="8"/>
  <c r="F13" i="9" l="1"/>
  <c r="G13" i="9" s="1"/>
  <c r="E5" i="8"/>
  <c r="F14" i="9" l="1"/>
  <c r="G14" i="9" s="1"/>
  <c r="F15" i="9" l="1"/>
  <c r="G15" i="9" s="1"/>
  <c r="F16" i="9" l="1"/>
  <c r="G16" i="9" s="1"/>
  <c r="F17" i="9" l="1"/>
  <c r="G17" i="9" s="1"/>
  <c r="F18" i="9" l="1"/>
  <c r="G18" i="9" s="1"/>
  <c r="F19" i="9" l="1"/>
  <c r="G19" i="9" s="1"/>
  <c r="E2" i="5" l="1"/>
  <c r="E5" i="5" s="1"/>
  <c r="D9" i="3"/>
  <c r="J12" i="3"/>
  <c r="D10" i="3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" i="4" l="1"/>
  <c r="J14" i="3"/>
  <c r="F12" i="3"/>
  <c r="F13" i="3" s="1"/>
  <c r="G11" i="3"/>
  <c r="E2" i="3"/>
  <c r="E5" i="3" s="1"/>
  <c r="H11" i="3" l="1"/>
  <c r="G12" i="3"/>
  <c r="E5" i="4"/>
  <c r="H17" i="3"/>
  <c r="H13" i="3"/>
  <c r="H15" i="3"/>
  <c r="H16" i="3"/>
  <c r="H12" i="3"/>
  <c r="G13" i="3"/>
  <c r="F14" i="3"/>
  <c r="H18" i="3"/>
  <c r="H19" i="3"/>
  <c r="H14" i="3"/>
  <c r="F15" i="3" l="1"/>
  <c r="G14" i="3"/>
  <c r="F16" i="3" l="1"/>
  <c r="G15" i="3"/>
  <c r="G16" i="3" l="1"/>
  <c r="F17" i="3"/>
  <c r="F18" i="3" l="1"/>
  <c r="G17" i="3"/>
  <c r="F19" i="3" l="1"/>
  <c r="G19" i="3" s="1"/>
  <c r="G18" i="3"/>
</calcChain>
</file>

<file path=xl/sharedStrings.xml><?xml version="1.0" encoding="utf-8"?>
<sst xmlns="http://schemas.openxmlformats.org/spreadsheetml/2006/main" count="303" uniqueCount="33">
  <si>
    <t>Date expt</t>
  </si>
  <si>
    <t>Ci/pmol</t>
  </si>
  <si>
    <t>5 ul [3H]CP55,940 (50 ul added to each well)</t>
  </si>
  <si>
    <t>[3H]CP55,940</t>
  </si>
  <si>
    <t>cpm/pmol</t>
  </si>
  <si>
    <t>HEK CB1 #20</t>
  </si>
  <si>
    <t>ml vol</t>
  </si>
  <si>
    <t>cpm added</t>
  </si>
  <si>
    <t>nM</t>
  </si>
  <si>
    <t>raw counts</t>
  </si>
  <si>
    <t>av cpm</t>
  </si>
  <si>
    <t>specific cpms</t>
  </si>
  <si>
    <t>[drug]</t>
  </si>
  <si>
    <t>log [drug]</t>
  </si>
  <si>
    <t>% specific binding</t>
  </si>
  <si>
    <t>Plate totals</t>
  </si>
  <si>
    <t>Plate NSB</t>
  </si>
  <si>
    <t>Plate 1</t>
  </si>
  <si>
    <t>Average Total</t>
  </si>
  <si>
    <t>Specific Bound</t>
  </si>
  <si>
    <t>Average NSB</t>
  </si>
  <si>
    <t>Rad conc (nM) calculation: cpm added/well / (assay volume in ml times cpm/pmol)</t>
  </si>
  <si>
    <t>Plate 2</t>
  </si>
  <si>
    <t>Plate 5</t>
  </si>
  <si>
    <t>Plate 4</t>
  </si>
  <si>
    <t>Plate 3</t>
  </si>
  <si>
    <t>10uMN WIN values from plate 2 in set 2 within same experiment</t>
  </si>
  <si>
    <t>Standards only</t>
  </si>
  <si>
    <t>Delta-9-THC -6</t>
  </si>
  <si>
    <t>3 CURVES</t>
  </si>
  <si>
    <t>Delta-9-THC -7</t>
  </si>
  <si>
    <t>Delta-9-THC</t>
  </si>
  <si>
    <t>NSB dilution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</si>
</sst>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trike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3" fillId="0" borderId="0" xfId="1" applyFont="1"/>
    <xf numFmtId="14" fontId="3" fillId="0" borderId="0" xfId="1" applyNumberFormat="1" applyFont="1"/>
    <xf numFmtId="0" fontId="3" fillId="0" borderId="0" xfId="0" applyFont="1"/>
    <xf numFmtId="0" fontId="3" fillId="0" borderId="0" xfId="2" applyFont="1"/>
    <xf numFmtId="0" fontId="4" fillId="0" borderId="0" xfId="1" applyFont="1"/>
    <xf numFmtId="2" fontId="3" fillId="0" borderId="0" xfId="1" applyNumberFormat="1" applyFont="1"/>
    <xf numFmtId="0" fontId="3" fillId="0" borderId="0" xfId="1" quotePrefix="1" applyFont="1" applyAlignment="1">
      <alignment horizontal="left"/>
    </xf>
    <xf numFmtId="0" fontId="4" fillId="0" borderId="0" xfId="0" applyFont="1"/>
    <xf numFmtId="11" fontId="3" fillId="0" borderId="0" xfId="1" applyNumberFormat="1" applyFont="1"/>
    <xf numFmtId="0" fontId="4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9" fillId="0" borderId="0" xfId="1" applyFont="1"/>
    <xf numFmtId="0" fontId="5" fillId="0" borderId="0" xfId="1" applyFont="1"/>
    <xf numFmtId="0" fontId="6" fillId="0" borderId="0" xfId="1" applyFont="1"/>
    <xf numFmtId="0" fontId="5" fillId="0" borderId="0" xfId="0" applyFont="1"/>
    <xf numFmtId="0" fontId="8" fillId="0" borderId="0" xfId="1" applyFont="1"/>
    <xf numFmtId="0" fontId="10" fillId="0" borderId="0" xfId="0" applyFont="1" applyAlignment="1">
      <alignment vertical="center"/>
    </xf>
    <xf numFmtId="0" fontId="7" fillId="0" borderId="0" xfId="1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B4FB812F-289A-4691-BF42-5751A764B3CD}"/>
    <cellStyle name="Normal 3" xfId="2" xr:uid="{9E52F172-2546-43FF-822B-019179E35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471B-0486-9E4F-8D3B-EF3325BB667F}">
  <sheetPr>
    <tabColor rgb="FFFFFF00"/>
  </sheetPr>
  <dimension ref="A1:M51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" customWidth="1"/>
    <col min="2" max="15" width="10.28515625" style="1" customWidth="1"/>
    <col min="16" max="256" width="10.140625" style="1" customWidth="1"/>
    <col min="257" max="257" width="14.7109375" style="1" customWidth="1"/>
    <col min="258" max="258" width="11.42578125" style="1" bestFit="1" customWidth="1"/>
    <col min="259" max="512" width="10.140625" style="1" customWidth="1"/>
    <col min="513" max="513" width="14.7109375" style="1" customWidth="1"/>
    <col min="514" max="514" width="11.42578125" style="1" bestFit="1" customWidth="1"/>
    <col min="515" max="768" width="10.140625" style="1" customWidth="1"/>
    <col min="769" max="769" width="14.7109375" style="1" customWidth="1"/>
    <col min="770" max="770" width="11.42578125" style="1" bestFit="1" customWidth="1"/>
    <col min="771" max="1024" width="10.140625" style="1" customWidth="1"/>
    <col min="1025" max="1025" width="14.7109375" style="1" customWidth="1"/>
    <col min="1026" max="1026" width="11.42578125" style="1" bestFit="1" customWidth="1"/>
    <col min="1027" max="1280" width="10.140625" style="1" customWidth="1"/>
    <col min="1281" max="1281" width="14.7109375" style="1" customWidth="1"/>
    <col min="1282" max="1282" width="11.42578125" style="1" bestFit="1" customWidth="1"/>
    <col min="1283" max="1536" width="10.140625" style="1" customWidth="1"/>
    <col min="1537" max="1537" width="14.7109375" style="1" customWidth="1"/>
    <col min="1538" max="1538" width="11.42578125" style="1" bestFit="1" customWidth="1"/>
    <col min="1539" max="1792" width="10.140625" style="1" customWidth="1"/>
    <col min="1793" max="1793" width="14.7109375" style="1" customWidth="1"/>
    <col min="1794" max="1794" width="11.42578125" style="1" bestFit="1" customWidth="1"/>
    <col min="1795" max="2048" width="10.140625" style="1" customWidth="1"/>
    <col min="2049" max="2049" width="14.7109375" style="1" customWidth="1"/>
    <col min="2050" max="2050" width="11.42578125" style="1" bestFit="1" customWidth="1"/>
    <col min="2051" max="2304" width="10.140625" style="1" customWidth="1"/>
    <col min="2305" max="2305" width="14.7109375" style="1" customWidth="1"/>
    <col min="2306" max="2306" width="11.42578125" style="1" bestFit="1" customWidth="1"/>
    <col min="2307" max="2560" width="10.140625" style="1" customWidth="1"/>
    <col min="2561" max="2561" width="14.7109375" style="1" customWidth="1"/>
    <col min="2562" max="2562" width="11.42578125" style="1" bestFit="1" customWidth="1"/>
    <col min="2563" max="2816" width="10.140625" style="1" customWidth="1"/>
    <col min="2817" max="2817" width="14.7109375" style="1" customWidth="1"/>
    <col min="2818" max="2818" width="11.42578125" style="1" bestFit="1" customWidth="1"/>
    <col min="2819" max="3072" width="10.140625" style="1" customWidth="1"/>
    <col min="3073" max="3073" width="14.7109375" style="1" customWidth="1"/>
    <col min="3074" max="3074" width="11.42578125" style="1" bestFit="1" customWidth="1"/>
    <col min="3075" max="3328" width="10.140625" style="1" customWidth="1"/>
    <col min="3329" max="3329" width="14.7109375" style="1" customWidth="1"/>
    <col min="3330" max="3330" width="11.42578125" style="1" bestFit="1" customWidth="1"/>
    <col min="3331" max="3584" width="10.140625" style="1" customWidth="1"/>
    <col min="3585" max="3585" width="14.7109375" style="1" customWidth="1"/>
    <col min="3586" max="3586" width="11.42578125" style="1" bestFit="1" customWidth="1"/>
    <col min="3587" max="3840" width="10.140625" style="1" customWidth="1"/>
    <col min="3841" max="3841" width="14.7109375" style="1" customWidth="1"/>
    <col min="3842" max="3842" width="11.42578125" style="1" bestFit="1" customWidth="1"/>
    <col min="3843" max="4096" width="10.140625" style="1" customWidth="1"/>
    <col min="4097" max="4097" width="14.7109375" style="1" customWidth="1"/>
    <col min="4098" max="4098" width="11.42578125" style="1" bestFit="1" customWidth="1"/>
    <col min="4099" max="4352" width="10.140625" style="1" customWidth="1"/>
    <col min="4353" max="4353" width="14.7109375" style="1" customWidth="1"/>
    <col min="4354" max="4354" width="11.42578125" style="1" bestFit="1" customWidth="1"/>
    <col min="4355" max="4608" width="10.140625" style="1" customWidth="1"/>
    <col min="4609" max="4609" width="14.7109375" style="1" customWidth="1"/>
    <col min="4610" max="4610" width="11.42578125" style="1" bestFit="1" customWidth="1"/>
    <col min="4611" max="4864" width="10.140625" style="1" customWidth="1"/>
    <col min="4865" max="4865" width="14.7109375" style="1" customWidth="1"/>
    <col min="4866" max="4866" width="11.42578125" style="1" bestFit="1" customWidth="1"/>
    <col min="4867" max="5120" width="10.140625" style="1" customWidth="1"/>
    <col min="5121" max="5121" width="14.7109375" style="1" customWidth="1"/>
    <col min="5122" max="5122" width="11.42578125" style="1" bestFit="1" customWidth="1"/>
    <col min="5123" max="5376" width="10.140625" style="1" customWidth="1"/>
    <col min="5377" max="5377" width="14.7109375" style="1" customWidth="1"/>
    <col min="5378" max="5378" width="11.42578125" style="1" bestFit="1" customWidth="1"/>
    <col min="5379" max="5632" width="10.140625" style="1" customWidth="1"/>
    <col min="5633" max="5633" width="14.7109375" style="1" customWidth="1"/>
    <col min="5634" max="5634" width="11.42578125" style="1" bestFit="1" customWidth="1"/>
    <col min="5635" max="5888" width="10.140625" style="1" customWidth="1"/>
    <col min="5889" max="5889" width="14.7109375" style="1" customWidth="1"/>
    <col min="5890" max="5890" width="11.42578125" style="1" bestFit="1" customWidth="1"/>
    <col min="5891" max="6144" width="10.140625" style="1" customWidth="1"/>
    <col min="6145" max="6145" width="14.7109375" style="1" customWidth="1"/>
    <col min="6146" max="6146" width="11.42578125" style="1" bestFit="1" customWidth="1"/>
    <col min="6147" max="6400" width="10.140625" style="1" customWidth="1"/>
    <col min="6401" max="6401" width="14.7109375" style="1" customWidth="1"/>
    <col min="6402" max="6402" width="11.42578125" style="1" bestFit="1" customWidth="1"/>
    <col min="6403" max="6656" width="10.140625" style="1" customWidth="1"/>
    <col min="6657" max="6657" width="14.7109375" style="1" customWidth="1"/>
    <col min="6658" max="6658" width="11.42578125" style="1" bestFit="1" customWidth="1"/>
    <col min="6659" max="6912" width="10.140625" style="1" customWidth="1"/>
    <col min="6913" max="6913" width="14.7109375" style="1" customWidth="1"/>
    <col min="6914" max="6914" width="11.42578125" style="1" bestFit="1" customWidth="1"/>
    <col min="6915" max="7168" width="10.140625" style="1" customWidth="1"/>
    <col min="7169" max="7169" width="14.7109375" style="1" customWidth="1"/>
    <col min="7170" max="7170" width="11.42578125" style="1" bestFit="1" customWidth="1"/>
    <col min="7171" max="7424" width="10.140625" style="1" customWidth="1"/>
    <col min="7425" max="7425" width="14.7109375" style="1" customWidth="1"/>
    <col min="7426" max="7426" width="11.42578125" style="1" bestFit="1" customWidth="1"/>
    <col min="7427" max="7680" width="10.140625" style="1" customWidth="1"/>
    <col min="7681" max="7681" width="14.7109375" style="1" customWidth="1"/>
    <col min="7682" max="7682" width="11.42578125" style="1" bestFit="1" customWidth="1"/>
    <col min="7683" max="7936" width="10.140625" style="1" customWidth="1"/>
    <col min="7937" max="7937" width="14.7109375" style="1" customWidth="1"/>
    <col min="7938" max="7938" width="11.42578125" style="1" bestFit="1" customWidth="1"/>
    <col min="7939" max="8192" width="10.140625" style="1" customWidth="1"/>
    <col min="8193" max="8193" width="14.7109375" style="1" customWidth="1"/>
    <col min="8194" max="8194" width="11.42578125" style="1" bestFit="1" customWidth="1"/>
    <col min="8195" max="8448" width="10.140625" style="1" customWidth="1"/>
    <col min="8449" max="8449" width="14.7109375" style="1" customWidth="1"/>
    <col min="8450" max="8450" width="11.42578125" style="1" bestFit="1" customWidth="1"/>
    <col min="8451" max="8704" width="10.140625" style="1" customWidth="1"/>
    <col min="8705" max="8705" width="14.7109375" style="1" customWidth="1"/>
    <col min="8706" max="8706" width="11.42578125" style="1" bestFit="1" customWidth="1"/>
    <col min="8707" max="8960" width="10.140625" style="1" customWidth="1"/>
    <col min="8961" max="8961" width="14.7109375" style="1" customWidth="1"/>
    <col min="8962" max="8962" width="11.42578125" style="1" bestFit="1" customWidth="1"/>
    <col min="8963" max="9216" width="10.140625" style="1" customWidth="1"/>
    <col min="9217" max="9217" width="14.7109375" style="1" customWidth="1"/>
    <col min="9218" max="9218" width="11.42578125" style="1" bestFit="1" customWidth="1"/>
    <col min="9219" max="9472" width="10.140625" style="1" customWidth="1"/>
    <col min="9473" max="9473" width="14.7109375" style="1" customWidth="1"/>
    <col min="9474" max="9474" width="11.42578125" style="1" bestFit="1" customWidth="1"/>
    <col min="9475" max="9728" width="10.140625" style="1" customWidth="1"/>
    <col min="9729" max="9729" width="14.7109375" style="1" customWidth="1"/>
    <col min="9730" max="9730" width="11.42578125" style="1" bestFit="1" customWidth="1"/>
    <col min="9731" max="9984" width="10.140625" style="1" customWidth="1"/>
    <col min="9985" max="9985" width="14.7109375" style="1" customWidth="1"/>
    <col min="9986" max="9986" width="11.42578125" style="1" bestFit="1" customWidth="1"/>
    <col min="9987" max="10240" width="10.140625" style="1" customWidth="1"/>
    <col min="10241" max="10241" width="14.7109375" style="1" customWidth="1"/>
    <col min="10242" max="10242" width="11.42578125" style="1" bestFit="1" customWidth="1"/>
    <col min="10243" max="10496" width="10.140625" style="1" customWidth="1"/>
    <col min="10497" max="10497" width="14.7109375" style="1" customWidth="1"/>
    <col min="10498" max="10498" width="11.42578125" style="1" bestFit="1" customWidth="1"/>
    <col min="10499" max="10752" width="10.140625" style="1" customWidth="1"/>
    <col min="10753" max="10753" width="14.7109375" style="1" customWidth="1"/>
    <col min="10754" max="10754" width="11.42578125" style="1" bestFit="1" customWidth="1"/>
    <col min="10755" max="11008" width="10.140625" style="1" customWidth="1"/>
    <col min="11009" max="11009" width="14.7109375" style="1" customWidth="1"/>
    <col min="11010" max="11010" width="11.42578125" style="1" bestFit="1" customWidth="1"/>
    <col min="11011" max="11264" width="10.140625" style="1" customWidth="1"/>
    <col min="11265" max="11265" width="14.7109375" style="1" customWidth="1"/>
    <col min="11266" max="11266" width="11.42578125" style="1" bestFit="1" customWidth="1"/>
    <col min="11267" max="11520" width="10.140625" style="1" customWidth="1"/>
    <col min="11521" max="11521" width="14.7109375" style="1" customWidth="1"/>
    <col min="11522" max="11522" width="11.42578125" style="1" bestFit="1" customWidth="1"/>
    <col min="11523" max="11776" width="10.140625" style="1" customWidth="1"/>
    <col min="11777" max="11777" width="14.7109375" style="1" customWidth="1"/>
    <col min="11778" max="11778" width="11.42578125" style="1" bestFit="1" customWidth="1"/>
    <col min="11779" max="12032" width="10.140625" style="1" customWidth="1"/>
    <col min="12033" max="12033" width="14.7109375" style="1" customWidth="1"/>
    <col min="12034" max="12034" width="11.42578125" style="1" bestFit="1" customWidth="1"/>
    <col min="12035" max="12288" width="10.140625" style="1" customWidth="1"/>
    <col min="12289" max="12289" width="14.7109375" style="1" customWidth="1"/>
    <col min="12290" max="12290" width="11.42578125" style="1" bestFit="1" customWidth="1"/>
    <col min="12291" max="12544" width="10.140625" style="1" customWidth="1"/>
    <col min="12545" max="12545" width="14.7109375" style="1" customWidth="1"/>
    <col min="12546" max="12546" width="11.42578125" style="1" bestFit="1" customWidth="1"/>
    <col min="12547" max="12800" width="10.140625" style="1" customWidth="1"/>
    <col min="12801" max="12801" width="14.7109375" style="1" customWidth="1"/>
    <col min="12802" max="12802" width="11.42578125" style="1" bestFit="1" customWidth="1"/>
    <col min="12803" max="13056" width="10.140625" style="1" customWidth="1"/>
    <col min="13057" max="13057" width="14.7109375" style="1" customWidth="1"/>
    <col min="13058" max="13058" width="11.42578125" style="1" bestFit="1" customWidth="1"/>
    <col min="13059" max="13312" width="10.140625" style="1" customWidth="1"/>
    <col min="13313" max="13313" width="14.7109375" style="1" customWidth="1"/>
    <col min="13314" max="13314" width="11.42578125" style="1" bestFit="1" customWidth="1"/>
    <col min="13315" max="13568" width="10.140625" style="1" customWidth="1"/>
    <col min="13569" max="13569" width="14.7109375" style="1" customWidth="1"/>
    <col min="13570" max="13570" width="11.42578125" style="1" bestFit="1" customWidth="1"/>
    <col min="13571" max="13824" width="10.140625" style="1" customWidth="1"/>
    <col min="13825" max="13825" width="14.7109375" style="1" customWidth="1"/>
    <col min="13826" max="13826" width="11.42578125" style="1" bestFit="1" customWidth="1"/>
    <col min="13827" max="14080" width="10.140625" style="1" customWidth="1"/>
    <col min="14081" max="14081" width="14.7109375" style="1" customWidth="1"/>
    <col min="14082" max="14082" width="11.42578125" style="1" bestFit="1" customWidth="1"/>
    <col min="14083" max="14336" width="10.140625" style="1" customWidth="1"/>
    <col min="14337" max="14337" width="14.7109375" style="1" customWidth="1"/>
    <col min="14338" max="14338" width="11.42578125" style="1" bestFit="1" customWidth="1"/>
    <col min="14339" max="14592" width="10.140625" style="1" customWidth="1"/>
    <col min="14593" max="14593" width="14.7109375" style="1" customWidth="1"/>
    <col min="14594" max="14594" width="11.42578125" style="1" bestFit="1" customWidth="1"/>
    <col min="14595" max="14848" width="10.140625" style="1" customWidth="1"/>
    <col min="14849" max="14849" width="14.7109375" style="1" customWidth="1"/>
    <col min="14850" max="14850" width="11.42578125" style="1" bestFit="1" customWidth="1"/>
    <col min="14851" max="15104" width="10.140625" style="1" customWidth="1"/>
    <col min="15105" max="15105" width="14.7109375" style="1" customWidth="1"/>
    <col min="15106" max="15106" width="11.42578125" style="1" bestFit="1" customWidth="1"/>
    <col min="15107" max="15360" width="10.140625" style="1" customWidth="1"/>
    <col min="15361" max="15361" width="14.7109375" style="1" customWidth="1"/>
    <col min="15362" max="15362" width="11.42578125" style="1" bestFit="1" customWidth="1"/>
    <col min="15363" max="15616" width="10.140625" style="1" customWidth="1"/>
    <col min="15617" max="15617" width="14.7109375" style="1" customWidth="1"/>
    <col min="15618" max="15618" width="11.42578125" style="1" bestFit="1" customWidth="1"/>
    <col min="15619" max="15872" width="10.140625" style="1" customWidth="1"/>
    <col min="15873" max="15873" width="14.7109375" style="1" customWidth="1"/>
    <col min="15874" max="15874" width="11.42578125" style="1" bestFit="1" customWidth="1"/>
    <col min="15875" max="16128" width="10.140625" style="1" customWidth="1"/>
    <col min="16129" max="16129" width="14.7109375" style="1" customWidth="1"/>
    <col min="16130" max="16130" width="11.42578125" style="1" bestFit="1" customWidth="1"/>
    <col min="16131" max="16384" width="10.140625" style="1" customWidth="1"/>
  </cols>
  <sheetData>
    <row r="1" spans="1:13" ht="15.95" customHeight="1" x14ac:dyDescent="0.2">
      <c r="A1" s="1" t="s">
        <v>0</v>
      </c>
      <c r="B1" s="2">
        <v>45264</v>
      </c>
      <c r="E1" s="1">
        <v>106.5</v>
      </c>
      <c r="F1" s="1" t="s">
        <v>1</v>
      </c>
      <c r="G1" s="3">
        <v>1567</v>
      </c>
      <c r="H1" s="1">
        <v>1639</v>
      </c>
      <c r="I1" s="1" t="s">
        <v>2</v>
      </c>
      <c r="M1" s="3"/>
    </row>
    <row r="2" spans="1:13" ht="15.95" customHeight="1" x14ac:dyDescent="0.2">
      <c r="A2" s="1" t="s">
        <v>3</v>
      </c>
      <c r="E2" s="1">
        <f>E1*2200*0.53</f>
        <v>124179</v>
      </c>
      <c r="F2" s="1" t="s">
        <v>4</v>
      </c>
      <c r="G2" s="3">
        <v>1688</v>
      </c>
      <c r="H2" s="1">
        <v>1619</v>
      </c>
      <c r="K2" s="4"/>
      <c r="M2" s="3"/>
    </row>
    <row r="3" spans="1:13" ht="15.95" customHeight="1" x14ac:dyDescent="0.25">
      <c r="A3" s="1" t="s">
        <v>5</v>
      </c>
      <c r="B3" s="5"/>
      <c r="E3" s="1">
        <v>0.5</v>
      </c>
      <c r="F3" s="1" t="s">
        <v>6</v>
      </c>
      <c r="G3" s="3">
        <v>1733</v>
      </c>
      <c r="H3" s="1">
        <v>1705</v>
      </c>
      <c r="K3" s="4"/>
      <c r="M3" s="3"/>
    </row>
    <row r="4" spans="1:13" ht="15.95" customHeight="1" x14ac:dyDescent="0.25">
      <c r="B4" s="5"/>
      <c r="E4" s="1">
        <f>AVERAGE(G1:H6)*10</f>
        <v>16676.25</v>
      </c>
      <c r="F4" s="1" t="s">
        <v>7</v>
      </c>
      <c r="G4" s="3">
        <v>1639</v>
      </c>
      <c r="H4" s="1">
        <v>1751</v>
      </c>
      <c r="K4" s="4"/>
      <c r="M4" s="3"/>
    </row>
    <row r="5" spans="1:13" ht="15.95" customHeight="1" x14ac:dyDescent="0.2">
      <c r="A5" s="3"/>
      <c r="D5" s="6"/>
      <c r="E5" s="6">
        <f>E4/(E3*E2)</f>
        <v>0.26858406010678132</v>
      </c>
      <c r="F5" s="7" t="s">
        <v>8</v>
      </c>
      <c r="G5" s="3"/>
      <c r="I5" s="1" t="s">
        <v>21</v>
      </c>
      <c r="K5" s="4"/>
      <c r="M5" s="3"/>
    </row>
    <row r="6" spans="1:13" ht="15.95" customHeight="1" x14ac:dyDescent="0.2">
      <c r="E6" s="7"/>
      <c r="G6" s="3"/>
      <c r="K6" s="4"/>
    </row>
    <row r="7" spans="1:13" ht="15.95" customHeight="1" x14ac:dyDescent="0.25">
      <c r="A7" s="8" t="s">
        <v>23</v>
      </c>
      <c r="B7" s="3"/>
      <c r="C7" s="3"/>
      <c r="D7" s="6"/>
      <c r="E7" s="6"/>
      <c r="F7" s="9"/>
      <c r="G7" s="6"/>
      <c r="H7" s="6"/>
    </row>
    <row r="8" spans="1:13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ht="15.95" customHeight="1" x14ac:dyDescent="0.25">
      <c r="A9" s="5" t="s">
        <v>31</v>
      </c>
      <c r="B9" s="3">
        <v>86</v>
      </c>
      <c r="C9" s="3">
        <v>106</v>
      </c>
      <c r="D9" s="6">
        <f>AVERAGE(B9:C9,B20:C20)</f>
        <v>84.75</v>
      </c>
      <c r="E9" s="6"/>
      <c r="H9" s="6">
        <f>J14*100/J14</f>
        <v>100</v>
      </c>
      <c r="L9" s="5" t="s">
        <v>15</v>
      </c>
      <c r="M9" s="5" t="s">
        <v>16</v>
      </c>
    </row>
    <row r="10" spans="1:13" ht="15.95" customHeight="1" x14ac:dyDescent="0.25">
      <c r="A10" s="1">
        <v>-6</v>
      </c>
      <c r="B10" s="3">
        <v>41</v>
      </c>
      <c r="C10" s="3">
        <v>32</v>
      </c>
      <c r="D10" s="6"/>
      <c r="E10" s="6"/>
      <c r="H10" s="6"/>
      <c r="J10" s="10" t="s">
        <v>23</v>
      </c>
      <c r="L10" s="1">
        <v>86</v>
      </c>
      <c r="M10" s="1">
        <v>41</v>
      </c>
    </row>
    <row r="11" spans="1:13" ht="15.95" customHeight="1" x14ac:dyDescent="0.2">
      <c r="A11" s="3"/>
      <c r="B11" s="3">
        <v>37</v>
      </c>
      <c r="C11" s="3">
        <v>25</v>
      </c>
      <c r="D11" s="6">
        <f t="shared" ref="D11:D20" si="0">AVERAGE(B11:C11)</f>
        <v>31</v>
      </c>
      <c r="E11" s="6">
        <f>D11-$J$16</f>
        <v>-8.875</v>
      </c>
      <c r="F11" s="9">
        <v>9.9999999999999995E-7</v>
      </c>
      <c r="G11" s="6">
        <f>LOG(F11)</f>
        <v>-6</v>
      </c>
      <c r="H11" s="6">
        <f>E11*100/$J$14</f>
        <v>-16.154721274175198</v>
      </c>
      <c r="J11" s="11" t="s">
        <v>18</v>
      </c>
      <c r="L11" s="1">
        <v>106</v>
      </c>
      <c r="M11" s="1">
        <v>32</v>
      </c>
    </row>
    <row r="12" spans="1:13" ht="15.95" customHeight="1" x14ac:dyDescent="0.25">
      <c r="A12" s="8"/>
      <c r="B12" s="3">
        <v>42</v>
      </c>
      <c r="C12" s="3">
        <v>61</v>
      </c>
      <c r="D12" s="6">
        <f t="shared" si="0"/>
        <v>51.5</v>
      </c>
      <c r="E12" s="6">
        <f t="shared" ref="E12:E19" si="1">D12-$J$16</f>
        <v>11.625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21.160409556313994</v>
      </c>
      <c r="J12" s="11">
        <f>AVERAGE(L10:L25)</f>
        <v>94.8125</v>
      </c>
      <c r="L12" s="1">
        <v>111</v>
      </c>
      <c r="M12" s="1">
        <v>40</v>
      </c>
    </row>
    <row r="13" spans="1:13" ht="15.95" customHeight="1" x14ac:dyDescent="0.2">
      <c r="A13" s="3"/>
      <c r="B13" s="3">
        <v>68</v>
      </c>
      <c r="C13" s="3">
        <v>54</v>
      </c>
      <c r="D13" s="6">
        <f t="shared" si="0"/>
        <v>61</v>
      </c>
      <c r="E13" s="6">
        <f t="shared" si="1"/>
        <v>21.125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38.452787258248009</v>
      </c>
      <c r="J13" s="11" t="s">
        <v>19</v>
      </c>
      <c r="L13" s="1">
        <v>95</v>
      </c>
      <c r="M13" s="1">
        <v>33</v>
      </c>
    </row>
    <row r="14" spans="1:13" ht="15.95" customHeight="1" x14ac:dyDescent="0.2">
      <c r="A14" s="3"/>
      <c r="B14" s="3">
        <v>85</v>
      </c>
      <c r="C14" s="3">
        <v>59</v>
      </c>
      <c r="D14" s="6">
        <f t="shared" si="0"/>
        <v>72</v>
      </c>
      <c r="E14" s="6">
        <f t="shared" si="1"/>
        <v>32.125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58.475540386803182</v>
      </c>
      <c r="J14" s="11">
        <f>J12-J16</f>
        <v>54.9375</v>
      </c>
      <c r="L14" s="1">
        <v>109</v>
      </c>
      <c r="M14" s="1">
        <v>40</v>
      </c>
    </row>
    <row r="15" spans="1:13" ht="15.95" customHeight="1" x14ac:dyDescent="0.2">
      <c r="A15" s="3"/>
      <c r="B15" s="3">
        <v>82</v>
      </c>
      <c r="C15" s="3">
        <v>86</v>
      </c>
      <c r="D15" s="6">
        <f t="shared" si="0"/>
        <v>84</v>
      </c>
      <c r="E15" s="6">
        <f t="shared" si="1"/>
        <v>44.125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80.31854379977247</v>
      </c>
      <c r="J15" s="11" t="s">
        <v>20</v>
      </c>
      <c r="L15" s="1">
        <v>113</v>
      </c>
      <c r="M15" s="1">
        <v>38</v>
      </c>
    </row>
    <row r="16" spans="1:13" ht="15.95" customHeight="1" x14ac:dyDescent="0.2">
      <c r="B16" s="3">
        <v>92</v>
      </c>
      <c r="C16" s="3">
        <v>100</v>
      </c>
      <c r="D16" s="6">
        <f t="shared" si="0"/>
        <v>96</v>
      </c>
      <c r="E16" s="6">
        <f t="shared" si="1"/>
        <v>56.125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102.16154721274175</v>
      </c>
      <c r="J16" s="11">
        <f>AVERAGE(M10:M17)</f>
        <v>39.875</v>
      </c>
      <c r="L16" s="1">
        <v>97</v>
      </c>
      <c r="M16" s="1">
        <v>32</v>
      </c>
    </row>
    <row r="17" spans="1:13" ht="15.95" customHeight="1" x14ac:dyDescent="0.2">
      <c r="A17" s="3"/>
      <c r="B17" s="3">
        <v>103</v>
      </c>
      <c r="C17" s="3">
        <v>93</v>
      </c>
      <c r="D17" s="6">
        <f t="shared" si="0"/>
        <v>98</v>
      </c>
      <c r="E17" s="6">
        <f t="shared" si="1"/>
        <v>58.125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105.80204778156997</v>
      </c>
      <c r="L17" s="1">
        <v>112</v>
      </c>
      <c r="M17" s="1">
        <v>63</v>
      </c>
    </row>
    <row r="18" spans="1:13" ht="15.95" customHeight="1" x14ac:dyDescent="0.2">
      <c r="B18" s="3">
        <v>99</v>
      </c>
      <c r="C18" s="3">
        <v>75</v>
      </c>
      <c r="D18" s="6">
        <f t="shared" si="0"/>
        <v>87</v>
      </c>
      <c r="E18" s="6">
        <f t="shared" si="1"/>
        <v>47.125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85.779294653014787</v>
      </c>
      <c r="L18" s="1">
        <v>75</v>
      </c>
    </row>
    <row r="19" spans="1:13" ht="15.95" customHeight="1" x14ac:dyDescent="0.2">
      <c r="A19" s="3"/>
      <c r="B19" s="3">
        <v>81</v>
      </c>
      <c r="C19" s="3">
        <v>88</v>
      </c>
      <c r="D19" s="6">
        <f t="shared" si="0"/>
        <v>84.5</v>
      </c>
      <c r="E19" s="6">
        <f t="shared" si="1"/>
        <v>44.625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81.228668941979521</v>
      </c>
      <c r="L19" s="1">
        <v>72</v>
      </c>
    </row>
    <row r="20" spans="1:13" ht="15.95" customHeight="1" x14ac:dyDescent="0.2">
      <c r="B20" s="3">
        <v>75</v>
      </c>
      <c r="C20" s="3">
        <v>72</v>
      </c>
      <c r="D20" s="6">
        <f t="shared" si="0"/>
        <v>73.5</v>
      </c>
      <c r="E20" s="6"/>
      <c r="F20" s="9"/>
      <c r="G20" s="6"/>
      <c r="H20" s="6"/>
      <c r="L20" s="1">
        <v>96</v>
      </c>
    </row>
    <row r="21" spans="1:13" ht="15.95" customHeight="1" x14ac:dyDescent="0.25">
      <c r="A21" s="5"/>
      <c r="B21" s="3"/>
      <c r="C21" s="3"/>
      <c r="L21" s="1">
        <v>91</v>
      </c>
    </row>
    <row r="22" spans="1:13" ht="15.95" customHeight="1" x14ac:dyDescent="0.2">
      <c r="B22" s="3"/>
      <c r="C22" s="3"/>
      <c r="D22" s="6"/>
      <c r="E22" s="6"/>
      <c r="H22" s="6"/>
      <c r="L22" s="1">
        <v>84</v>
      </c>
    </row>
    <row r="23" spans="1:13" ht="15.95" customHeight="1" x14ac:dyDescent="0.2">
      <c r="B23" s="3"/>
      <c r="C23" s="3"/>
      <c r="D23" s="6"/>
      <c r="E23" s="6"/>
      <c r="H23" s="6"/>
      <c r="L23" s="1">
        <v>74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1">
        <v>111</v>
      </c>
    </row>
    <row r="25" spans="1:13" ht="15.95" customHeight="1" x14ac:dyDescent="0.25">
      <c r="A25" s="8"/>
      <c r="B25" s="3"/>
      <c r="C25" s="3"/>
      <c r="D25" s="6"/>
      <c r="E25" s="6"/>
      <c r="F25" s="9"/>
      <c r="G25" s="6"/>
      <c r="H25" s="6"/>
      <c r="L25" s="1">
        <v>85</v>
      </c>
    </row>
    <row r="26" spans="1:13" ht="15.95" customHeight="1" x14ac:dyDescent="0.2">
      <c r="H26" s="16"/>
    </row>
    <row r="27" spans="1:13" ht="15.95" customHeight="1" x14ac:dyDescent="0.2">
      <c r="D27" s="6"/>
      <c r="E27" s="6"/>
      <c r="H27" s="6"/>
    </row>
    <row r="28" spans="1:13" ht="15.95" customHeight="1" x14ac:dyDescent="0.2">
      <c r="D28" s="6"/>
      <c r="E28" s="6"/>
      <c r="H28" s="6"/>
    </row>
    <row r="29" spans="1:13" ht="15.95" customHeight="1" x14ac:dyDescent="0.2">
      <c r="D29" s="6"/>
      <c r="E29" s="6"/>
      <c r="F29" s="9"/>
      <c r="G29" s="6"/>
      <c r="H29" s="6"/>
    </row>
    <row r="30" spans="1:13" ht="15.95" customHeight="1" x14ac:dyDescent="0.2">
      <c r="D30" s="6"/>
      <c r="E30" s="6"/>
      <c r="F30" s="9"/>
      <c r="G30" s="6"/>
      <c r="H30" s="6"/>
    </row>
    <row r="31" spans="1:13" ht="15.95" customHeight="1" x14ac:dyDescent="0.2">
      <c r="D31" s="6"/>
      <c r="E31" s="6"/>
      <c r="F31" s="9"/>
      <c r="G31" s="6"/>
      <c r="H31" s="6"/>
    </row>
    <row r="32" spans="1:13" ht="15.95" customHeight="1" x14ac:dyDescent="0.2">
      <c r="D32" s="6"/>
      <c r="E32" s="6"/>
      <c r="F32" s="9"/>
      <c r="G32" s="6"/>
      <c r="H32" s="6"/>
    </row>
    <row r="33" spans="4:8" ht="15.95" customHeight="1" x14ac:dyDescent="0.2">
      <c r="D33" s="6"/>
      <c r="E33" s="6"/>
      <c r="F33" s="9"/>
      <c r="G33" s="6"/>
      <c r="H33" s="6"/>
    </row>
    <row r="34" spans="4:8" ht="15.95" customHeight="1" x14ac:dyDescent="0.2">
      <c r="D34" s="6"/>
      <c r="E34" s="6"/>
      <c r="F34" s="9"/>
      <c r="G34" s="6"/>
      <c r="H34" s="6"/>
    </row>
    <row r="35" spans="4:8" ht="15.95" customHeight="1" x14ac:dyDescent="0.2">
      <c r="D35" s="6"/>
      <c r="E35" s="6"/>
      <c r="F35" s="9"/>
      <c r="G35" s="6"/>
      <c r="H35" s="6"/>
    </row>
    <row r="36" spans="4:8" ht="15.95" customHeight="1" x14ac:dyDescent="0.2">
      <c r="D36" s="6"/>
      <c r="E36" s="6"/>
      <c r="F36" s="9"/>
      <c r="G36" s="6"/>
      <c r="H36" s="6"/>
    </row>
    <row r="37" spans="4:8" ht="15.95" customHeight="1" x14ac:dyDescent="0.2">
      <c r="D37" s="6"/>
      <c r="E37" s="6"/>
      <c r="F37" s="9"/>
      <c r="G37" s="6"/>
      <c r="H37" s="6"/>
    </row>
    <row r="38" spans="4:8" ht="15.95" customHeight="1" x14ac:dyDescent="0.2">
      <c r="D38" s="6"/>
      <c r="E38" s="6"/>
      <c r="F38" s="9"/>
      <c r="G38" s="6"/>
      <c r="H38" s="6"/>
    </row>
    <row r="39" spans="4:8" ht="15.95" customHeight="1" x14ac:dyDescent="0.2">
      <c r="H39" s="16"/>
    </row>
    <row r="40" spans="4:8" ht="15.95" customHeight="1" x14ac:dyDescent="0.2">
      <c r="D40" s="6"/>
      <c r="E40" s="6"/>
      <c r="H40" s="6"/>
    </row>
    <row r="41" spans="4:8" ht="15.95" customHeight="1" x14ac:dyDescent="0.2">
      <c r="D41" s="6"/>
      <c r="E41" s="6"/>
      <c r="H41" s="6"/>
    </row>
    <row r="42" spans="4:8" ht="15.95" customHeight="1" x14ac:dyDescent="0.2">
      <c r="D42" s="6"/>
      <c r="E42" s="6"/>
      <c r="F42" s="9"/>
      <c r="G42" s="6"/>
      <c r="H42" s="6"/>
    </row>
    <row r="43" spans="4:8" ht="15.95" customHeight="1" x14ac:dyDescent="0.2">
      <c r="D43" s="6"/>
      <c r="E43" s="6"/>
      <c r="F43" s="9"/>
      <c r="G43" s="6"/>
      <c r="H43" s="6"/>
    </row>
    <row r="44" spans="4:8" ht="15.95" customHeight="1" x14ac:dyDescent="0.2">
      <c r="D44" s="6"/>
      <c r="E44" s="6"/>
      <c r="F44" s="9"/>
      <c r="G44" s="6"/>
      <c r="H44" s="6"/>
    </row>
    <row r="45" spans="4:8" ht="15.95" customHeight="1" x14ac:dyDescent="0.2">
      <c r="D45" s="6"/>
      <c r="E45" s="6"/>
      <c r="F45" s="9"/>
      <c r="G45" s="6"/>
      <c r="H45" s="6"/>
    </row>
    <row r="46" spans="4:8" ht="15.95" customHeight="1" x14ac:dyDescent="0.2">
      <c r="D46" s="6"/>
      <c r="E46" s="6"/>
      <c r="F46" s="9"/>
      <c r="G46" s="6"/>
      <c r="H46" s="6"/>
    </row>
    <row r="47" spans="4:8" ht="15.95" customHeight="1" x14ac:dyDescent="0.2">
      <c r="D47" s="6"/>
      <c r="E47" s="6"/>
      <c r="F47" s="9"/>
      <c r="G47" s="6"/>
      <c r="H47" s="6"/>
    </row>
    <row r="48" spans="4:8" ht="15.95" customHeight="1" x14ac:dyDescent="0.2">
      <c r="D48" s="6"/>
      <c r="E48" s="6"/>
      <c r="F48" s="9"/>
      <c r="G48" s="6"/>
      <c r="H48" s="6"/>
    </row>
    <row r="49" spans="4:8" ht="15.95" customHeight="1" x14ac:dyDescent="0.2">
      <c r="D49" s="6"/>
      <c r="E49" s="6"/>
      <c r="F49" s="9"/>
      <c r="G49" s="6"/>
      <c r="H49" s="6"/>
    </row>
    <row r="50" spans="4:8" ht="15.95" customHeight="1" x14ac:dyDescent="0.2">
      <c r="D50" s="6"/>
      <c r="E50" s="6"/>
      <c r="F50" s="9"/>
      <c r="G50" s="6"/>
      <c r="H50" s="6"/>
    </row>
    <row r="51" spans="4:8" ht="15.95" customHeight="1" x14ac:dyDescent="0.2">
      <c r="D51" s="6"/>
      <c r="E51" s="6"/>
      <c r="F51" s="9"/>
      <c r="G51" s="6"/>
      <c r="H51" s="6"/>
    </row>
  </sheetData>
  <mergeCells count="1"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5765-1865-45BA-8C91-82F79BDC980E}">
  <sheetPr>
    <tabColor rgb="FFFFFF00"/>
  </sheetPr>
  <dimension ref="A1:M35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" customWidth="1"/>
    <col min="2" max="15" width="10.28515625" style="1" customWidth="1"/>
    <col min="16" max="256" width="10.140625" style="1" customWidth="1"/>
    <col min="257" max="257" width="14.7109375" style="1" customWidth="1"/>
    <col min="258" max="258" width="11.42578125" style="1" bestFit="1" customWidth="1"/>
    <col min="259" max="512" width="10.140625" style="1" customWidth="1"/>
    <col min="513" max="513" width="14.7109375" style="1" customWidth="1"/>
    <col min="514" max="514" width="11.42578125" style="1" bestFit="1" customWidth="1"/>
    <col min="515" max="768" width="10.140625" style="1" customWidth="1"/>
    <col min="769" max="769" width="14.7109375" style="1" customWidth="1"/>
    <col min="770" max="770" width="11.42578125" style="1" bestFit="1" customWidth="1"/>
    <col min="771" max="1024" width="10.140625" style="1" customWidth="1"/>
    <col min="1025" max="1025" width="14.7109375" style="1" customWidth="1"/>
    <col min="1026" max="1026" width="11.42578125" style="1" bestFit="1" customWidth="1"/>
    <col min="1027" max="1280" width="10.140625" style="1" customWidth="1"/>
    <col min="1281" max="1281" width="14.7109375" style="1" customWidth="1"/>
    <col min="1282" max="1282" width="11.42578125" style="1" bestFit="1" customWidth="1"/>
    <col min="1283" max="1536" width="10.140625" style="1" customWidth="1"/>
    <col min="1537" max="1537" width="14.7109375" style="1" customWidth="1"/>
    <col min="1538" max="1538" width="11.42578125" style="1" bestFit="1" customWidth="1"/>
    <col min="1539" max="1792" width="10.140625" style="1" customWidth="1"/>
    <col min="1793" max="1793" width="14.7109375" style="1" customWidth="1"/>
    <col min="1794" max="1794" width="11.42578125" style="1" bestFit="1" customWidth="1"/>
    <col min="1795" max="2048" width="10.140625" style="1" customWidth="1"/>
    <col min="2049" max="2049" width="14.7109375" style="1" customWidth="1"/>
    <col min="2050" max="2050" width="11.42578125" style="1" bestFit="1" customWidth="1"/>
    <col min="2051" max="2304" width="10.140625" style="1" customWidth="1"/>
    <col min="2305" max="2305" width="14.7109375" style="1" customWidth="1"/>
    <col min="2306" max="2306" width="11.42578125" style="1" bestFit="1" customWidth="1"/>
    <col min="2307" max="2560" width="10.140625" style="1" customWidth="1"/>
    <col min="2561" max="2561" width="14.7109375" style="1" customWidth="1"/>
    <col min="2562" max="2562" width="11.42578125" style="1" bestFit="1" customWidth="1"/>
    <col min="2563" max="2816" width="10.140625" style="1" customWidth="1"/>
    <col min="2817" max="2817" width="14.7109375" style="1" customWidth="1"/>
    <col min="2818" max="2818" width="11.42578125" style="1" bestFit="1" customWidth="1"/>
    <col min="2819" max="3072" width="10.140625" style="1" customWidth="1"/>
    <col min="3073" max="3073" width="14.7109375" style="1" customWidth="1"/>
    <col min="3074" max="3074" width="11.42578125" style="1" bestFit="1" customWidth="1"/>
    <col min="3075" max="3328" width="10.140625" style="1" customWidth="1"/>
    <col min="3329" max="3329" width="14.7109375" style="1" customWidth="1"/>
    <col min="3330" max="3330" width="11.42578125" style="1" bestFit="1" customWidth="1"/>
    <col min="3331" max="3584" width="10.140625" style="1" customWidth="1"/>
    <col min="3585" max="3585" width="14.7109375" style="1" customWidth="1"/>
    <col min="3586" max="3586" width="11.42578125" style="1" bestFit="1" customWidth="1"/>
    <col min="3587" max="3840" width="10.140625" style="1" customWidth="1"/>
    <col min="3841" max="3841" width="14.7109375" style="1" customWidth="1"/>
    <col min="3842" max="3842" width="11.42578125" style="1" bestFit="1" customWidth="1"/>
    <col min="3843" max="4096" width="10.140625" style="1" customWidth="1"/>
    <col min="4097" max="4097" width="14.7109375" style="1" customWidth="1"/>
    <col min="4098" max="4098" width="11.42578125" style="1" bestFit="1" customWidth="1"/>
    <col min="4099" max="4352" width="10.140625" style="1" customWidth="1"/>
    <col min="4353" max="4353" width="14.7109375" style="1" customWidth="1"/>
    <col min="4354" max="4354" width="11.42578125" style="1" bestFit="1" customWidth="1"/>
    <col min="4355" max="4608" width="10.140625" style="1" customWidth="1"/>
    <col min="4609" max="4609" width="14.7109375" style="1" customWidth="1"/>
    <col min="4610" max="4610" width="11.42578125" style="1" bestFit="1" customWidth="1"/>
    <col min="4611" max="4864" width="10.140625" style="1" customWidth="1"/>
    <col min="4865" max="4865" width="14.7109375" style="1" customWidth="1"/>
    <col min="4866" max="4866" width="11.42578125" style="1" bestFit="1" customWidth="1"/>
    <col min="4867" max="5120" width="10.140625" style="1" customWidth="1"/>
    <col min="5121" max="5121" width="14.7109375" style="1" customWidth="1"/>
    <col min="5122" max="5122" width="11.42578125" style="1" bestFit="1" customWidth="1"/>
    <col min="5123" max="5376" width="10.140625" style="1" customWidth="1"/>
    <col min="5377" max="5377" width="14.7109375" style="1" customWidth="1"/>
    <col min="5378" max="5378" width="11.42578125" style="1" bestFit="1" customWidth="1"/>
    <col min="5379" max="5632" width="10.140625" style="1" customWidth="1"/>
    <col min="5633" max="5633" width="14.7109375" style="1" customWidth="1"/>
    <col min="5634" max="5634" width="11.42578125" style="1" bestFit="1" customWidth="1"/>
    <col min="5635" max="5888" width="10.140625" style="1" customWidth="1"/>
    <col min="5889" max="5889" width="14.7109375" style="1" customWidth="1"/>
    <col min="5890" max="5890" width="11.42578125" style="1" bestFit="1" customWidth="1"/>
    <col min="5891" max="6144" width="10.140625" style="1" customWidth="1"/>
    <col min="6145" max="6145" width="14.7109375" style="1" customWidth="1"/>
    <col min="6146" max="6146" width="11.42578125" style="1" bestFit="1" customWidth="1"/>
    <col min="6147" max="6400" width="10.140625" style="1" customWidth="1"/>
    <col min="6401" max="6401" width="14.7109375" style="1" customWidth="1"/>
    <col min="6402" max="6402" width="11.42578125" style="1" bestFit="1" customWidth="1"/>
    <col min="6403" max="6656" width="10.140625" style="1" customWidth="1"/>
    <col min="6657" max="6657" width="14.7109375" style="1" customWidth="1"/>
    <col min="6658" max="6658" width="11.42578125" style="1" bestFit="1" customWidth="1"/>
    <col min="6659" max="6912" width="10.140625" style="1" customWidth="1"/>
    <col min="6913" max="6913" width="14.7109375" style="1" customWidth="1"/>
    <col min="6914" max="6914" width="11.42578125" style="1" bestFit="1" customWidth="1"/>
    <col min="6915" max="7168" width="10.140625" style="1" customWidth="1"/>
    <col min="7169" max="7169" width="14.7109375" style="1" customWidth="1"/>
    <col min="7170" max="7170" width="11.42578125" style="1" bestFit="1" customWidth="1"/>
    <col min="7171" max="7424" width="10.140625" style="1" customWidth="1"/>
    <col min="7425" max="7425" width="14.7109375" style="1" customWidth="1"/>
    <col min="7426" max="7426" width="11.42578125" style="1" bestFit="1" customWidth="1"/>
    <col min="7427" max="7680" width="10.140625" style="1" customWidth="1"/>
    <col min="7681" max="7681" width="14.7109375" style="1" customWidth="1"/>
    <col min="7682" max="7682" width="11.42578125" style="1" bestFit="1" customWidth="1"/>
    <col min="7683" max="7936" width="10.140625" style="1" customWidth="1"/>
    <col min="7937" max="7937" width="14.7109375" style="1" customWidth="1"/>
    <col min="7938" max="7938" width="11.42578125" style="1" bestFit="1" customWidth="1"/>
    <col min="7939" max="8192" width="10.140625" style="1" customWidth="1"/>
    <col min="8193" max="8193" width="14.7109375" style="1" customWidth="1"/>
    <col min="8194" max="8194" width="11.42578125" style="1" bestFit="1" customWidth="1"/>
    <col min="8195" max="8448" width="10.140625" style="1" customWidth="1"/>
    <col min="8449" max="8449" width="14.7109375" style="1" customWidth="1"/>
    <col min="8450" max="8450" width="11.42578125" style="1" bestFit="1" customWidth="1"/>
    <col min="8451" max="8704" width="10.140625" style="1" customWidth="1"/>
    <col min="8705" max="8705" width="14.7109375" style="1" customWidth="1"/>
    <col min="8706" max="8706" width="11.42578125" style="1" bestFit="1" customWidth="1"/>
    <col min="8707" max="8960" width="10.140625" style="1" customWidth="1"/>
    <col min="8961" max="8961" width="14.7109375" style="1" customWidth="1"/>
    <col min="8962" max="8962" width="11.42578125" style="1" bestFit="1" customWidth="1"/>
    <col min="8963" max="9216" width="10.140625" style="1" customWidth="1"/>
    <col min="9217" max="9217" width="14.7109375" style="1" customWidth="1"/>
    <col min="9218" max="9218" width="11.42578125" style="1" bestFit="1" customWidth="1"/>
    <col min="9219" max="9472" width="10.140625" style="1" customWidth="1"/>
    <col min="9473" max="9473" width="14.7109375" style="1" customWidth="1"/>
    <col min="9474" max="9474" width="11.42578125" style="1" bestFit="1" customWidth="1"/>
    <col min="9475" max="9728" width="10.140625" style="1" customWidth="1"/>
    <col min="9729" max="9729" width="14.7109375" style="1" customWidth="1"/>
    <col min="9730" max="9730" width="11.42578125" style="1" bestFit="1" customWidth="1"/>
    <col min="9731" max="9984" width="10.140625" style="1" customWidth="1"/>
    <col min="9985" max="9985" width="14.7109375" style="1" customWidth="1"/>
    <col min="9986" max="9986" width="11.42578125" style="1" bestFit="1" customWidth="1"/>
    <col min="9987" max="10240" width="10.140625" style="1" customWidth="1"/>
    <col min="10241" max="10241" width="14.7109375" style="1" customWidth="1"/>
    <col min="10242" max="10242" width="11.42578125" style="1" bestFit="1" customWidth="1"/>
    <col min="10243" max="10496" width="10.140625" style="1" customWidth="1"/>
    <col min="10497" max="10497" width="14.7109375" style="1" customWidth="1"/>
    <col min="10498" max="10498" width="11.42578125" style="1" bestFit="1" customWidth="1"/>
    <col min="10499" max="10752" width="10.140625" style="1" customWidth="1"/>
    <col min="10753" max="10753" width="14.7109375" style="1" customWidth="1"/>
    <col min="10754" max="10754" width="11.42578125" style="1" bestFit="1" customWidth="1"/>
    <col min="10755" max="11008" width="10.140625" style="1" customWidth="1"/>
    <col min="11009" max="11009" width="14.7109375" style="1" customWidth="1"/>
    <col min="11010" max="11010" width="11.42578125" style="1" bestFit="1" customWidth="1"/>
    <col min="11011" max="11264" width="10.140625" style="1" customWidth="1"/>
    <col min="11265" max="11265" width="14.7109375" style="1" customWidth="1"/>
    <col min="11266" max="11266" width="11.42578125" style="1" bestFit="1" customWidth="1"/>
    <col min="11267" max="11520" width="10.140625" style="1" customWidth="1"/>
    <col min="11521" max="11521" width="14.7109375" style="1" customWidth="1"/>
    <col min="11522" max="11522" width="11.42578125" style="1" bestFit="1" customWidth="1"/>
    <col min="11523" max="11776" width="10.140625" style="1" customWidth="1"/>
    <col min="11777" max="11777" width="14.7109375" style="1" customWidth="1"/>
    <col min="11778" max="11778" width="11.42578125" style="1" bestFit="1" customWidth="1"/>
    <col min="11779" max="12032" width="10.140625" style="1" customWidth="1"/>
    <col min="12033" max="12033" width="14.7109375" style="1" customWidth="1"/>
    <col min="12034" max="12034" width="11.42578125" style="1" bestFit="1" customWidth="1"/>
    <col min="12035" max="12288" width="10.140625" style="1" customWidth="1"/>
    <col min="12289" max="12289" width="14.7109375" style="1" customWidth="1"/>
    <col min="12290" max="12290" width="11.42578125" style="1" bestFit="1" customWidth="1"/>
    <col min="12291" max="12544" width="10.140625" style="1" customWidth="1"/>
    <col min="12545" max="12545" width="14.7109375" style="1" customWidth="1"/>
    <col min="12546" max="12546" width="11.42578125" style="1" bestFit="1" customWidth="1"/>
    <col min="12547" max="12800" width="10.140625" style="1" customWidth="1"/>
    <col min="12801" max="12801" width="14.7109375" style="1" customWidth="1"/>
    <col min="12802" max="12802" width="11.42578125" style="1" bestFit="1" customWidth="1"/>
    <col min="12803" max="13056" width="10.140625" style="1" customWidth="1"/>
    <col min="13057" max="13057" width="14.7109375" style="1" customWidth="1"/>
    <col min="13058" max="13058" width="11.42578125" style="1" bestFit="1" customWidth="1"/>
    <col min="13059" max="13312" width="10.140625" style="1" customWidth="1"/>
    <col min="13313" max="13313" width="14.7109375" style="1" customWidth="1"/>
    <col min="13314" max="13314" width="11.42578125" style="1" bestFit="1" customWidth="1"/>
    <col min="13315" max="13568" width="10.140625" style="1" customWidth="1"/>
    <col min="13569" max="13569" width="14.7109375" style="1" customWidth="1"/>
    <col min="13570" max="13570" width="11.42578125" style="1" bestFit="1" customWidth="1"/>
    <col min="13571" max="13824" width="10.140625" style="1" customWidth="1"/>
    <col min="13825" max="13825" width="14.7109375" style="1" customWidth="1"/>
    <col min="13826" max="13826" width="11.42578125" style="1" bestFit="1" customWidth="1"/>
    <col min="13827" max="14080" width="10.140625" style="1" customWidth="1"/>
    <col min="14081" max="14081" width="14.7109375" style="1" customWidth="1"/>
    <col min="14082" max="14082" width="11.42578125" style="1" bestFit="1" customWidth="1"/>
    <col min="14083" max="14336" width="10.140625" style="1" customWidth="1"/>
    <col min="14337" max="14337" width="14.7109375" style="1" customWidth="1"/>
    <col min="14338" max="14338" width="11.42578125" style="1" bestFit="1" customWidth="1"/>
    <col min="14339" max="14592" width="10.140625" style="1" customWidth="1"/>
    <col min="14593" max="14593" width="14.7109375" style="1" customWidth="1"/>
    <col min="14594" max="14594" width="11.42578125" style="1" bestFit="1" customWidth="1"/>
    <col min="14595" max="14848" width="10.140625" style="1" customWidth="1"/>
    <col min="14849" max="14849" width="14.7109375" style="1" customWidth="1"/>
    <col min="14850" max="14850" width="11.42578125" style="1" bestFit="1" customWidth="1"/>
    <col min="14851" max="15104" width="10.140625" style="1" customWidth="1"/>
    <col min="15105" max="15105" width="14.7109375" style="1" customWidth="1"/>
    <col min="15106" max="15106" width="11.42578125" style="1" bestFit="1" customWidth="1"/>
    <col min="15107" max="15360" width="10.140625" style="1" customWidth="1"/>
    <col min="15361" max="15361" width="14.7109375" style="1" customWidth="1"/>
    <col min="15362" max="15362" width="11.42578125" style="1" bestFit="1" customWidth="1"/>
    <col min="15363" max="15616" width="10.140625" style="1" customWidth="1"/>
    <col min="15617" max="15617" width="14.7109375" style="1" customWidth="1"/>
    <col min="15618" max="15618" width="11.42578125" style="1" bestFit="1" customWidth="1"/>
    <col min="15619" max="15872" width="10.140625" style="1" customWidth="1"/>
    <col min="15873" max="15873" width="14.7109375" style="1" customWidth="1"/>
    <col min="15874" max="15874" width="11.42578125" style="1" bestFit="1" customWidth="1"/>
    <col min="15875" max="16128" width="10.140625" style="1" customWidth="1"/>
    <col min="16129" max="16129" width="14.7109375" style="1" customWidth="1"/>
    <col min="16130" max="16130" width="11.42578125" style="1" bestFit="1" customWidth="1"/>
    <col min="16131" max="16384" width="10.140625" style="1" customWidth="1"/>
  </cols>
  <sheetData>
    <row r="1" spans="1:13" ht="15.95" customHeight="1" x14ac:dyDescent="0.2">
      <c r="A1" s="1" t="s">
        <v>0</v>
      </c>
      <c r="B1" s="2">
        <v>45265</v>
      </c>
      <c r="E1" s="1">
        <v>108.5</v>
      </c>
      <c r="F1" s="1" t="s">
        <v>1</v>
      </c>
      <c r="G1" s="3">
        <v>3793</v>
      </c>
      <c r="H1" s="1">
        <v>4161</v>
      </c>
      <c r="I1" s="1" t="s">
        <v>2</v>
      </c>
      <c r="M1" s="3"/>
    </row>
    <row r="2" spans="1:13" ht="15.95" customHeight="1" x14ac:dyDescent="0.2">
      <c r="A2" s="1" t="s">
        <v>3</v>
      </c>
      <c r="E2" s="1">
        <f>E1*2200*0.53</f>
        <v>126511</v>
      </c>
      <c r="F2" s="1" t="s">
        <v>4</v>
      </c>
      <c r="G2" s="3">
        <v>4203</v>
      </c>
      <c r="H2" s="1">
        <v>4355</v>
      </c>
      <c r="K2" s="4"/>
      <c r="M2" s="3"/>
    </row>
    <row r="3" spans="1:13" ht="15.95" customHeight="1" x14ac:dyDescent="0.25">
      <c r="A3" s="1" t="s">
        <v>5</v>
      </c>
      <c r="B3" s="5"/>
      <c r="E3" s="1">
        <v>0.5</v>
      </c>
      <c r="F3" s="1" t="s">
        <v>6</v>
      </c>
      <c r="G3" s="3">
        <v>4170</v>
      </c>
      <c r="H3" s="1">
        <v>4395</v>
      </c>
      <c r="K3" s="4"/>
      <c r="M3" s="3"/>
    </row>
    <row r="4" spans="1:13" ht="15.95" customHeight="1" x14ac:dyDescent="0.25">
      <c r="B4" s="5"/>
      <c r="E4" s="1">
        <f>AVERAGE(G1:H6)*10</f>
        <v>41303.75</v>
      </c>
      <c r="F4" s="1" t="s">
        <v>7</v>
      </c>
      <c r="G4" s="3">
        <v>3700</v>
      </c>
      <c r="H4" s="1">
        <v>4266</v>
      </c>
      <c r="K4" s="4"/>
      <c r="M4" s="3"/>
    </row>
    <row r="5" spans="1:13" ht="15.95" customHeight="1" x14ac:dyDescent="0.2">
      <c r="A5" s="3"/>
      <c r="D5" s="6"/>
      <c r="E5" s="6">
        <f>E4/(E3*E2)</f>
        <v>0.65296693568148223</v>
      </c>
      <c r="F5" s="7" t="s">
        <v>8</v>
      </c>
      <c r="G5" s="3"/>
      <c r="I5" s="1" t="s">
        <v>21</v>
      </c>
      <c r="K5" s="4"/>
      <c r="M5" s="3"/>
    </row>
    <row r="6" spans="1:13" ht="15.95" customHeight="1" x14ac:dyDescent="0.2">
      <c r="E6" s="7"/>
      <c r="G6" s="3"/>
      <c r="K6" s="4"/>
    </row>
    <row r="7" spans="1:13" ht="15.95" customHeight="1" x14ac:dyDescent="0.25">
      <c r="A7" s="8" t="s">
        <v>24</v>
      </c>
      <c r="B7" s="3"/>
      <c r="C7" s="3"/>
      <c r="D7" s="6"/>
      <c r="E7" s="6"/>
      <c r="F7" s="9"/>
      <c r="G7" s="6"/>
      <c r="H7" s="6"/>
    </row>
    <row r="8" spans="1:13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ht="15.95" customHeight="1" x14ac:dyDescent="0.25">
      <c r="A9" s="5" t="s">
        <v>31</v>
      </c>
      <c r="B9" s="3">
        <v>189</v>
      </c>
      <c r="C9" s="3">
        <v>226</v>
      </c>
      <c r="D9" s="6">
        <f>AVERAGE(B9:C9,B20:C20)</f>
        <v>191</v>
      </c>
      <c r="E9" s="6"/>
      <c r="H9" s="6">
        <f>J14*100/J14</f>
        <v>100</v>
      </c>
      <c r="L9" s="5" t="s">
        <v>15</v>
      </c>
      <c r="M9" s="5" t="s">
        <v>16</v>
      </c>
    </row>
    <row r="10" spans="1:13" ht="15.95" customHeight="1" x14ac:dyDescent="0.25">
      <c r="A10" s="1">
        <v>-6</v>
      </c>
      <c r="B10" s="3">
        <v>70</v>
      </c>
      <c r="C10" s="3">
        <v>114</v>
      </c>
      <c r="D10" s="6"/>
      <c r="E10" s="6"/>
      <c r="H10" s="6"/>
      <c r="J10" s="10" t="s">
        <v>24</v>
      </c>
      <c r="L10" s="1">
        <v>189</v>
      </c>
      <c r="M10" s="1">
        <v>70</v>
      </c>
    </row>
    <row r="11" spans="1:13" ht="15.95" customHeight="1" x14ac:dyDescent="0.2">
      <c r="A11" s="3"/>
      <c r="B11" s="3">
        <v>71</v>
      </c>
      <c r="C11" s="3">
        <v>60</v>
      </c>
      <c r="D11" s="6">
        <f t="shared" ref="D11:D20" si="0">AVERAGE(B11:C11)</f>
        <v>65.5</v>
      </c>
      <c r="E11" s="6">
        <f>D11-$J$16</f>
        <v>-18.875</v>
      </c>
      <c r="F11" s="9">
        <v>9.9999999999999995E-7</v>
      </c>
      <c r="G11" s="6">
        <f>LOG(F11)</f>
        <v>-6</v>
      </c>
      <c r="H11" s="6">
        <f>E11*100/$J$14</f>
        <v>-15.919873484449131</v>
      </c>
      <c r="J11" s="11" t="s">
        <v>18</v>
      </c>
      <c r="L11" s="1">
        <v>226</v>
      </c>
      <c r="M11" s="1">
        <v>114</v>
      </c>
    </row>
    <row r="12" spans="1:13" ht="15.95" customHeight="1" x14ac:dyDescent="0.25">
      <c r="A12" s="8"/>
      <c r="B12" s="3">
        <v>144</v>
      </c>
      <c r="C12" s="3">
        <v>148</v>
      </c>
      <c r="D12" s="6">
        <f t="shared" si="0"/>
        <v>146</v>
      </c>
      <c r="E12" s="6">
        <f t="shared" ref="E12:E19" si="1">D12-$J$16</f>
        <v>61.625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51.976805482340538</v>
      </c>
      <c r="J12" s="11">
        <f>AVERAGE(L10:L25)</f>
        <v>202.9375</v>
      </c>
      <c r="L12" s="1">
        <v>200</v>
      </c>
      <c r="M12" s="1">
        <v>84</v>
      </c>
    </row>
    <row r="13" spans="1:13" ht="15.95" customHeight="1" x14ac:dyDescent="0.2">
      <c r="A13" s="3"/>
      <c r="B13" s="3">
        <v>175</v>
      </c>
      <c r="C13" s="3">
        <v>125</v>
      </c>
      <c r="D13" s="6">
        <f t="shared" si="0"/>
        <v>150</v>
      </c>
      <c r="E13" s="6">
        <f t="shared" si="1"/>
        <v>65.625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55.350553505535053</v>
      </c>
      <c r="J13" s="11" t="s">
        <v>19</v>
      </c>
      <c r="L13" s="1">
        <v>290</v>
      </c>
      <c r="M13" s="1">
        <v>58</v>
      </c>
    </row>
    <row r="14" spans="1:13" ht="15.95" customHeight="1" x14ac:dyDescent="0.2">
      <c r="A14" s="3"/>
      <c r="B14" s="3">
        <v>143</v>
      </c>
      <c r="C14" s="3">
        <v>181</v>
      </c>
      <c r="D14" s="6">
        <f t="shared" si="0"/>
        <v>162</v>
      </c>
      <c r="E14" s="6">
        <f t="shared" si="1"/>
        <v>77.625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65.471797575118615</v>
      </c>
      <c r="J14" s="11">
        <f>J12-J16</f>
        <v>118.5625</v>
      </c>
      <c r="L14" s="1">
        <v>201</v>
      </c>
      <c r="M14" s="1">
        <v>86</v>
      </c>
    </row>
    <row r="15" spans="1:13" ht="15.95" customHeight="1" x14ac:dyDescent="0.2">
      <c r="A15" s="3"/>
      <c r="B15" s="3">
        <v>180</v>
      </c>
      <c r="C15" s="3">
        <v>251</v>
      </c>
      <c r="D15" s="6">
        <f t="shared" si="0"/>
        <v>215.5</v>
      </c>
      <c r="E15" s="6">
        <f t="shared" si="1"/>
        <v>131.125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110.59567738534528</v>
      </c>
      <c r="J15" s="11" t="s">
        <v>20</v>
      </c>
      <c r="L15" s="1">
        <v>252</v>
      </c>
      <c r="M15" s="1">
        <v>98</v>
      </c>
    </row>
    <row r="16" spans="1:13" ht="15.95" customHeight="1" x14ac:dyDescent="0.2">
      <c r="B16" s="3">
        <v>204</v>
      </c>
      <c r="C16" s="3">
        <v>215</v>
      </c>
      <c r="D16" s="6">
        <f t="shared" si="0"/>
        <v>209.5</v>
      </c>
      <c r="E16" s="6">
        <f t="shared" si="1"/>
        <v>125.125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105.53505535055351</v>
      </c>
      <c r="J16" s="11">
        <f>AVERAGE(M10:M17)</f>
        <v>84.375</v>
      </c>
      <c r="L16" s="1">
        <v>239</v>
      </c>
      <c r="M16" s="1">
        <v>78</v>
      </c>
    </row>
    <row r="17" spans="1:13" ht="15.95" customHeight="1" x14ac:dyDescent="0.2">
      <c r="A17" s="3"/>
      <c r="B17" s="3">
        <v>172</v>
      </c>
      <c r="C17" s="3">
        <v>238</v>
      </c>
      <c r="D17" s="6">
        <f t="shared" si="0"/>
        <v>205</v>
      </c>
      <c r="E17" s="6">
        <f t="shared" si="1"/>
        <v>120.625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101.73958882445967</v>
      </c>
      <c r="L17" s="1">
        <v>233</v>
      </c>
      <c r="M17" s="1">
        <v>87</v>
      </c>
    </row>
    <row r="18" spans="1:13" ht="15.95" customHeight="1" x14ac:dyDescent="0.2">
      <c r="B18" s="3">
        <v>200</v>
      </c>
      <c r="C18" s="3">
        <v>230</v>
      </c>
      <c r="D18" s="6">
        <f t="shared" si="0"/>
        <v>215</v>
      </c>
      <c r="E18" s="6">
        <f t="shared" si="1"/>
        <v>130.625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110.17395888244597</v>
      </c>
      <c r="L18" s="1">
        <v>151</v>
      </c>
    </row>
    <row r="19" spans="1:13" ht="15.95" customHeight="1" x14ac:dyDescent="0.2">
      <c r="A19" s="3"/>
      <c r="B19" s="3">
        <v>192</v>
      </c>
      <c r="C19" s="3">
        <v>181</v>
      </c>
      <c r="D19" s="6">
        <f t="shared" si="0"/>
        <v>186.5</v>
      </c>
      <c r="E19" s="6">
        <f t="shared" si="1"/>
        <v>102.125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86.136004217185032</v>
      </c>
      <c r="L19" s="1">
        <v>198</v>
      </c>
    </row>
    <row r="20" spans="1:13" ht="15.95" customHeight="1" x14ac:dyDescent="0.2">
      <c r="B20" s="3">
        <v>151</v>
      </c>
      <c r="C20" s="3">
        <v>198</v>
      </c>
      <c r="D20" s="6">
        <f t="shared" si="0"/>
        <v>174.5</v>
      </c>
      <c r="E20" s="6"/>
      <c r="F20" s="9"/>
      <c r="G20" s="6"/>
      <c r="H20" s="6"/>
      <c r="L20" s="1">
        <v>182</v>
      </c>
    </row>
    <row r="21" spans="1:13" ht="15.95" customHeight="1" x14ac:dyDescent="0.25">
      <c r="A21" s="5"/>
      <c r="B21" s="3"/>
      <c r="C21" s="3"/>
      <c r="L21" s="1">
        <v>207</v>
      </c>
    </row>
    <row r="22" spans="1:13" ht="15.95" customHeight="1" x14ac:dyDescent="0.2">
      <c r="B22" s="3"/>
      <c r="C22" s="3"/>
      <c r="D22" s="6"/>
      <c r="E22" s="6"/>
      <c r="H22" s="6"/>
      <c r="L22" s="1">
        <v>176</v>
      </c>
    </row>
    <row r="23" spans="1:13" ht="15.95" customHeight="1" x14ac:dyDescent="0.2">
      <c r="B23" s="3"/>
      <c r="C23" s="3"/>
      <c r="D23" s="6"/>
      <c r="E23" s="6"/>
      <c r="H23" s="6"/>
      <c r="L23" s="1">
        <v>167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1">
        <v>172</v>
      </c>
    </row>
    <row r="25" spans="1:13" ht="15.95" customHeight="1" x14ac:dyDescent="0.25">
      <c r="A25" s="8"/>
      <c r="B25" s="3"/>
      <c r="C25" s="3"/>
      <c r="D25" s="6"/>
      <c r="E25" s="6"/>
      <c r="F25" s="9"/>
      <c r="G25" s="6"/>
      <c r="H25" s="6"/>
      <c r="L25" s="1">
        <v>164</v>
      </c>
    </row>
    <row r="26" spans="1:13" ht="15.95" customHeight="1" x14ac:dyDescent="0.2">
      <c r="D26" s="6"/>
      <c r="E26" s="6"/>
      <c r="F26" s="9"/>
      <c r="G26" s="6"/>
      <c r="H26" s="6"/>
    </row>
    <row r="27" spans="1:13" ht="15.95" customHeight="1" x14ac:dyDescent="0.2">
      <c r="D27" s="6"/>
      <c r="E27" s="6"/>
      <c r="F27" s="9"/>
      <c r="G27" s="6"/>
      <c r="H27" s="6"/>
    </row>
    <row r="28" spans="1:13" ht="15.95" customHeight="1" x14ac:dyDescent="0.2">
      <c r="D28" s="6"/>
      <c r="E28" s="6"/>
      <c r="F28" s="9"/>
      <c r="G28" s="6"/>
      <c r="H28" s="6"/>
    </row>
    <row r="29" spans="1:13" ht="15.95" customHeight="1" x14ac:dyDescent="0.2">
      <c r="D29" s="6"/>
      <c r="E29" s="6"/>
      <c r="F29" s="9"/>
      <c r="G29" s="6"/>
      <c r="H29" s="6"/>
    </row>
    <row r="30" spans="1:13" ht="15.95" customHeight="1" x14ac:dyDescent="0.2">
      <c r="D30" s="6"/>
      <c r="E30" s="6"/>
      <c r="F30" s="9"/>
      <c r="G30" s="6"/>
      <c r="H30" s="6"/>
    </row>
    <row r="31" spans="1:13" ht="15.95" customHeight="1" x14ac:dyDescent="0.2">
      <c r="D31" s="6"/>
      <c r="E31" s="6"/>
      <c r="F31" s="9"/>
      <c r="G31" s="6"/>
      <c r="H31" s="6"/>
    </row>
    <row r="32" spans="1:13" ht="15.95" customHeight="1" x14ac:dyDescent="0.2">
      <c r="D32" s="6"/>
      <c r="E32" s="6"/>
      <c r="F32" s="9"/>
      <c r="G32" s="6"/>
      <c r="H32" s="6"/>
    </row>
    <row r="33" spans="4:8" ht="15.95" customHeight="1" x14ac:dyDescent="0.2">
      <c r="D33" s="6"/>
      <c r="E33" s="6"/>
      <c r="F33" s="9"/>
      <c r="G33" s="6"/>
      <c r="H33" s="6"/>
    </row>
    <row r="34" spans="4:8" ht="15.95" customHeight="1" x14ac:dyDescent="0.2">
      <c r="D34" s="6"/>
      <c r="E34" s="6"/>
      <c r="F34" s="9"/>
      <c r="G34" s="6"/>
      <c r="H34" s="6"/>
    </row>
    <row r="35" spans="4:8" ht="15.95" customHeight="1" x14ac:dyDescent="0.2">
      <c r="D35" s="6"/>
      <c r="E35" s="6"/>
      <c r="F35" s="9"/>
      <c r="G35" s="6"/>
      <c r="H35" s="6"/>
    </row>
  </sheetData>
  <mergeCells count="1">
    <mergeCell ref="B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357B-4DA0-47F3-A4A9-9D190FF0738A}">
  <sheetPr>
    <tabColor rgb="FFFFFF00"/>
  </sheetPr>
  <dimension ref="A1:M36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" customWidth="1"/>
    <col min="2" max="15" width="10.28515625" style="1" customWidth="1"/>
    <col min="16" max="256" width="10.140625" style="1" customWidth="1"/>
    <col min="257" max="257" width="14.7109375" style="1" customWidth="1"/>
    <col min="258" max="258" width="11.42578125" style="1" bestFit="1" customWidth="1"/>
    <col min="259" max="512" width="10.140625" style="1" customWidth="1"/>
    <col min="513" max="513" width="14.7109375" style="1" customWidth="1"/>
    <col min="514" max="514" width="11.42578125" style="1" bestFit="1" customWidth="1"/>
    <col min="515" max="768" width="10.140625" style="1" customWidth="1"/>
    <col min="769" max="769" width="14.7109375" style="1" customWidth="1"/>
    <col min="770" max="770" width="11.42578125" style="1" bestFit="1" customWidth="1"/>
    <col min="771" max="1024" width="10.140625" style="1" customWidth="1"/>
    <col min="1025" max="1025" width="14.7109375" style="1" customWidth="1"/>
    <col min="1026" max="1026" width="11.42578125" style="1" bestFit="1" customWidth="1"/>
    <col min="1027" max="1280" width="10.140625" style="1" customWidth="1"/>
    <col min="1281" max="1281" width="14.7109375" style="1" customWidth="1"/>
    <col min="1282" max="1282" width="11.42578125" style="1" bestFit="1" customWidth="1"/>
    <col min="1283" max="1536" width="10.140625" style="1" customWidth="1"/>
    <col min="1537" max="1537" width="14.7109375" style="1" customWidth="1"/>
    <col min="1538" max="1538" width="11.42578125" style="1" bestFit="1" customWidth="1"/>
    <col min="1539" max="1792" width="10.140625" style="1" customWidth="1"/>
    <col min="1793" max="1793" width="14.7109375" style="1" customWidth="1"/>
    <col min="1794" max="1794" width="11.42578125" style="1" bestFit="1" customWidth="1"/>
    <col min="1795" max="2048" width="10.140625" style="1" customWidth="1"/>
    <col min="2049" max="2049" width="14.7109375" style="1" customWidth="1"/>
    <col min="2050" max="2050" width="11.42578125" style="1" bestFit="1" customWidth="1"/>
    <col min="2051" max="2304" width="10.140625" style="1" customWidth="1"/>
    <col min="2305" max="2305" width="14.7109375" style="1" customWidth="1"/>
    <col min="2306" max="2306" width="11.42578125" style="1" bestFit="1" customWidth="1"/>
    <col min="2307" max="2560" width="10.140625" style="1" customWidth="1"/>
    <col min="2561" max="2561" width="14.7109375" style="1" customWidth="1"/>
    <col min="2562" max="2562" width="11.42578125" style="1" bestFit="1" customWidth="1"/>
    <col min="2563" max="2816" width="10.140625" style="1" customWidth="1"/>
    <col min="2817" max="2817" width="14.7109375" style="1" customWidth="1"/>
    <col min="2818" max="2818" width="11.42578125" style="1" bestFit="1" customWidth="1"/>
    <col min="2819" max="3072" width="10.140625" style="1" customWidth="1"/>
    <col min="3073" max="3073" width="14.7109375" style="1" customWidth="1"/>
    <col min="3074" max="3074" width="11.42578125" style="1" bestFit="1" customWidth="1"/>
    <col min="3075" max="3328" width="10.140625" style="1" customWidth="1"/>
    <col min="3329" max="3329" width="14.7109375" style="1" customWidth="1"/>
    <col min="3330" max="3330" width="11.42578125" style="1" bestFit="1" customWidth="1"/>
    <col min="3331" max="3584" width="10.140625" style="1" customWidth="1"/>
    <col min="3585" max="3585" width="14.7109375" style="1" customWidth="1"/>
    <col min="3586" max="3586" width="11.42578125" style="1" bestFit="1" customWidth="1"/>
    <col min="3587" max="3840" width="10.140625" style="1" customWidth="1"/>
    <col min="3841" max="3841" width="14.7109375" style="1" customWidth="1"/>
    <col min="3842" max="3842" width="11.42578125" style="1" bestFit="1" customWidth="1"/>
    <col min="3843" max="4096" width="10.140625" style="1" customWidth="1"/>
    <col min="4097" max="4097" width="14.7109375" style="1" customWidth="1"/>
    <col min="4098" max="4098" width="11.42578125" style="1" bestFit="1" customWidth="1"/>
    <col min="4099" max="4352" width="10.140625" style="1" customWidth="1"/>
    <col min="4353" max="4353" width="14.7109375" style="1" customWidth="1"/>
    <col min="4354" max="4354" width="11.42578125" style="1" bestFit="1" customWidth="1"/>
    <col min="4355" max="4608" width="10.140625" style="1" customWidth="1"/>
    <col min="4609" max="4609" width="14.7109375" style="1" customWidth="1"/>
    <col min="4610" max="4610" width="11.42578125" style="1" bestFit="1" customWidth="1"/>
    <col min="4611" max="4864" width="10.140625" style="1" customWidth="1"/>
    <col min="4865" max="4865" width="14.7109375" style="1" customWidth="1"/>
    <col min="4866" max="4866" width="11.42578125" style="1" bestFit="1" customWidth="1"/>
    <col min="4867" max="5120" width="10.140625" style="1" customWidth="1"/>
    <col min="5121" max="5121" width="14.7109375" style="1" customWidth="1"/>
    <col min="5122" max="5122" width="11.42578125" style="1" bestFit="1" customWidth="1"/>
    <col min="5123" max="5376" width="10.140625" style="1" customWidth="1"/>
    <col min="5377" max="5377" width="14.7109375" style="1" customWidth="1"/>
    <col min="5378" max="5378" width="11.42578125" style="1" bestFit="1" customWidth="1"/>
    <col min="5379" max="5632" width="10.140625" style="1" customWidth="1"/>
    <col min="5633" max="5633" width="14.7109375" style="1" customWidth="1"/>
    <col min="5634" max="5634" width="11.42578125" style="1" bestFit="1" customWidth="1"/>
    <col min="5635" max="5888" width="10.140625" style="1" customWidth="1"/>
    <col min="5889" max="5889" width="14.7109375" style="1" customWidth="1"/>
    <col min="5890" max="5890" width="11.42578125" style="1" bestFit="1" customWidth="1"/>
    <col min="5891" max="6144" width="10.140625" style="1" customWidth="1"/>
    <col min="6145" max="6145" width="14.7109375" style="1" customWidth="1"/>
    <col min="6146" max="6146" width="11.42578125" style="1" bestFit="1" customWidth="1"/>
    <col min="6147" max="6400" width="10.140625" style="1" customWidth="1"/>
    <col min="6401" max="6401" width="14.7109375" style="1" customWidth="1"/>
    <col min="6402" max="6402" width="11.42578125" style="1" bestFit="1" customWidth="1"/>
    <col min="6403" max="6656" width="10.140625" style="1" customWidth="1"/>
    <col min="6657" max="6657" width="14.7109375" style="1" customWidth="1"/>
    <col min="6658" max="6658" width="11.42578125" style="1" bestFit="1" customWidth="1"/>
    <col min="6659" max="6912" width="10.140625" style="1" customWidth="1"/>
    <col min="6913" max="6913" width="14.7109375" style="1" customWidth="1"/>
    <col min="6914" max="6914" width="11.42578125" style="1" bestFit="1" customWidth="1"/>
    <col min="6915" max="7168" width="10.140625" style="1" customWidth="1"/>
    <col min="7169" max="7169" width="14.7109375" style="1" customWidth="1"/>
    <col min="7170" max="7170" width="11.42578125" style="1" bestFit="1" customWidth="1"/>
    <col min="7171" max="7424" width="10.140625" style="1" customWidth="1"/>
    <col min="7425" max="7425" width="14.7109375" style="1" customWidth="1"/>
    <col min="7426" max="7426" width="11.42578125" style="1" bestFit="1" customWidth="1"/>
    <col min="7427" max="7680" width="10.140625" style="1" customWidth="1"/>
    <col min="7681" max="7681" width="14.7109375" style="1" customWidth="1"/>
    <col min="7682" max="7682" width="11.42578125" style="1" bestFit="1" customWidth="1"/>
    <col min="7683" max="7936" width="10.140625" style="1" customWidth="1"/>
    <col min="7937" max="7937" width="14.7109375" style="1" customWidth="1"/>
    <col min="7938" max="7938" width="11.42578125" style="1" bestFit="1" customWidth="1"/>
    <col min="7939" max="8192" width="10.140625" style="1" customWidth="1"/>
    <col min="8193" max="8193" width="14.7109375" style="1" customWidth="1"/>
    <col min="8194" max="8194" width="11.42578125" style="1" bestFit="1" customWidth="1"/>
    <col min="8195" max="8448" width="10.140625" style="1" customWidth="1"/>
    <col min="8449" max="8449" width="14.7109375" style="1" customWidth="1"/>
    <col min="8450" max="8450" width="11.42578125" style="1" bestFit="1" customWidth="1"/>
    <col min="8451" max="8704" width="10.140625" style="1" customWidth="1"/>
    <col min="8705" max="8705" width="14.7109375" style="1" customWidth="1"/>
    <col min="8706" max="8706" width="11.42578125" style="1" bestFit="1" customWidth="1"/>
    <col min="8707" max="8960" width="10.140625" style="1" customWidth="1"/>
    <col min="8961" max="8961" width="14.7109375" style="1" customWidth="1"/>
    <col min="8962" max="8962" width="11.42578125" style="1" bestFit="1" customWidth="1"/>
    <col min="8963" max="9216" width="10.140625" style="1" customWidth="1"/>
    <col min="9217" max="9217" width="14.7109375" style="1" customWidth="1"/>
    <col min="9218" max="9218" width="11.42578125" style="1" bestFit="1" customWidth="1"/>
    <col min="9219" max="9472" width="10.140625" style="1" customWidth="1"/>
    <col min="9473" max="9473" width="14.7109375" style="1" customWidth="1"/>
    <col min="9474" max="9474" width="11.42578125" style="1" bestFit="1" customWidth="1"/>
    <col min="9475" max="9728" width="10.140625" style="1" customWidth="1"/>
    <col min="9729" max="9729" width="14.7109375" style="1" customWidth="1"/>
    <col min="9730" max="9730" width="11.42578125" style="1" bestFit="1" customWidth="1"/>
    <col min="9731" max="9984" width="10.140625" style="1" customWidth="1"/>
    <col min="9985" max="9985" width="14.7109375" style="1" customWidth="1"/>
    <col min="9986" max="9986" width="11.42578125" style="1" bestFit="1" customWidth="1"/>
    <col min="9987" max="10240" width="10.140625" style="1" customWidth="1"/>
    <col min="10241" max="10241" width="14.7109375" style="1" customWidth="1"/>
    <col min="10242" max="10242" width="11.42578125" style="1" bestFit="1" customWidth="1"/>
    <col min="10243" max="10496" width="10.140625" style="1" customWidth="1"/>
    <col min="10497" max="10497" width="14.7109375" style="1" customWidth="1"/>
    <col min="10498" max="10498" width="11.42578125" style="1" bestFit="1" customWidth="1"/>
    <col min="10499" max="10752" width="10.140625" style="1" customWidth="1"/>
    <col min="10753" max="10753" width="14.7109375" style="1" customWidth="1"/>
    <col min="10754" max="10754" width="11.42578125" style="1" bestFit="1" customWidth="1"/>
    <col min="10755" max="11008" width="10.140625" style="1" customWidth="1"/>
    <col min="11009" max="11009" width="14.7109375" style="1" customWidth="1"/>
    <col min="11010" max="11010" width="11.42578125" style="1" bestFit="1" customWidth="1"/>
    <col min="11011" max="11264" width="10.140625" style="1" customWidth="1"/>
    <col min="11265" max="11265" width="14.7109375" style="1" customWidth="1"/>
    <col min="11266" max="11266" width="11.42578125" style="1" bestFit="1" customWidth="1"/>
    <col min="11267" max="11520" width="10.140625" style="1" customWidth="1"/>
    <col min="11521" max="11521" width="14.7109375" style="1" customWidth="1"/>
    <col min="11522" max="11522" width="11.42578125" style="1" bestFit="1" customWidth="1"/>
    <col min="11523" max="11776" width="10.140625" style="1" customWidth="1"/>
    <col min="11777" max="11777" width="14.7109375" style="1" customWidth="1"/>
    <col min="11778" max="11778" width="11.42578125" style="1" bestFit="1" customWidth="1"/>
    <col min="11779" max="12032" width="10.140625" style="1" customWidth="1"/>
    <col min="12033" max="12033" width="14.7109375" style="1" customWidth="1"/>
    <col min="12034" max="12034" width="11.42578125" style="1" bestFit="1" customWidth="1"/>
    <col min="12035" max="12288" width="10.140625" style="1" customWidth="1"/>
    <col min="12289" max="12289" width="14.7109375" style="1" customWidth="1"/>
    <col min="12290" max="12290" width="11.42578125" style="1" bestFit="1" customWidth="1"/>
    <col min="12291" max="12544" width="10.140625" style="1" customWidth="1"/>
    <col min="12545" max="12545" width="14.7109375" style="1" customWidth="1"/>
    <col min="12546" max="12546" width="11.42578125" style="1" bestFit="1" customWidth="1"/>
    <col min="12547" max="12800" width="10.140625" style="1" customWidth="1"/>
    <col min="12801" max="12801" width="14.7109375" style="1" customWidth="1"/>
    <col min="12802" max="12802" width="11.42578125" style="1" bestFit="1" customWidth="1"/>
    <col min="12803" max="13056" width="10.140625" style="1" customWidth="1"/>
    <col min="13057" max="13057" width="14.7109375" style="1" customWidth="1"/>
    <col min="13058" max="13058" width="11.42578125" style="1" bestFit="1" customWidth="1"/>
    <col min="13059" max="13312" width="10.140625" style="1" customWidth="1"/>
    <col min="13313" max="13313" width="14.7109375" style="1" customWidth="1"/>
    <col min="13314" max="13314" width="11.42578125" style="1" bestFit="1" customWidth="1"/>
    <col min="13315" max="13568" width="10.140625" style="1" customWidth="1"/>
    <col min="13569" max="13569" width="14.7109375" style="1" customWidth="1"/>
    <col min="13570" max="13570" width="11.42578125" style="1" bestFit="1" customWidth="1"/>
    <col min="13571" max="13824" width="10.140625" style="1" customWidth="1"/>
    <col min="13825" max="13825" width="14.7109375" style="1" customWidth="1"/>
    <col min="13826" max="13826" width="11.42578125" style="1" bestFit="1" customWidth="1"/>
    <col min="13827" max="14080" width="10.140625" style="1" customWidth="1"/>
    <col min="14081" max="14081" width="14.7109375" style="1" customWidth="1"/>
    <col min="14082" max="14082" width="11.42578125" style="1" bestFit="1" customWidth="1"/>
    <col min="14083" max="14336" width="10.140625" style="1" customWidth="1"/>
    <col min="14337" max="14337" width="14.7109375" style="1" customWidth="1"/>
    <col min="14338" max="14338" width="11.42578125" style="1" bestFit="1" customWidth="1"/>
    <col min="14339" max="14592" width="10.140625" style="1" customWidth="1"/>
    <col min="14593" max="14593" width="14.7109375" style="1" customWidth="1"/>
    <col min="14594" max="14594" width="11.42578125" style="1" bestFit="1" customWidth="1"/>
    <col min="14595" max="14848" width="10.140625" style="1" customWidth="1"/>
    <col min="14849" max="14849" width="14.7109375" style="1" customWidth="1"/>
    <col min="14850" max="14850" width="11.42578125" style="1" bestFit="1" customWidth="1"/>
    <col min="14851" max="15104" width="10.140625" style="1" customWidth="1"/>
    <col min="15105" max="15105" width="14.7109375" style="1" customWidth="1"/>
    <col min="15106" max="15106" width="11.42578125" style="1" bestFit="1" customWidth="1"/>
    <col min="15107" max="15360" width="10.140625" style="1" customWidth="1"/>
    <col min="15361" max="15361" width="14.7109375" style="1" customWidth="1"/>
    <col min="15362" max="15362" width="11.42578125" style="1" bestFit="1" customWidth="1"/>
    <col min="15363" max="15616" width="10.140625" style="1" customWidth="1"/>
    <col min="15617" max="15617" width="14.7109375" style="1" customWidth="1"/>
    <col min="15618" max="15618" width="11.42578125" style="1" bestFit="1" customWidth="1"/>
    <col min="15619" max="15872" width="10.140625" style="1" customWidth="1"/>
    <col min="15873" max="15873" width="14.7109375" style="1" customWidth="1"/>
    <col min="15874" max="15874" width="11.42578125" style="1" bestFit="1" customWidth="1"/>
    <col min="15875" max="16128" width="10.140625" style="1" customWidth="1"/>
    <col min="16129" max="16129" width="14.7109375" style="1" customWidth="1"/>
    <col min="16130" max="16130" width="11.42578125" style="1" bestFit="1" customWidth="1"/>
    <col min="16131" max="16384" width="10.140625" style="1" customWidth="1"/>
  </cols>
  <sheetData>
    <row r="1" spans="1:13" ht="15.95" customHeight="1" x14ac:dyDescent="0.2">
      <c r="A1" s="1" t="s">
        <v>0</v>
      </c>
      <c r="B1" s="2">
        <v>45266</v>
      </c>
      <c r="E1" s="1">
        <v>106.5</v>
      </c>
      <c r="F1" s="1" t="s">
        <v>1</v>
      </c>
      <c r="G1" s="3">
        <v>3049</v>
      </c>
      <c r="H1" s="1">
        <v>3255</v>
      </c>
      <c r="I1" s="1" t="s">
        <v>2</v>
      </c>
      <c r="M1" s="3"/>
    </row>
    <row r="2" spans="1:13" ht="15.95" customHeight="1" x14ac:dyDescent="0.2">
      <c r="A2" s="1" t="s">
        <v>3</v>
      </c>
      <c r="E2" s="1">
        <f>E1*2200*0.53</f>
        <v>124179</v>
      </c>
      <c r="F2" s="1" t="s">
        <v>4</v>
      </c>
      <c r="G2" s="3">
        <v>2830</v>
      </c>
      <c r="H2" s="1">
        <v>2851</v>
      </c>
      <c r="K2" s="4"/>
      <c r="M2" s="3"/>
    </row>
    <row r="3" spans="1:13" ht="15.95" customHeight="1" x14ac:dyDescent="0.25">
      <c r="A3" s="1" t="s">
        <v>5</v>
      </c>
      <c r="B3" s="5"/>
      <c r="E3" s="1">
        <v>0.5</v>
      </c>
      <c r="F3" s="1" t="s">
        <v>6</v>
      </c>
      <c r="G3" s="3">
        <v>2807</v>
      </c>
      <c r="H3" s="1">
        <v>2547</v>
      </c>
      <c r="K3" s="4"/>
      <c r="M3" s="3"/>
    </row>
    <row r="4" spans="1:13" ht="15.95" customHeight="1" x14ac:dyDescent="0.25">
      <c r="B4" s="5"/>
      <c r="E4" s="1">
        <f>AVERAGE(G1:H6)*10</f>
        <v>29243.333333333336</v>
      </c>
      <c r="F4" s="1" t="s">
        <v>7</v>
      </c>
      <c r="G4" s="3">
        <v>2990</v>
      </c>
      <c r="H4" s="1">
        <v>2955</v>
      </c>
      <c r="K4" s="4"/>
      <c r="M4" s="3"/>
    </row>
    <row r="5" spans="1:13" ht="15.95" customHeight="1" x14ac:dyDescent="0.2">
      <c r="A5" s="3"/>
      <c r="D5" s="6"/>
      <c r="E5" s="6">
        <f>E4/(E3*E2)</f>
        <v>0.47098677446803944</v>
      </c>
      <c r="F5" s="7" t="s">
        <v>8</v>
      </c>
      <c r="G5" s="3">
        <v>3117</v>
      </c>
      <c r="H5" s="1">
        <v>3249</v>
      </c>
      <c r="I5" s="1" t="s">
        <v>21</v>
      </c>
      <c r="K5" s="4"/>
      <c r="M5" s="3"/>
    </row>
    <row r="6" spans="1:13" ht="15.95" customHeight="1" x14ac:dyDescent="0.2">
      <c r="A6" s="3"/>
      <c r="D6" s="6"/>
      <c r="E6" s="6"/>
      <c r="F6" s="7"/>
      <c r="G6" s="3">
        <v>2341</v>
      </c>
      <c r="H6" s="1">
        <v>3101</v>
      </c>
      <c r="K6" s="4"/>
      <c r="M6" s="3"/>
    </row>
    <row r="7" spans="1:13" ht="15.95" customHeight="1" x14ac:dyDescent="0.25">
      <c r="A7" s="5" t="s">
        <v>17</v>
      </c>
      <c r="E7" s="7"/>
      <c r="K7" s="4"/>
    </row>
    <row r="8" spans="1:13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ht="15.95" customHeight="1" x14ac:dyDescent="0.25">
      <c r="A9" s="5" t="s">
        <v>31</v>
      </c>
      <c r="B9" s="3">
        <v>420</v>
      </c>
      <c r="C9" s="3">
        <v>410</v>
      </c>
      <c r="D9" s="6">
        <f>AVERAGE(B9:C9,B20:C20)</f>
        <v>402.25</v>
      </c>
      <c r="E9" s="6"/>
      <c r="H9" s="6">
        <f>J14*100/$J$14</f>
        <v>100</v>
      </c>
      <c r="L9" s="5" t="s">
        <v>15</v>
      </c>
      <c r="M9" s="5" t="s">
        <v>16</v>
      </c>
    </row>
    <row r="10" spans="1:13" ht="15.95" customHeight="1" x14ac:dyDescent="0.25">
      <c r="A10" s="1">
        <v>-6</v>
      </c>
      <c r="B10" s="3">
        <v>53</v>
      </c>
      <c r="C10" s="3">
        <v>51</v>
      </c>
      <c r="D10" s="6"/>
      <c r="E10" s="6"/>
      <c r="H10" s="6"/>
      <c r="J10" s="10" t="s">
        <v>17</v>
      </c>
      <c r="L10" s="3">
        <v>420</v>
      </c>
      <c r="M10" s="3">
        <v>53</v>
      </c>
    </row>
    <row r="11" spans="1:13" ht="15.95" customHeight="1" x14ac:dyDescent="0.2">
      <c r="A11" s="3"/>
      <c r="B11" s="3">
        <v>75</v>
      </c>
      <c r="C11" s="3">
        <v>69</v>
      </c>
      <c r="D11" s="6">
        <f t="shared" ref="D11:D20" si="0">AVERAGE(B11:C11)</f>
        <v>72</v>
      </c>
      <c r="E11" s="6">
        <f>D11-$J$16</f>
        <v>8.125</v>
      </c>
      <c r="F11" s="9">
        <v>9.9999999999999995E-7</v>
      </c>
      <c r="G11" s="6">
        <f t="shared" ref="G11:G19" si="1">LOG(F11)</f>
        <v>-6</v>
      </c>
      <c r="H11" s="6">
        <f>E11*100/$J$14</f>
        <v>2.3289143676101758</v>
      </c>
      <c r="J11" s="11" t="s">
        <v>18</v>
      </c>
      <c r="L11" s="3">
        <v>410</v>
      </c>
      <c r="M11" s="3">
        <v>51</v>
      </c>
    </row>
    <row r="12" spans="1:13" ht="15.95" customHeight="1" x14ac:dyDescent="0.25">
      <c r="A12" s="8"/>
      <c r="B12" s="3">
        <v>118</v>
      </c>
      <c r="C12" s="3">
        <v>101</v>
      </c>
      <c r="D12" s="6">
        <f t="shared" si="0"/>
        <v>109.5</v>
      </c>
      <c r="E12" s="6">
        <f t="shared" ref="E12:E19" si="2">D12-$J$16</f>
        <v>45.625</v>
      </c>
      <c r="F12" s="9">
        <f t="shared" ref="F12:F19" si="3">F11*0.3162</f>
        <v>3.1619999999999999E-7</v>
      </c>
      <c r="G12" s="6">
        <f t="shared" si="1"/>
        <v>-6.5000381344038098</v>
      </c>
      <c r="H12" s="6">
        <f t="shared" ref="H12:H19" si="4">E12*100/$J$14</f>
        <v>13.07774991042637</v>
      </c>
      <c r="J12" s="11">
        <f>AVERAGE(L10:L25)</f>
        <v>412.75</v>
      </c>
      <c r="L12" s="3">
        <v>349</v>
      </c>
      <c r="M12" s="3">
        <v>59</v>
      </c>
    </row>
    <row r="13" spans="1:13" ht="15.95" customHeight="1" x14ac:dyDescent="0.2">
      <c r="A13" s="3"/>
      <c r="B13" s="3">
        <v>208</v>
      </c>
      <c r="C13" s="3">
        <v>265</v>
      </c>
      <c r="D13" s="6">
        <f t="shared" si="0"/>
        <v>236.5</v>
      </c>
      <c r="E13" s="6">
        <f t="shared" si="2"/>
        <v>172.625</v>
      </c>
      <c r="F13" s="9">
        <f t="shared" si="3"/>
        <v>9.9982439999999983E-8</v>
      </c>
      <c r="G13" s="6">
        <f t="shared" si="1"/>
        <v>-7.0000762688076197</v>
      </c>
      <c r="H13" s="6">
        <f t="shared" si="4"/>
        <v>49.480472948763882</v>
      </c>
      <c r="J13" s="11" t="s">
        <v>19</v>
      </c>
      <c r="L13" s="3">
        <v>328</v>
      </c>
      <c r="M13" s="3">
        <v>41</v>
      </c>
    </row>
    <row r="14" spans="1:13" ht="15.95" customHeight="1" x14ac:dyDescent="0.2">
      <c r="A14" s="3"/>
      <c r="B14" s="3">
        <v>313</v>
      </c>
      <c r="C14" s="3">
        <v>398</v>
      </c>
      <c r="D14" s="6">
        <f t="shared" si="0"/>
        <v>355.5</v>
      </c>
      <c r="E14" s="6">
        <f t="shared" si="2"/>
        <v>291.625</v>
      </c>
      <c r="F14" s="9">
        <f t="shared" si="3"/>
        <v>3.1614447527999994E-8</v>
      </c>
      <c r="G14" s="6">
        <f t="shared" si="1"/>
        <v>-7.5001144032114295</v>
      </c>
      <c r="H14" s="6">
        <f t="shared" si="4"/>
        <v>83.590111071300612</v>
      </c>
      <c r="J14" s="11">
        <f>J12-J16</f>
        <v>348.875</v>
      </c>
      <c r="L14" s="3">
        <v>393</v>
      </c>
      <c r="M14" s="3">
        <v>61</v>
      </c>
    </row>
    <row r="15" spans="1:13" ht="15.95" customHeight="1" x14ac:dyDescent="0.2">
      <c r="A15" s="3"/>
      <c r="B15" s="3">
        <v>321</v>
      </c>
      <c r="C15" s="3">
        <v>337</v>
      </c>
      <c r="D15" s="6">
        <f t="shared" si="0"/>
        <v>329</v>
      </c>
      <c r="E15" s="6">
        <f t="shared" si="2"/>
        <v>265.125</v>
      </c>
      <c r="F15" s="9">
        <f t="shared" si="3"/>
        <v>9.9964883083535969E-9</v>
      </c>
      <c r="G15" s="6">
        <f t="shared" si="1"/>
        <v>-8.0001525376152394</v>
      </c>
      <c r="H15" s="6">
        <f t="shared" si="4"/>
        <v>75.9942672877105</v>
      </c>
      <c r="J15" s="11" t="s">
        <v>20</v>
      </c>
      <c r="L15" s="3">
        <v>457</v>
      </c>
      <c r="M15" s="3">
        <v>69</v>
      </c>
    </row>
    <row r="16" spans="1:13" ht="15.95" customHeight="1" x14ac:dyDescent="0.2">
      <c r="B16" s="3">
        <v>326</v>
      </c>
      <c r="C16" s="3">
        <v>404</v>
      </c>
      <c r="D16" s="6">
        <f t="shared" si="0"/>
        <v>365</v>
      </c>
      <c r="E16" s="6">
        <f t="shared" si="2"/>
        <v>301.125</v>
      </c>
      <c r="F16" s="9">
        <f t="shared" si="3"/>
        <v>3.1608896031014071E-9</v>
      </c>
      <c r="G16" s="6">
        <f t="shared" si="1"/>
        <v>-8.5001906720190483</v>
      </c>
      <c r="H16" s="6">
        <f t="shared" si="4"/>
        <v>86.313149408814041</v>
      </c>
      <c r="J16" s="11">
        <f>AVERAGE(M10:M17)</f>
        <v>63.875</v>
      </c>
      <c r="L16" s="3">
        <v>457</v>
      </c>
      <c r="M16" s="3">
        <v>58</v>
      </c>
    </row>
    <row r="17" spans="1:13" ht="15.95" customHeight="1" x14ac:dyDescent="0.2">
      <c r="A17" s="3"/>
      <c r="B17" s="3">
        <v>375</v>
      </c>
      <c r="C17" s="3">
        <v>374</v>
      </c>
      <c r="D17" s="6">
        <f t="shared" si="0"/>
        <v>374.5</v>
      </c>
      <c r="E17" s="6">
        <f>D17-$J$16</f>
        <v>310.625</v>
      </c>
      <c r="F17" s="9">
        <f t="shared" si="3"/>
        <v>9.9947329250066484E-10</v>
      </c>
      <c r="G17" s="6">
        <f t="shared" si="1"/>
        <v>-9.0002288064228591</v>
      </c>
      <c r="H17" s="6">
        <f t="shared" si="4"/>
        <v>89.036187746327485</v>
      </c>
      <c r="L17" s="3">
        <v>623</v>
      </c>
      <c r="M17" s="3">
        <v>119</v>
      </c>
    </row>
    <row r="18" spans="1:13" ht="15.95" customHeight="1" x14ac:dyDescent="0.2">
      <c r="B18" s="3">
        <v>391</v>
      </c>
      <c r="C18" s="3">
        <v>354</v>
      </c>
      <c r="D18" s="6">
        <f t="shared" si="0"/>
        <v>372.5</v>
      </c>
      <c r="E18" s="6">
        <f t="shared" si="2"/>
        <v>308.625</v>
      </c>
      <c r="F18" s="9">
        <f t="shared" si="3"/>
        <v>3.1603345508871019E-10</v>
      </c>
      <c r="G18" s="6">
        <f t="shared" si="1"/>
        <v>-9.500266940826668</v>
      </c>
      <c r="H18" s="6">
        <f t="shared" si="4"/>
        <v>88.46291651737728</v>
      </c>
      <c r="L18" s="3">
        <v>340</v>
      </c>
    </row>
    <row r="19" spans="1:13" ht="15.95" customHeight="1" x14ac:dyDescent="0.2">
      <c r="A19" s="3"/>
      <c r="B19" s="3">
        <v>380</v>
      </c>
      <c r="C19" s="3">
        <v>360</v>
      </c>
      <c r="D19" s="6">
        <f t="shared" si="0"/>
        <v>370</v>
      </c>
      <c r="E19" s="6">
        <f t="shared" si="2"/>
        <v>306.125</v>
      </c>
      <c r="F19" s="9">
        <f t="shared" si="3"/>
        <v>9.992977849905016E-11</v>
      </c>
      <c r="G19" s="6">
        <f t="shared" si="1"/>
        <v>-10.000305075230479</v>
      </c>
      <c r="H19" s="6">
        <f t="shared" si="4"/>
        <v>87.746327481189539</v>
      </c>
      <c r="L19" s="3">
        <v>439</v>
      </c>
    </row>
    <row r="20" spans="1:13" ht="15.95" customHeight="1" x14ac:dyDescent="0.2">
      <c r="B20" s="3">
        <v>340</v>
      </c>
      <c r="C20" s="3">
        <v>439</v>
      </c>
      <c r="D20" s="6">
        <f t="shared" si="0"/>
        <v>389.5</v>
      </c>
      <c r="E20" s="6"/>
      <c r="F20" s="9"/>
      <c r="G20" s="6"/>
      <c r="H20" s="6"/>
      <c r="L20" s="3">
        <v>401</v>
      </c>
    </row>
    <row r="21" spans="1:13" ht="15.95" customHeight="1" x14ac:dyDescent="0.2">
      <c r="B21" s="3"/>
      <c r="C21" s="3"/>
      <c r="L21" s="3">
        <v>400</v>
      </c>
    </row>
    <row r="22" spans="1:13" ht="15.95" customHeight="1" x14ac:dyDescent="0.2">
      <c r="B22" s="3"/>
      <c r="C22" s="3"/>
      <c r="D22" s="6"/>
      <c r="E22" s="6"/>
      <c r="H22" s="6"/>
      <c r="L22" s="3">
        <v>395</v>
      </c>
    </row>
    <row r="23" spans="1:13" ht="15.95" customHeight="1" x14ac:dyDescent="0.2">
      <c r="B23" s="3"/>
      <c r="C23" s="3"/>
      <c r="D23" s="6"/>
      <c r="E23" s="6"/>
      <c r="H23" s="6"/>
      <c r="L23" s="3">
        <v>397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350</v>
      </c>
    </row>
    <row r="25" spans="1:13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445</v>
      </c>
    </row>
    <row r="26" spans="1:13" ht="15.95" customHeight="1" x14ac:dyDescent="0.2">
      <c r="D26" s="6"/>
      <c r="E26" s="6"/>
      <c r="H26" s="6"/>
    </row>
    <row r="27" spans="1:13" ht="15.95" customHeight="1" x14ac:dyDescent="0.2">
      <c r="D27" s="6"/>
      <c r="E27" s="6"/>
      <c r="F27" s="9"/>
      <c r="G27" s="6"/>
      <c r="H27" s="6"/>
    </row>
    <row r="28" spans="1:13" ht="15.95" customHeight="1" x14ac:dyDescent="0.2">
      <c r="D28" s="6"/>
      <c r="E28" s="6"/>
      <c r="F28" s="9"/>
      <c r="G28" s="6"/>
      <c r="H28" s="6"/>
    </row>
    <row r="29" spans="1:13" ht="15.95" customHeight="1" x14ac:dyDescent="0.2">
      <c r="D29" s="6"/>
      <c r="E29" s="6"/>
      <c r="F29" s="9"/>
      <c r="G29" s="6"/>
      <c r="H29" s="6"/>
    </row>
    <row r="30" spans="1:13" ht="15.95" customHeight="1" x14ac:dyDescent="0.2">
      <c r="D30" s="6"/>
      <c r="E30" s="6"/>
      <c r="F30" s="9"/>
      <c r="G30" s="6"/>
      <c r="H30" s="6"/>
    </row>
    <row r="31" spans="1:13" ht="15.95" customHeight="1" x14ac:dyDescent="0.2">
      <c r="D31" s="6"/>
      <c r="E31" s="6"/>
      <c r="F31" s="9"/>
      <c r="G31" s="6"/>
      <c r="H31" s="6"/>
    </row>
    <row r="32" spans="1:13" ht="15.95" customHeight="1" x14ac:dyDescent="0.2">
      <c r="D32" s="6"/>
      <c r="E32" s="6"/>
      <c r="F32" s="9"/>
      <c r="G32" s="6"/>
      <c r="H32" s="6"/>
    </row>
    <row r="33" spans="4:8" ht="15.95" customHeight="1" x14ac:dyDescent="0.2">
      <c r="D33" s="6"/>
      <c r="E33" s="6"/>
      <c r="F33" s="9"/>
      <c r="G33" s="6"/>
      <c r="H33" s="6"/>
    </row>
    <row r="34" spans="4:8" ht="15.95" customHeight="1" x14ac:dyDescent="0.2">
      <c r="D34" s="6"/>
      <c r="E34" s="6"/>
      <c r="F34" s="9"/>
      <c r="G34" s="6"/>
      <c r="H34" s="6"/>
    </row>
    <row r="35" spans="4:8" ht="15.95" customHeight="1" x14ac:dyDescent="0.2">
      <c r="D35" s="6"/>
      <c r="E35" s="6"/>
      <c r="F35" s="9"/>
      <c r="G35" s="6"/>
      <c r="H35" s="6"/>
    </row>
    <row r="36" spans="4:8" ht="15.95" customHeight="1" x14ac:dyDescent="0.2">
      <c r="D36" s="6"/>
      <c r="E36" s="6"/>
      <c r="F36" s="9"/>
      <c r="G36" s="6"/>
      <c r="H36" s="6"/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E4D1-6F90-4101-9FE3-A62C757A3B16}">
  <sheetPr>
    <tabColor rgb="FFFFFF00"/>
  </sheetPr>
  <dimension ref="A1:R273"/>
  <sheetViews>
    <sheetView topLeftCell="A43" workbookViewId="0">
      <selection activeCell="J50" sqref="J50"/>
    </sheetView>
  </sheetViews>
  <sheetFormatPr defaultColWidth="12.42578125" defaultRowHeight="15.95" customHeight="1" x14ac:dyDescent="0.2"/>
  <cols>
    <col min="1" max="1" width="32.42578125" style="13" customWidth="1"/>
    <col min="2" max="15" width="10.28515625" style="1" customWidth="1"/>
    <col min="16" max="256" width="10.140625" style="13" customWidth="1"/>
    <col min="257" max="257" width="14.7109375" style="13" customWidth="1"/>
    <col min="258" max="258" width="11.42578125" style="13" bestFit="1" customWidth="1"/>
    <col min="259" max="512" width="10.140625" style="13" customWidth="1"/>
    <col min="513" max="513" width="14.7109375" style="13" customWidth="1"/>
    <col min="514" max="514" width="11.42578125" style="13" bestFit="1" customWidth="1"/>
    <col min="515" max="768" width="10.140625" style="13" customWidth="1"/>
    <col min="769" max="769" width="14.7109375" style="13" customWidth="1"/>
    <col min="770" max="770" width="11.42578125" style="13" bestFit="1" customWidth="1"/>
    <col min="771" max="1024" width="10.140625" style="13" customWidth="1"/>
    <col min="1025" max="1025" width="14.7109375" style="13" customWidth="1"/>
    <col min="1026" max="1026" width="11.42578125" style="13" bestFit="1" customWidth="1"/>
    <col min="1027" max="1280" width="10.140625" style="13" customWidth="1"/>
    <col min="1281" max="1281" width="14.7109375" style="13" customWidth="1"/>
    <col min="1282" max="1282" width="11.42578125" style="13" bestFit="1" customWidth="1"/>
    <col min="1283" max="1536" width="10.140625" style="13" customWidth="1"/>
    <col min="1537" max="1537" width="14.7109375" style="13" customWidth="1"/>
    <col min="1538" max="1538" width="11.42578125" style="13" bestFit="1" customWidth="1"/>
    <col min="1539" max="1792" width="10.140625" style="13" customWidth="1"/>
    <col min="1793" max="1793" width="14.7109375" style="13" customWidth="1"/>
    <col min="1794" max="1794" width="11.42578125" style="13" bestFit="1" customWidth="1"/>
    <col min="1795" max="2048" width="10.140625" style="13" customWidth="1"/>
    <col min="2049" max="2049" width="14.7109375" style="13" customWidth="1"/>
    <col min="2050" max="2050" width="11.42578125" style="13" bestFit="1" customWidth="1"/>
    <col min="2051" max="2304" width="10.140625" style="13" customWidth="1"/>
    <col min="2305" max="2305" width="14.7109375" style="13" customWidth="1"/>
    <col min="2306" max="2306" width="11.42578125" style="13" bestFit="1" customWidth="1"/>
    <col min="2307" max="2560" width="10.140625" style="13" customWidth="1"/>
    <col min="2561" max="2561" width="14.7109375" style="13" customWidth="1"/>
    <col min="2562" max="2562" width="11.42578125" style="13" bestFit="1" customWidth="1"/>
    <col min="2563" max="2816" width="10.140625" style="13" customWidth="1"/>
    <col min="2817" max="2817" width="14.7109375" style="13" customWidth="1"/>
    <col min="2818" max="2818" width="11.42578125" style="13" bestFit="1" customWidth="1"/>
    <col min="2819" max="3072" width="10.140625" style="13" customWidth="1"/>
    <col min="3073" max="3073" width="14.7109375" style="13" customWidth="1"/>
    <col min="3074" max="3074" width="11.42578125" style="13" bestFit="1" customWidth="1"/>
    <col min="3075" max="3328" width="10.140625" style="13" customWidth="1"/>
    <col min="3329" max="3329" width="14.7109375" style="13" customWidth="1"/>
    <col min="3330" max="3330" width="11.42578125" style="13" bestFit="1" customWidth="1"/>
    <col min="3331" max="3584" width="10.140625" style="13" customWidth="1"/>
    <col min="3585" max="3585" width="14.7109375" style="13" customWidth="1"/>
    <col min="3586" max="3586" width="11.42578125" style="13" bestFit="1" customWidth="1"/>
    <col min="3587" max="3840" width="10.140625" style="13" customWidth="1"/>
    <col min="3841" max="3841" width="14.7109375" style="13" customWidth="1"/>
    <col min="3842" max="3842" width="11.42578125" style="13" bestFit="1" customWidth="1"/>
    <col min="3843" max="4096" width="10.140625" style="13" customWidth="1"/>
    <col min="4097" max="4097" width="14.7109375" style="13" customWidth="1"/>
    <col min="4098" max="4098" width="11.42578125" style="13" bestFit="1" customWidth="1"/>
    <col min="4099" max="4352" width="10.140625" style="13" customWidth="1"/>
    <col min="4353" max="4353" width="14.7109375" style="13" customWidth="1"/>
    <col min="4354" max="4354" width="11.42578125" style="13" bestFit="1" customWidth="1"/>
    <col min="4355" max="4608" width="10.140625" style="13" customWidth="1"/>
    <col min="4609" max="4609" width="14.7109375" style="13" customWidth="1"/>
    <col min="4610" max="4610" width="11.42578125" style="13" bestFit="1" customWidth="1"/>
    <col min="4611" max="4864" width="10.140625" style="13" customWidth="1"/>
    <col min="4865" max="4865" width="14.7109375" style="13" customWidth="1"/>
    <col min="4866" max="4866" width="11.42578125" style="13" bestFit="1" customWidth="1"/>
    <col min="4867" max="5120" width="10.140625" style="13" customWidth="1"/>
    <col min="5121" max="5121" width="14.7109375" style="13" customWidth="1"/>
    <col min="5122" max="5122" width="11.42578125" style="13" bestFit="1" customWidth="1"/>
    <col min="5123" max="5376" width="10.140625" style="13" customWidth="1"/>
    <col min="5377" max="5377" width="14.7109375" style="13" customWidth="1"/>
    <col min="5378" max="5378" width="11.42578125" style="13" bestFit="1" customWidth="1"/>
    <col min="5379" max="5632" width="10.140625" style="13" customWidth="1"/>
    <col min="5633" max="5633" width="14.7109375" style="13" customWidth="1"/>
    <col min="5634" max="5634" width="11.42578125" style="13" bestFit="1" customWidth="1"/>
    <col min="5635" max="5888" width="10.140625" style="13" customWidth="1"/>
    <col min="5889" max="5889" width="14.7109375" style="13" customWidth="1"/>
    <col min="5890" max="5890" width="11.42578125" style="13" bestFit="1" customWidth="1"/>
    <col min="5891" max="6144" width="10.140625" style="13" customWidth="1"/>
    <col min="6145" max="6145" width="14.7109375" style="13" customWidth="1"/>
    <col min="6146" max="6146" width="11.42578125" style="13" bestFit="1" customWidth="1"/>
    <col min="6147" max="6400" width="10.140625" style="13" customWidth="1"/>
    <col min="6401" max="6401" width="14.7109375" style="13" customWidth="1"/>
    <col min="6402" max="6402" width="11.42578125" style="13" bestFit="1" customWidth="1"/>
    <col min="6403" max="6656" width="10.140625" style="13" customWidth="1"/>
    <col min="6657" max="6657" width="14.7109375" style="13" customWidth="1"/>
    <col min="6658" max="6658" width="11.42578125" style="13" bestFit="1" customWidth="1"/>
    <col min="6659" max="6912" width="10.140625" style="13" customWidth="1"/>
    <col min="6913" max="6913" width="14.7109375" style="13" customWidth="1"/>
    <col min="6914" max="6914" width="11.42578125" style="13" bestFit="1" customWidth="1"/>
    <col min="6915" max="7168" width="10.140625" style="13" customWidth="1"/>
    <col min="7169" max="7169" width="14.7109375" style="13" customWidth="1"/>
    <col min="7170" max="7170" width="11.42578125" style="13" bestFit="1" customWidth="1"/>
    <col min="7171" max="7424" width="10.140625" style="13" customWidth="1"/>
    <col min="7425" max="7425" width="14.7109375" style="13" customWidth="1"/>
    <col min="7426" max="7426" width="11.42578125" style="13" bestFit="1" customWidth="1"/>
    <col min="7427" max="7680" width="10.140625" style="13" customWidth="1"/>
    <col min="7681" max="7681" width="14.7109375" style="13" customWidth="1"/>
    <col min="7682" max="7682" width="11.42578125" style="13" bestFit="1" customWidth="1"/>
    <col min="7683" max="7936" width="10.140625" style="13" customWidth="1"/>
    <col min="7937" max="7937" width="14.7109375" style="13" customWidth="1"/>
    <col min="7938" max="7938" width="11.42578125" style="13" bestFit="1" customWidth="1"/>
    <col min="7939" max="8192" width="10.140625" style="13" customWidth="1"/>
    <col min="8193" max="8193" width="14.7109375" style="13" customWidth="1"/>
    <col min="8194" max="8194" width="11.42578125" style="13" bestFit="1" customWidth="1"/>
    <col min="8195" max="8448" width="10.140625" style="13" customWidth="1"/>
    <col min="8449" max="8449" width="14.7109375" style="13" customWidth="1"/>
    <col min="8450" max="8450" width="11.42578125" style="13" bestFit="1" customWidth="1"/>
    <col min="8451" max="8704" width="10.140625" style="13" customWidth="1"/>
    <col min="8705" max="8705" width="14.7109375" style="13" customWidth="1"/>
    <col min="8706" max="8706" width="11.42578125" style="13" bestFit="1" customWidth="1"/>
    <col min="8707" max="8960" width="10.140625" style="13" customWidth="1"/>
    <col min="8961" max="8961" width="14.7109375" style="13" customWidth="1"/>
    <col min="8962" max="8962" width="11.42578125" style="13" bestFit="1" customWidth="1"/>
    <col min="8963" max="9216" width="10.140625" style="13" customWidth="1"/>
    <col min="9217" max="9217" width="14.7109375" style="13" customWidth="1"/>
    <col min="9218" max="9218" width="11.42578125" style="13" bestFit="1" customWidth="1"/>
    <col min="9219" max="9472" width="10.140625" style="13" customWidth="1"/>
    <col min="9473" max="9473" width="14.7109375" style="13" customWidth="1"/>
    <col min="9474" max="9474" width="11.42578125" style="13" bestFit="1" customWidth="1"/>
    <col min="9475" max="9728" width="10.140625" style="13" customWidth="1"/>
    <col min="9729" max="9729" width="14.7109375" style="13" customWidth="1"/>
    <col min="9730" max="9730" width="11.42578125" style="13" bestFit="1" customWidth="1"/>
    <col min="9731" max="9984" width="10.140625" style="13" customWidth="1"/>
    <col min="9985" max="9985" width="14.7109375" style="13" customWidth="1"/>
    <col min="9986" max="9986" width="11.42578125" style="13" bestFit="1" customWidth="1"/>
    <col min="9987" max="10240" width="10.140625" style="13" customWidth="1"/>
    <col min="10241" max="10241" width="14.7109375" style="13" customWidth="1"/>
    <col min="10242" max="10242" width="11.42578125" style="13" bestFit="1" customWidth="1"/>
    <col min="10243" max="10496" width="10.140625" style="13" customWidth="1"/>
    <col min="10497" max="10497" width="14.7109375" style="13" customWidth="1"/>
    <col min="10498" max="10498" width="11.42578125" style="13" bestFit="1" customWidth="1"/>
    <col min="10499" max="10752" width="10.140625" style="13" customWidth="1"/>
    <col min="10753" max="10753" width="14.7109375" style="13" customWidth="1"/>
    <col min="10754" max="10754" width="11.42578125" style="13" bestFit="1" customWidth="1"/>
    <col min="10755" max="11008" width="10.140625" style="13" customWidth="1"/>
    <col min="11009" max="11009" width="14.7109375" style="13" customWidth="1"/>
    <col min="11010" max="11010" width="11.42578125" style="13" bestFit="1" customWidth="1"/>
    <col min="11011" max="11264" width="10.140625" style="13" customWidth="1"/>
    <col min="11265" max="11265" width="14.7109375" style="13" customWidth="1"/>
    <col min="11266" max="11266" width="11.42578125" style="13" bestFit="1" customWidth="1"/>
    <col min="11267" max="11520" width="10.140625" style="13" customWidth="1"/>
    <col min="11521" max="11521" width="14.7109375" style="13" customWidth="1"/>
    <col min="11522" max="11522" width="11.42578125" style="13" bestFit="1" customWidth="1"/>
    <col min="11523" max="11776" width="10.140625" style="13" customWidth="1"/>
    <col min="11777" max="11777" width="14.7109375" style="13" customWidth="1"/>
    <col min="11778" max="11778" width="11.42578125" style="13" bestFit="1" customWidth="1"/>
    <col min="11779" max="12032" width="10.140625" style="13" customWidth="1"/>
    <col min="12033" max="12033" width="14.7109375" style="13" customWidth="1"/>
    <col min="12034" max="12034" width="11.42578125" style="13" bestFit="1" customWidth="1"/>
    <col min="12035" max="12288" width="10.140625" style="13" customWidth="1"/>
    <col min="12289" max="12289" width="14.7109375" style="13" customWidth="1"/>
    <col min="12290" max="12290" width="11.42578125" style="13" bestFit="1" customWidth="1"/>
    <col min="12291" max="12544" width="10.140625" style="13" customWidth="1"/>
    <col min="12545" max="12545" width="14.7109375" style="13" customWidth="1"/>
    <col min="12546" max="12546" width="11.42578125" style="13" bestFit="1" customWidth="1"/>
    <col min="12547" max="12800" width="10.140625" style="13" customWidth="1"/>
    <col min="12801" max="12801" width="14.7109375" style="13" customWidth="1"/>
    <col min="12802" max="12802" width="11.42578125" style="13" bestFit="1" customWidth="1"/>
    <col min="12803" max="13056" width="10.140625" style="13" customWidth="1"/>
    <col min="13057" max="13057" width="14.7109375" style="13" customWidth="1"/>
    <col min="13058" max="13058" width="11.42578125" style="13" bestFit="1" customWidth="1"/>
    <col min="13059" max="13312" width="10.140625" style="13" customWidth="1"/>
    <col min="13313" max="13313" width="14.7109375" style="13" customWidth="1"/>
    <col min="13314" max="13314" width="11.42578125" style="13" bestFit="1" customWidth="1"/>
    <col min="13315" max="13568" width="10.140625" style="13" customWidth="1"/>
    <col min="13569" max="13569" width="14.7109375" style="13" customWidth="1"/>
    <col min="13570" max="13570" width="11.42578125" style="13" bestFit="1" customWidth="1"/>
    <col min="13571" max="13824" width="10.140625" style="13" customWidth="1"/>
    <col min="13825" max="13825" width="14.7109375" style="13" customWidth="1"/>
    <col min="13826" max="13826" width="11.42578125" style="13" bestFit="1" customWidth="1"/>
    <col min="13827" max="14080" width="10.140625" style="13" customWidth="1"/>
    <col min="14081" max="14081" width="14.7109375" style="13" customWidth="1"/>
    <col min="14082" max="14082" width="11.42578125" style="13" bestFit="1" customWidth="1"/>
    <col min="14083" max="14336" width="10.140625" style="13" customWidth="1"/>
    <col min="14337" max="14337" width="14.7109375" style="13" customWidth="1"/>
    <col min="14338" max="14338" width="11.42578125" style="13" bestFit="1" customWidth="1"/>
    <col min="14339" max="14592" width="10.140625" style="13" customWidth="1"/>
    <col min="14593" max="14593" width="14.7109375" style="13" customWidth="1"/>
    <col min="14594" max="14594" width="11.42578125" style="13" bestFit="1" customWidth="1"/>
    <col min="14595" max="14848" width="10.140625" style="13" customWidth="1"/>
    <col min="14849" max="14849" width="14.7109375" style="13" customWidth="1"/>
    <col min="14850" max="14850" width="11.42578125" style="13" bestFit="1" customWidth="1"/>
    <col min="14851" max="15104" width="10.140625" style="13" customWidth="1"/>
    <col min="15105" max="15105" width="14.7109375" style="13" customWidth="1"/>
    <col min="15106" max="15106" width="11.42578125" style="13" bestFit="1" customWidth="1"/>
    <col min="15107" max="15360" width="10.140625" style="13" customWidth="1"/>
    <col min="15361" max="15361" width="14.7109375" style="13" customWidth="1"/>
    <col min="15362" max="15362" width="11.42578125" style="13" bestFit="1" customWidth="1"/>
    <col min="15363" max="15616" width="10.140625" style="13" customWidth="1"/>
    <col min="15617" max="15617" width="14.7109375" style="13" customWidth="1"/>
    <col min="15618" max="15618" width="11.42578125" style="13" bestFit="1" customWidth="1"/>
    <col min="15619" max="15872" width="10.140625" style="13" customWidth="1"/>
    <col min="15873" max="15873" width="14.7109375" style="13" customWidth="1"/>
    <col min="15874" max="15874" width="11.42578125" style="13" bestFit="1" customWidth="1"/>
    <col min="15875" max="16128" width="10.140625" style="13" customWidth="1"/>
    <col min="16129" max="16129" width="14.7109375" style="13" customWidth="1"/>
    <col min="16130" max="16130" width="11.42578125" style="13" bestFit="1" customWidth="1"/>
    <col min="16131" max="16384" width="10.140625" style="13" customWidth="1"/>
  </cols>
  <sheetData>
    <row r="1" spans="1:18" ht="15.95" customHeight="1" x14ac:dyDescent="0.2">
      <c r="A1" s="13" t="s">
        <v>0</v>
      </c>
      <c r="B1" s="2">
        <v>45303</v>
      </c>
      <c r="E1" s="1">
        <v>106.5</v>
      </c>
      <c r="F1" s="1" t="s">
        <v>1</v>
      </c>
      <c r="G1" s="3">
        <v>4686</v>
      </c>
      <c r="H1" s="3">
        <v>4674</v>
      </c>
      <c r="I1" s="1" t="s">
        <v>2</v>
      </c>
      <c r="M1" s="3"/>
      <c r="Q1" s="3"/>
      <c r="R1" s="3"/>
    </row>
    <row r="2" spans="1:18" ht="15.95" customHeight="1" x14ac:dyDescent="0.2">
      <c r="A2" s="13" t="s">
        <v>3</v>
      </c>
      <c r="E2" s="1">
        <f>E1*2200*0.53</f>
        <v>124179</v>
      </c>
      <c r="F2" s="1" t="s">
        <v>4</v>
      </c>
      <c r="G2" s="3">
        <v>4677</v>
      </c>
      <c r="H2" s="3">
        <v>5084</v>
      </c>
      <c r="K2" s="4"/>
      <c r="M2" s="3"/>
      <c r="Q2" s="3"/>
      <c r="R2" s="3"/>
    </row>
    <row r="3" spans="1:18" ht="15.95" customHeight="1" x14ac:dyDescent="0.25">
      <c r="A3" s="13" t="s">
        <v>5</v>
      </c>
      <c r="B3" s="5"/>
      <c r="E3" s="1">
        <v>0.5</v>
      </c>
      <c r="F3" s="1" t="s">
        <v>6</v>
      </c>
      <c r="G3" s="3">
        <v>5242</v>
      </c>
      <c r="H3" s="3">
        <v>4851</v>
      </c>
      <c r="K3" s="4"/>
      <c r="M3" s="3"/>
      <c r="Q3" s="3"/>
      <c r="R3" s="3"/>
    </row>
    <row r="4" spans="1:18" ht="15.95" customHeight="1" x14ac:dyDescent="0.25">
      <c r="B4" s="5"/>
      <c r="E4" s="1">
        <f>AVERAGE(G1:H7)*10</f>
        <v>49082.5</v>
      </c>
      <c r="F4" s="1" t="s">
        <v>7</v>
      </c>
      <c r="G4" s="3">
        <v>4932</v>
      </c>
      <c r="H4" s="3">
        <v>5120</v>
      </c>
      <c r="K4" s="4"/>
      <c r="M4" s="3"/>
      <c r="Q4" s="3"/>
      <c r="R4" s="3"/>
    </row>
    <row r="5" spans="1:18" ht="15.95" customHeight="1" x14ac:dyDescent="0.25">
      <c r="A5" s="12" t="s">
        <v>29</v>
      </c>
      <c r="D5" s="6"/>
      <c r="E5" s="6">
        <f>E4/(E3*E2)</f>
        <v>0.79051208336353163</v>
      </c>
      <c r="F5" s="7" t="s">
        <v>8</v>
      </c>
      <c r="G5" s="3"/>
      <c r="H5" s="5"/>
      <c r="I5" s="1" t="s">
        <v>21</v>
      </c>
      <c r="J5" s="13"/>
      <c r="K5" s="4"/>
      <c r="M5" s="3"/>
    </row>
    <row r="6" spans="1:18" ht="15.95" customHeight="1" x14ac:dyDescent="0.25">
      <c r="A6" s="12"/>
      <c r="D6" s="6"/>
      <c r="E6" s="6"/>
      <c r="F6" s="7"/>
      <c r="G6" s="3"/>
      <c r="H6" s="5"/>
      <c r="J6" s="13"/>
      <c r="K6" s="4"/>
      <c r="M6" s="3"/>
    </row>
    <row r="7" spans="1:18" ht="15.95" customHeight="1" x14ac:dyDescent="0.25">
      <c r="A7" s="14" t="s">
        <v>17</v>
      </c>
      <c r="E7" s="7"/>
      <c r="H7" s="3"/>
      <c r="K7" s="4"/>
    </row>
    <row r="8" spans="1:18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8" ht="15.95" customHeight="1" x14ac:dyDescent="0.25">
      <c r="A9" s="5" t="s">
        <v>28</v>
      </c>
      <c r="B9" s="3">
        <v>300</v>
      </c>
      <c r="C9" s="3">
        <v>344</v>
      </c>
      <c r="D9" s="6">
        <f>AVERAGE(B9:C9)</f>
        <v>322</v>
      </c>
      <c r="E9" s="6"/>
      <c r="H9" s="6">
        <f>J14*100/$J$14</f>
        <v>100</v>
      </c>
      <c r="L9" s="5" t="s">
        <v>15</v>
      </c>
      <c r="M9" s="5" t="s">
        <v>16</v>
      </c>
    </row>
    <row r="10" spans="1:18" ht="15.95" customHeight="1" x14ac:dyDescent="0.25">
      <c r="B10" s="3">
        <v>174</v>
      </c>
      <c r="C10" s="3">
        <v>214</v>
      </c>
      <c r="D10" s="6">
        <f t="shared" ref="D10:D20" si="0">AVERAGE(B10:C10)</f>
        <v>194</v>
      </c>
      <c r="E10" s="6"/>
      <c r="H10" s="6"/>
      <c r="J10" s="10" t="s">
        <v>17</v>
      </c>
      <c r="L10" s="3">
        <v>300</v>
      </c>
      <c r="M10" s="3">
        <v>174</v>
      </c>
    </row>
    <row r="11" spans="1:18" ht="15.95" customHeight="1" x14ac:dyDescent="0.2">
      <c r="A11" s="3"/>
      <c r="B11" s="3">
        <v>145</v>
      </c>
      <c r="C11" s="3">
        <v>140</v>
      </c>
      <c r="D11" s="6">
        <f t="shared" si="0"/>
        <v>142.5</v>
      </c>
      <c r="E11" s="6">
        <f>D11-$J$16</f>
        <v>-56.25</v>
      </c>
      <c r="F11" s="9">
        <v>9.9999999999999995E-7</v>
      </c>
      <c r="G11" s="6">
        <f>LOG(F11)</f>
        <v>-6</v>
      </c>
      <c r="H11" s="6">
        <f>E11*100/$J$14</f>
        <v>-31.315240083507305</v>
      </c>
      <c r="J11" s="11" t="s">
        <v>18</v>
      </c>
      <c r="L11" s="3">
        <v>344</v>
      </c>
      <c r="M11" s="3">
        <v>214</v>
      </c>
    </row>
    <row r="12" spans="1:18" ht="15.95" customHeight="1" x14ac:dyDescent="0.25">
      <c r="A12" s="8"/>
      <c r="B12" s="3">
        <v>195</v>
      </c>
      <c r="C12" s="3">
        <v>196</v>
      </c>
      <c r="D12" s="6">
        <f t="shared" si="0"/>
        <v>195.5</v>
      </c>
      <c r="E12" s="6">
        <f t="shared" ref="E12:E19" si="1">D12-$J$16</f>
        <v>-3.25</v>
      </c>
      <c r="F12" s="9">
        <f t="shared" ref="F12:F19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-1.8093249826026443</v>
      </c>
      <c r="J12" s="11">
        <f>AVERAGE(L10:L25)</f>
        <v>378.375</v>
      </c>
      <c r="L12" s="3">
        <v>373</v>
      </c>
      <c r="M12" s="3">
        <v>212</v>
      </c>
    </row>
    <row r="13" spans="1:18" ht="15.95" customHeight="1" x14ac:dyDescent="0.2">
      <c r="A13" s="3"/>
      <c r="B13" s="3">
        <v>222</v>
      </c>
      <c r="C13" s="3">
        <v>243</v>
      </c>
      <c r="D13" s="6">
        <f t="shared" si="0"/>
        <v>232.5</v>
      </c>
      <c r="E13" s="6">
        <f t="shared" si="1"/>
        <v>33.75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18.789144050104383</v>
      </c>
      <c r="J13" s="11" t="s">
        <v>19</v>
      </c>
      <c r="L13" s="3">
        <v>506</v>
      </c>
      <c r="M13" s="3">
        <v>190</v>
      </c>
    </row>
    <row r="14" spans="1:18" ht="15.95" customHeight="1" x14ac:dyDescent="0.2">
      <c r="A14" s="3"/>
      <c r="B14" s="3">
        <v>277</v>
      </c>
      <c r="C14" s="3">
        <v>292</v>
      </c>
      <c r="D14" s="6">
        <f t="shared" si="0"/>
        <v>284.5</v>
      </c>
      <c r="E14" s="6">
        <f t="shared" si="1"/>
        <v>85.75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47.738343771746692</v>
      </c>
      <c r="J14" s="11">
        <f>J12-J16</f>
        <v>179.625</v>
      </c>
      <c r="L14" s="3">
        <v>358</v>
      </c>
      <c r="M14" s="3">
        <v>265</v>
      </c>
    </row>
    <row r="15" spans="1:18" ht="15.95" customHeight="1" x14ac:dyDescent="0.2">
      <c r="A15" s="3"/>
      <c r="B15" s="3">
        <v>349</v>
      </c>
      <c r="C15" s="3">
        <v>436</v>
      </c>
      <c r="D15" s="6">
        <f t="shared" si="0"/>
        <v>392.5</v>
      </c>
      <c r="E15" s="6">
        <f t="shared" si="1"/>
        <v>193.75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107.86360473208073</v>
      </c>
      <c r="J15" s="11" t="s">
        <v>20</v>
      </c>
      <c r="L15" s="3">
        <v>565</v>
      </c>
      <c r="M15" s="3">
        <v>162</v>
      </c>
    </row>
    <row r="16" spans="1:18" ht="15.95" customHeight="1" x14ac:dyDescent="0.2">
      <c r="B16" s="3">
        <v>341</v>
      </c>
      <c r="C16" s="3">
        <v>338</v>
      </c>
      <c r="D16" s="6">
        <f t="shared" si="0"/>
        <v>339.5</v>
      </c>
      <c r="E16" s="6">
        <f t="shared" si="1"/>
        <v>140.75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78.357689631176058</v>
      </c>
      <c r="J16" s="11">
        <f>AVERAGE(M10:M17)</f>
        <v>198.75</v>
      </c>
      <c r="L16" s="3">
        <v>361</v>
      </c>
      <c r="M16" s="3">
        <v>176</v>
      </c>
    </row>
    <row r="17" spans="1:13" ht="15.95" customHeight="1" x14ac:dyDescent="0.2">
      <c r="A17" s="3"/>
      <c r="B17" s="3">
        <v>259</v>
      </c>
      <c r="C17" s="3">
        <v>276</v>
      </c>
      <c r="D17" s="6">
        <f t="shared" si="0"/>
        <v>267.5</v>
      </c>
      <c r="E17" s="6">
        <f t="shared" si="1"/>
        <v>68.75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38.274182324286706</v>
      </c>
      <c r="L17" s="3">
        <v>352</v>
      </c>
      <c r="M17" s="3">
        <v>197</v>
      </c>
    </row>
    <row r="18" spans="1:13" ht="15.95" customHeight="1" x14ac:dyDescent="0.2">
      <c r="B18" s="3">
        <v>313</v>
      </c>
      <c r="C18" s="3">
        <v>272</v>
      </c>
      <c r="D18" s="6">
        <f t="shared" si="0"/>
        <v>292.5</v>
      </c>
      <c r="E18" s="6">
        <f t="shared" si="1"/>
        <v>93.75</v>
      </c>
      <c r="F18" s="9">
        <f t="shared" si="2"/>
        <v>3.1603345508871019E-10</v>
      </c>
      <c r="G18" s="6">
        <f t="shared" si="3"/>
        <v>-9.500266940826668</v>
      </c>
      <c r="H18" s="6">
        <f t="shared" si="4"/>
        <v>52.192066805845513</v>
      </c>
      <c r="L18" s="3">
        <v>307</v>
      </c>
    </row>
    <row r="19" spans="1:13" ht="15.95" customHeight="1" x14ac:dyDescent="0.2">
      <c r="A19" s="3"/>
      <c r="B19" s="3">
        <v>250</v>
      </c>
      <c r="C19" s="3">
        <v>270</v>
      </c>
      <c r="D19" s="6">
        <f t="shared" si="0"/>
        <v>260</v>
      </c>
      <c r="E19" s="6">
        <f t="shared" si="1"/>
        <v>61.25</v>
      </c>
      <c r="F19" s="9">
        <f t="shared" si="2"/>
        <v>9.992977849905016E-11</v>
      </c>
      <c r="G19" s="6">
        <f t="shared" si="3"/>
        <v>-10.000305075230479</v>
      </c>
      <c r="H19" s="6">
        <f t="shared" si="4"/>
        <v>34.09881697981907</v>
      </c>
      <c r="L19" s="3">
        <v>312</v>
      </c>
    </row>
    <row r="20" spans="1:13" ht="15.95" customHeight="1" x14ac:dyDescent="0.2">
      <c r="B20" s="3">
        <v>307</v>
      </c>
      <c r="C20" s="3">
        <v>312</v>
      </c>
      <c r="D20" s="6">
        <f t="shared" si="0"/>
        <v>309.5</v>
      </c>
      <c r="E20" s="6"/>
      <c r="F20" s="9"/>
      <c r="G20" s="6"/>
      <c r="H20" s="6"/>
      <c r="L20" s="3">
        <v>369</v>
      </c>
    </row>
    <row r="21" spans="1:13" ht="15.95" customHeight="1" x14ac:dyDescent="0.2">
      <c r="B21" s="3"/>
      <c r="C21" s="3"/>
      <c r="L21" s="3">
        <v>385</v>
      </c>
    </row>
    <row r="22" spans="1:13" ht="15.95" customHeight="1" x14ac:dyDescent="0.2">
      <c r="B22" s="3"/>
      <c r="C22" s="3"/>
      <c r="D22" s="6"/>
      <c r="E22" s="6"/>
      <c r="H22" s="6"/>
      <c r="L22" s="3">
        <v>334</v>
      </c>
    </row>
    <row r="23" spans="1:13" ht="15.95" customHeight="1" x14ac:dyDescent="0.2">
      <c r="B23" s="3"/>
      <c r="C23" s="3"/>
      <c r="D23" s="6"/>
      <c r="E23" s="6"/>
      <c r="H23" s="6"/>
      <c r="L23" s="3">
        <v>413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422</v>
      </c>
    </row>
    <row r="25" spans="1:13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353</v>
      </c>
    </row>
    <row r="26" spans="1:13" s="1" customFormat="1" ht="15.95" customHeight="1" x14ac:dyDescent="0.25">
      <c r="A26" s="8" t="s">
        <v>22</v>
      </c>
      <c r="B26" s="3"/>
      <c r="C26" s="3"/>
      <c r="D26" s="6"/>
      <c r="E26" s="6"/>
      <c r="F26" s="9"/>
      <c r="G26" s="6"/>
      <c r="H26" s="6"/>
    </row>
    <row r="27" spans="1:13" s="1" customFormat="1" ht="15.95" customHeight="1" x14ac:dyDescent="0.25">
      <c r="B27" s="20" t="s">
        <v>9</v>
      </c>
      <c r="C27" s="20"/>
      <c r="D27" s="10" t="s">
        <v>10</v>
      </c>
      <c r="E27" s="10" t="s">
        <v>11</v>
      </c>
      <c r="F27" s="5" t="s">
        <v>12</v>
      </c>
      <c r="G27" s="5" t="s">
        <v>13</v>
      </c>
      <c r="H27" s="5" t="s">
        <v>14</v>
      </c>
      <c r="I27" s="5"/>
    </row>
    <row r="28" spans="1:13" s="1" customFormat="1" ht="15.95" customHeight="1" x14ac:dyDescent="0.25">
      <c r="A28" s="5" t="s">
        <v>28</v>
      </c>
      <c r="B28" s="3">
        <v>305</v>
      </c>
      <c r="C28" s="3">
        <v>335</v>
      </c>
      <c r="D28" s="6">
        <f>AVERAGE(B28:C28,B39:C39)</f>
        <v>343</v>
      </c>
      <c r="E28" s="6"/>
      <c r="H28" s="6">
        <f>J33*100/$J$33</f>
        <v>100</v>
      </c>
      <c r="L28" s="5" t="s">
        <v>15</v>
      </c>
      <c r="M28" s="5" t="s">
        <v>16</v>
      </c>
    </row>
    <row r="29" spans="1:13" s="1" customFormat="1" ht="15.95" customHeight="1" x14ac:dyDescent="0.25">
      <c r="B29" s="3">
        <v>201</v>
      </c>
      <c r="C29" s="3">
        <v>135</v>
      </c>
      <c r="D29" s="6"/>
      <c r="E29" s="6"/>
      <c r="H29" s="6"/>
      <c r="J29" s="10" t="s">
        <v>22</v>
      </c>
      <c r="L29" s="3">
        <v>343</v>
      </c>
      <c r="M29" s="3">
        <v>148</v>
      </c>
    </row>
    <row r="30" spans="1:13" s="1" customFormat="1" ht="15.95" customHeight="1" x14ac:dyDescent="0.2">
      <c r="A30" s="3"/>
      <c r="B30" s="3">
        <v>156</v>
      </c>
      <c r="C30" s="3">
        <v>159</v>
      </c>
      <c r="D30" s="6">
        <f t="shared" ref="D30:D39" si="5">AVERAGE(B30:C30)</f>
        <v>157.5</v>
      </c>
      <c r="E30" s="6">
        <f>D30-$J$35</f>
        <v>-1.75</v>
      </c>
      <c r="F30" s="9">
        <v>9.9999999999999995E-7</v>
      </c>
      <c r="G30" s="6">
        <f>LOG(F30)</f>
        <v>-6</v>
      </c>
      <c r="H30" s="6">
        <f>E30*100/$J$33</f>
        <v>-0.91533180778032042</v>
      </c>
      <c r="J30" s="11" t="s">
        <v>18</v>
      </c>
      <c r="L30" s="3">
        <v>344</v>
      </c>
      <c r="M30" s="3">
        <v>108</v>
      </c>
    </row>
    <row r="31" spans="1:13" s="1" customFormat="1" ht="15.95" customHeight="1" x14ac:dyDescent="0.25">
      <c r="A31" s="8"/>
      <c r="B31" s="3">
        <v>188</v>
      </c>
      <c r="C31" s="3">
        <v>205</v>
      </c>
      <c r="D31" s="6">
        <f t="shared" si="5"/>
        <v>196.5</v>
      </c>
      <c r="E31" s="6">
        <f t="shared" ref="E31:E38" si="6">D31-$J$35</f>
        <v>37.25</v>
      </c>
      <c r="F31" s="9">
        <f t="shared" ref="F31:F36" si="7">F30*0.3162</f>
        <v>3.1619999999999999E-7</v>
      </c>
      <c r="G31" s="6">
        <f t="shared" ref="G31:G38" si="8">LOG(F31)</f>
        <v>-6.5000381344038098</v>
      </c>
      <c r="H31" s="6">
        <f t="shared" ref="H31:H38" si="9">E31*100/$J$33</f>
        <v>19.483491337038249</v>
      </c>
      <c r="J31" s="11">
        <f>AVERAGE(L29:L44)</f>
        <v>350.4375</v>
      </c>
      <c r="L31" s="3">
        <v>322</v>
      </c>
      <c r="M31" s="3">
        <v>183</v>
      </c>
    </row>
    <row r="32" spans="1:13" s="1" customFormat="1" ht="15.95" customHeight="1" x14ac:dyDescent="0.2">
      <c r="A32" s="3"/>
      <c r="B32" s="3">
        <v>316</v>
      </c>
      <c r="C32" s="3">
        <v>289</v>
      </c>
      <c r="D32" s="6">
        <f t="shared" si="5"/>
        <v>302.5</v>
      </c>
      <c r="E32" s="6">
        <f t="shared" si="6"/>
        <v>143.25</v>
      </c>
      <c r="F32" s="9">
        <f t="shared" si="7"/>
        <v>9.9982439999999983E-8</v>
      </c>
      <c r="G32" s="6">
        <f t="shared" si="8"/>
        <v>-7.0000762688076197</v>
      </c>
      <c r="H32" s="6">
        <f t="shared" si="9"/>
        <v>74.92644655116051</v>
      </c>
      <c r="J32" s="11" t="s">
        <v>19</v>
      </c>
      <c r="L32" s="3">
        <v>449</v>
      </c>
      <c r="M32" s="3">
        <v>147</v>
      </c>
    </row>
    <row r="33" spans="1:13" s="1" customFormat="1" ht="15.95" customHeight="1" x14ac:dyDescent="0.2">
      <c r="A33" s="3"/>
      <c r="B33" s="3">
        <v>384</v>
      </c>
      <c r="C33" s="3">
        <v>308</v>
      </c>
      <c r="D33" s="6">
        <f t="shared" si="5"/>
        <v>346</v>
      </c>
      <c r="E33" s="6">
        <f t="shared" si="6"/>
        <v>186.75</v>
      </c>
      <c r="F33" s="9">
        <f t="shared" si="7"/>
        <v>3.1614447527999994E-8</v>
      </c>
      <c r="G33" s="6">
        <f t="shared" si="8"/>
        <v>-7.5001144032114295</v>
      </c>
      <c r="H33" s="6">
        <f t="shared" si="9"/>
        <v>97.678980058842754</v>
      </c>
      <c r="J33" s="11">
        <f>J31-J35</f>
        <v>191.1875</v>
      </c>
      <c r="L33" s="3">
        <v>305</v>
      </c>
      <c r="M33" s="3">
        <v>201</v>
      </c>
    </row>
    <row r="34" spans="1:13" s="1" customFormat="1" ht="15.95" customHeight="1" x14ac:dyDescent="0.2">
      <c r="A34" s="3"/>
      <c r="B34" s="3">
        <v>383</v>
      </c>
      <c r="C34" s="3">
        <v>390</v>
      </c>
      <c r="D34" s="6">
        <f t="shared" si="5"/>
        <v>386.5</v>
      </c>
      <c r="E34" s="6">
        <f t="shared" si="6"/>
        <v>227.25</v>
      </c>
      <c r="F34" s="9">
        <f t="shared" si="7"/>
        <v>9.9964883083535969E-9</v>
      </c>
      <c r="G34" s="6">
        <f t="shared" si="8"/>
        <v>-8.0001525376152394</v>
      </c>
      <c r="H34" s="6">
        <f t="shared" si="9"/>
        <v>118.86237332461589</v>
      </c>
      <c r="J34" s="11" t="s">
        <v>20</v>
      </c>
      <c r="L34" s="3">
        <v>335</v>
      </c>
      <c r="M34" s="3">
        <v>135</v>
      </c>
    </row>
    <row r="35" spans="1:13" s="1" customFormat="1" ht="15.95" customHeight="1" x14ac:dyDescent="0.2">
      <c r="B35" s="3">
        <v>373</v>
      </c>
      <c r="C35" s="3">
        <v>410</v>
      </c>
      <c r="D35" s="6">
        <f t="shared" si="5"/>
        <v>391.5</v>
      </c>
      <c r="E35" s="6">
        <f t="shared" si="6"/>
        <v>232.25</v>
      </c>
      <c r="F35" s="9">
        <f t="shared" si="7"/>
        <v>3.1608896031014071E-9</v>
      </c>
      <c r="G35" s="6">
        <f t="shared" si="8"/>
        <v>-8.5001906720190483</v>
      </c>
      <c r="H35" s="6">
        <f t="shared" si="9"/>
        <v>121.4776070611311</v>
      </c>
      <c r="J35" s="11">
        <f>AVERAGE(M29:M36)</f>
        <v>159.25</v>
      </c>
      <c r="L35" s="3">
        <v>387</v>
      </c>
      <c r="M35" s="3">
        <v>144</v>
      </c>
    </row>
    <row r="36" spans="1:13" s="1" customFormat="1" ht="15.95" customHeight="1" x14ac:dyDescent="0.2">
      <c r="A36" s="3"/>
      <c r="B36" s="3">
        <v>725</v>
      </c>
      <c r="C36" s="3">
        <v>416</v>
      </c>
      <c r="D36" s="6">
        <f t="shared" si="5"/>
        <v>570.5</v>
      </c>
      <c r="E36" s="6">
        <f t="shared" si="6"/>
        <v>411.25</v>
      </c>
      <c r="F36" s="9">
        <f t="shared" si="7"/>
        <v>9.9947329250066484E-10</v>
      </c>
      <c r="G36" s="6">
        <f t="shared" si="8"/>
        <v>-9.0002288064228591</v>
      </c>
      <c r="H36" s="6">
        <f t="shared" si="9"/>
        <v>215.1029748283753</v>
      </c>
      <c r="L36" s="3">
        <v>281</v>
      </c>
      <c r="M36" s="3">
        <v>208</v>
      </c>
    </row>
    <row r="37" spans="1:13" s="1" customFormat="1" ht="15.95" customHeight="1" x14ac:dyDescent="0.2">
      <c r="B37" s="3">
        <v>327</v>
      </c>
      <c r="C37" s="3">
        <v>366</v>
      </c>
      <c r="D37" s="6">
        <f t="shared" si="5"/>
        <v>346.5</v>
      </c>
      <c r="E37" s="6">
        <f t="shared" si="6"/>
        <v>187.25</v>
      </c>
      <c r="F37" s="9">
        <f>F36*0.3162</f>
        <v>3.1603345508871019E-10</v>
      </c>
      <c r="G37" s="6">
        <f t="shared" si="8"/>
        <v>-9.500266940826668</v>
      </c>
      <c r="H37" s="6">
        <f t="shared" si="9"/>
        <v>97.940503432494282</v>
      </c>
      <c r="L37" s="3">
        <v>304</v>
      </c>
    </row>
    <row r="38" spans="1:13" s="1" customFormat="1" ht="15.95" customHeight="1" x14ac:dyDescent="0.2">
      <c r="A38" s="3"/>
      <c r="B38" s="3">
        <v>371</v>
      </c>
      <c r="C38" s="3">
        <v>380</v>
      </c>
      <c r="D38" s="6">
        <f t="shared" si="5"/>
        <v>375.5</v>
      </c>
      <c r="E38" s="6">
        <f t="shared" si="6"/>
        <v>216.25</v>
      </c>
      <c r="F38" s="9">
        <f>F37*0.3162</f>
        <v>9.992977849905016E-11</v>
      </c>
      <c r="G38" s="6">
        <f t="shared" si="8"/>
        <v>-10.000305075230479</v>
      </c>
      <c r="H38" s="6">
        <f t="shared" si="9"/>
        <v>113.10885910428244</v>
      </c>
      <c r="L38" s="3">
        <v>339</v>
      </c>
    </row>
    <row r="39" spans="1:13" s="1" customFormat="1" ht="15.95" customHeight="1" x14ac:dyDescent="0.2">
      <c r="B39" s="3">
        <v>363</v>
      </c>
      <c r="C39" s="3">
        <v>369</v>
      </c>
      <c r="D39" s="6">
        <f t="shared" si="5"/>
        <v>366</v>
      </c>
      <c r="E39" s="6"/>
      <c r="F39" s="9"/>
      <c r="G39" s="6"/>
      <c r="H39" s="6"/>
      <c r="L39" s="3">
        <v>302</v>
      </c>
    </row>
    <row r="40" spans="1:13" s="1" customFormat="1" ht="15.95" customHeight="1" x14ac:dyDescent="0.25">
      <c r="A40" s="5"/>
      <c r="B40" s="3"/>
      <c r="C40" s="3"/>
      <c r="L40" s="3">
        <v>372</v>
      </c>
    </row>
    <row r="41" spans="1:13" s="1" customFormat="1" ht="15.95" customHeight="1" x14ac:dyDescent="0.2">
      <c r="B41" s="3"/>
      <c r="C41" s="3"/>
      <c r="D41" s="6"/>
      <c r="E41" s="6"/>
      <c r="H41" s="6"/>
      <c r="L41" s="3">
        <v>363</v>
      </c>
    </row>
    <row r="42" spans="1:13" s="1" customFormat="1" ht="15.95" customHeight="1" x14ac:dyDescent="0.2">
      <c r="B42" s="3"/>
      <c r="C42" s="3"/>
      <c r="D42" s="6"/>
      <c r="E42" s="6"/>
      <c r="H42" s="6"/>
      <c r="L42" s="3">
        <v>369</v>
      </c>
    </row>
    <row r="43" spans="1:13" s="1" customFormat="1" ht="15.95" customHeight="1" x14ac:dyDescent="0.2">
      <c r="A43" s="3"/>
      <c r="B43" s="3"/>
      <c r="C43" s="3"/>
      <c r="D43" s="6"/>
      <c r="E43" s="6"/>
      <c r="F43" s="9"/>
      <c r="G43" s="6"/>
      <c r="H43" s="6"/>
      <c r="L43" s="3">
        <v>388</v>
      </c>
    </row>
    <row r="44" spans="1:13" s="1" customFormat="1" ht="15.95" customHeight="1" x14ac:dyDescent="0.25">
      <c r="A44" s="8"/>
      <c r="B44" s="3"/>
      <c r="C44" s="3"/>
      <c r="D44" s="6"/>
      <c r="E44" s="6"/>
      <c r="F44" s="9"/>
      <c r="G44" s="6"/>
      <c r="H44" s="6"/>
      <c r="L44" s="3">
        <v>404</v>
      </c>
    </row>
    <row r="45" spans="1:13" s="1" customFormat="1" ht="15.95" customHeight="1" x14ac:dyDescent="0.25">
      <c r="A45" s="8" t="s">
        <v>25</v>
      </c>
      <c r="B45" s="3"/>
      <c r="C45" s="3"/>
      <c r="D45" s="6"/>
      <c r="E45" s="6"/>
      <c r="F45" s="9"/>
      <c r="G45" s="6"/>
      <c r="H45" s="6"/>
    </row>
    <row r="46" spans="1:13" s="1" customFormat="1" ht="15.95" customHeight="1" x14ac:dyDescent="0.25">
      <c r="B46" s="20" t="s">
        <v>9</v>
      </c>
      <c r="C46" s="20"/>
      <c r="D46" s="10" t="s">
        <v>10</v>
      </c>
      <c r="E46" s="10" t="s">
        <v>11</v>
      </c>
      <c r="F46" s="5" t="s">
        <v>12</v>
      </c>
      <c r="G46" s="5" t="s">
        <v>13</v>
      </c>
      <c r="H46" s="5" t="s">
        <v>14</v>
      </c>
      <c r="I46" s="5"/>
    </row>
    <row r="47" spans="1:13" s="1" customFormat="1" ht="15.95" customHeight="1" x14ac:dyDescent="0.25">
      <c r="A47" s="5" t="s">
        <v>28</v>
      </c>
      <c r="B47" s="3">
        <v>803</v>
      </c>
      <c r="C47" s="3">
        <v>253</v>
      </c>
      <c r="D47" s="6">
        <f>AVERAGE(B47:C47,B58:C58)</f>
        <v>440.5</v>
      </c>
      <c r="E47" s="6"/>
      <c r="H47" s="6">
        <f>J52*100/$J$52</f>
        <v>100</v>
      </c>
      <c r="L47" s="5" t="s">
        <v>15</v>
      </c>
      <c r="M47" s="5" t="s">
        <v>16</v>
      </c>
    </row>
    <row r="48" spans="1:13" s="1" customFormat="1" ht="15.95" customHeight="1" x14ac:dyDescent="0.25">
      <c r="B48" s="3">
        <v>137</v>
      </c>
      <c r="C48" s="3">
        <v>177</v>
      </c>
      <c r="D48" s="6"/>
      <c r="E48" s="6"/>
      <c r="H48" s="6"/>
      <c r="J48" s="10" t="s">
        <v>25</v>
      </c>
      <c r="L48" s="3">
        <v>258</v>
      </c>
      <c r="M48" s="3">
        <v>130</v>
      </c>
    </row>
    <row r="49" spans="1:13" s="1" customFormat="1" ht="15.95" customHeight="1" x14ac:dyDescent="0.2">
      <c r="A49" s="3"/>
      <c r="B49" s="3">
        <v>137</v>
      </c>
      <c r="C49" s="3">
        <v>145</v>
      </c>
      <c r="D49" s="6">
        <f t="shared" ref="D49:D58" si="10">AVERAGE(B49:C49)</f>
        <v>141</v>
      </c>
      <c r="E49" s="6">
        <f>D49-$J$54</f>
        <v>0.125</v>
      </c>
      <c r="F49" s="9">
        <v>9.9999999999999995E-7</v>
      </c>
      <c r="G49" s="6">
        <f>LOG(F49)</f>
        <v>-6</v>
      </c>
      <c r="H49" s="6">
        <f>E49*100/$J$52</f>
        <v>6.0716454159077109E-2</v>
      </c>
      <c r="J49" s="11" t="s">
        <v>18</v>
      </c>
      <c r="L49" s="3">
        <v>384</v>
      </c>
      <c r="M49" s="3">
        <v>163</v>
      </c>
    </row>
    <row r="50" spans="1:13" s="1" customFormat="1" ht="15.95" customHeight="1" x14ac:dyDescent="0.25">
      <c r="A50" s="8"/>
      <c r="B50" s="3">
        <v>214</v>
      </c>
      <c r="C50" s="3">
        <v>217</v>
      </c>
      <c r="D50" s="6">
        <f t="shared" si="10"/>
        <v>215.5</v>
      </c>
      <c r="E50" s="6">
        <f t="shared" ref="E50:E57" si="11">D50-$J$54</f>
        <v>74.625</v>
      </c>
      <c r="F50" s="9">
        <f t="shared" ref="F50:F55" si="12">F49*0.3162</f>
        <v>3.1619999999999999E-7</v>
      </c>
      <c r="G50" s="6">
        <f t="shared" ref="G50:G57" si="13">LOG(F50)</f>
        <v>-6.5000381344038098</v>
      </c>
      <c r="H50" s="6">
        <f t="shared" ref="H50:H57" si="14">E50*100/$J$52</f>
        <v>36.247723132969035</v>
      </c>
      <c r="J50" s="11">
        <f>AVERAGE(L48:L63)</f>
        <v>346.75</v>
      </c>
      <c r="L50" s="3">
        <v>262</v>
      </c>
      <c r="M50" s="3">
        <v>133</v>
      </c>
    </row>
    <row r="51" spans="1:13" s="1" customFormat="1" ht="15.95" customHeight="1" x14ac:dyDescent="0.2">
      <c r="A51" s="3"/>
      <c r="B51" s="3">
        <v>277</v>
      </c>
      <c r="C51" s="3">
        <v>242</v>
      </c>
      <c r="D51" s="6">
        <f t="shared" si="10"/>
        <v>259.5</v>
      </c>
      <c r="E51" s="6">
        <f t="shared" si="11"/>
        <v>118.625</v>
      </c>
      <c r="F51" s="9">
        <f t="shared" si="12"/>
        <v>9.9982439999999983E-8</v>
      </c>
      <c r="G51" s="6">
        <f t="shared" si="13"/>
        <v>-7.0000762688076197</v>
      </c>
      <c r="H51" s="6">
        <f t="shared" si="14"/>
        <v>57.619914996964177</v>
      </c>
      <c r="J51" s="11" t="s">
        <v>19</v>
      </c>
      <c r="L51" s="3">
        <v>447</v>
      </c>
      <c r="M51" s="3">
        <v>109</v>
      </c>
    </row>
    <row r="52" spans="1:13" s="1" customFormat="1" ht="15.95" customHeight="1" x14ac:dyDescent="0.2">
      <c r="A52" s="3"/>
      <c r="B52" s="3">
        <v>247</v>
      </c>
      <c r="C52" s="3">
        <v>278</v>
      </c>
      <c r="D52" s="6">
        <f t="shared" si="10"/>
        <v>262.5</v>
      </c>
      <c r="E52" s="6">
        <f t="shared" si="11"/>
        <v>121.625</v>
      </c>
      <c r="F52" s="9">
        <f t="shared" si="12"/>
        <v>3.1614447527999994E-8</v>
      </c>
      <c r="G52" s="6">
        <f t="shared" si="13"/>
        <v>-7.5001144032114295</v>
      </c>
      <c r="H52" s="6">
        <f t="shared" si="14"/>
        <v>59.077109896782027</v>
      </c>
      <c r="J52" s="11">
        <f>J50-J54</f>
        <v>205.875</v>
      </c>
      <c r="L52" s="3">
        <v>393</v>
      </c>
      <c r="M52" s="3">
        <v>167</v>
      </c>
    </row>
    <row r="53" spans="1:13" s="1" customFormat="1" ht="15.95" customHeight="1" x14ac:dyDescent="0.2">
      <c r="A53" s="3"/>
      <c r="B53" s="3">
        <v>305</v>
      </c>
      <c r="C53" s="3">
        <v>327</v>
      </c>
      <c r="D53" s="6">
        <f t="shared" si="10"/>
        <v>316</v>
      </c>
      <c r="E53" s="6">
        <f t="shared" si="11"/>
        <v>175.125</v>
      </c>
      <c r="F53" s="9">
        <f t="shared" si="12"/>
        <v>9.9964883083535969E-9</v>
      </c>
      <c r="G53" s="6">
        <f t="shared" si="13"/>
        <v>-8.0001525376152394</v>
      </c>
      <c r="H53" s="6">
        <f t="shared" si="14"/>
        <v>85.063752276867035</v>
      </c>
      <c r="J53" s="11" t="s">
        <v>20</v>
      </c>
      <c r="L53" s="3">
        <v>298</v>
      </c>
      <c r="M53" s="3">
        <v>111</v>
      </c>
    </row>
    <row r="54" spans="1:13" s="1" customFormat="1" ht="15.95" customHeight="1" x14ac:dyDescent="0.2">
      <c r="B54" s="3">
        <v>335</v>
      </c>
      <c r="C54" s="3">
        <v>275</v>
      </c>
      <c r="D54" s="6">
        <f t="shared" si="10"/>
        <v>305</v>
      </c>
      <c r="E54" s="6">
        <f t="shared" si="11"/>
        <v>164.125</v>
      </c>
      <c r="F54" s="9">
        <f t="shared" si="12"/>
        <v>3.1608896031014071E-9</v>
      </c>
      <c r="G54" s="6">
        <f t="shared" si="13"/>
        <v>-8.5001906720190483</v>
      </c>
      <c r="H54" s="6">
        <f t="shared" si="14"/>
        <v>79.720704310868243</v>
      </c>
      <c r="J54" s="11">
        <f>AVERAGE(M48:M55)</f>
        <v>140.875</v>
      </c>
      <c r="L54" s="3">
        <v>803</v>
      </c>
      <c r="M54" s="3">
        <v>137</v>
      </c>
    </row>
    <row r="55" spans="1:13" s="1" customFormat="1" ht="15.95" customHeight="1" x14ac:dyDescent="0.2">
      <c r="A55" s="3"/>
      <c r="B55" s="3">
        <v>253</v>
      </c>
      <c r="C55" s="3">
        <v>355</v>
      </c>
      <c r="D55" s="6">
        <f t="shared" si="10"/>
        <v>304</v>
      </c>
      <c r="E55" s="6">
        <f t="shared" si="11"/>
        <v>163.125</v>
      </c>
      <c r="F55" s="9">
        <f t="shared" si="12"/>
        <v>9.9947329250066484E-10</v>
      </c>
      <c r="G55" s="6">
        <f t="shared" si="13"/>
        <v>-9.0002288064228591</v>
      </c>
      <c r="H55" s="6">
        <f t="shared" si="14"/>
        <v>79.234972677595621</v>
      </c>
      <c r="L55" s="3">
        <v>253</v>
      </c>
      <c r="M55" s="3">
        <v>177</v>
      </c>
    </row>
    <row r="56" spans="1:13" s="1" customFormat="1" ht="15.95" customHeight="1" x14ac:dyDescent="0.2">
      <c r="B56" s="3">
        <v>356</v>
      </c>
      <c r="C56" s="3">
        <v>287</v>
      </c>
      <c r="D56" s="6">
        <f t="shared" si="10"/>
        <v>321.5</v>
      </c>
      <c r="E56" s="6">
        <f t="shared" si="11"/>
        <v>180.625</v>
      </c>
      <c r="F56" s="9">
        <f>F55*0.3162</f>
        <v>3.1603345508871019E-10</v>
      </c>
      <c r="G56" s="6">
        <f t="shared" si="13"/>
        <v>-9.500266940826668</v>
      </c>
      <c r="H56" s="6">
        <f t="shared" si="14"/>
        <v>87.735276259866424</v>
      </c>
      <c r="L56" s="3">
        <v>284</v>
      </c>
    </row>
    <row r="57" spans="1:13" s="1" customFormat="1" ht="15.95" customHeight="1" x14ac:dyDescent="0.2">
      <c r="A57" s="3"/>
      <c r="B57" s="3">
        <v>349</v>
      </c>
      <c r="C57" s="3">
        <v>275</v>
      </c>
      <c r="D57" s="6">
        <f t="shared" si="10"/>
        <v>312</v>
      </c>
      <c r="E57" s="6">
        <f t="shared" si="11"/>
        <v>171.125</v>
      </c>
      <c r="F57" s="9">
        <f>F56*0.3162</f>
        <v>9.992977849905016E-11</v>
      </c>
      <c r="G57" s="6">
        <f t="shared" si="13"/>
        <v>-10.000305075230479</v>
      </c>
      <c r="H57" s="6">
        <f t="shared" si="14"/>
        <v>83.120825743776564</v>
      </c>
      <c r="L57" s="3">
        <v>302</v>
      </c>
    </row>
    <row r="58" spans="1:13" s="1" customFormat="1" ht="15.95" customHeight="1" x14ac:dyDescent="0.2">
      <c r="B58" s="3">
        <v>360</v>
      </c>
      <c r="C58" s="3">
        <v>346</v>
      </c>
      <c r="D58" s="6">
        <f t="shared" si="10"/>
        <v>353</v>
      </c>
      <c r="E58" s="6"/>
      <c r="F58" s="9"/>
      <c r="G58" s="6"/>
      <c r="H58" s="6"/>
      <c r="L58" s="3">
        <v>276</v>
      </c>
    </row>
    <row r="59" spans="1:13" s="1" customFormat="1" ht="15.95" customHeight="1" x14ac:dyDescent="0.25">
      <c r="A59" s="5"/>
      <c r="B59" s="3"/>
      <c r="C59" s="3"/>
      <c r="L59" s="3">
        <v>290</v>
      </c>
    </row>
    <row r="60" spans="1:13" s="1" customFormat="1" ht="15.95" customHeight="1" x14ac:dyDescent="0.2">
      <c r="B60" s="3"/>
      <c r="C60" s="3"/>
      <c r="D60" s="6"/>
      <c r="E60" s="6"/>
      <c r="H60" s="6"/>
      <c r="L60" s="3">
        <v>321</v>
      </c>
    </row>
    <row r="61" spans="1:13" s="1" customFormat="1" ht="15.95" customHeight="1" x14ac:dyDescent="0.2">
      <c r="B61" s="3"/>
      <c r="C61" s="3"/>
      <c r="D61" s="6"/>
      <c r="E61" s="6"/>
      <c r="H61" s="6"/>
      <c r="L61" s="3">
        <v>271</v>
      </c>
    </row>
    <row r="62" spans="1:13" s="1" customFormat="1" ht="15.95" customHeight="1" x14ac:dyDescent="0.2">
      <c r="A62" s="3"/>
      <c r="B62" s="3"/>
      <c r="C62" s="3"/>
      <c r="D62" s="6"/>
      <c r="E62" s="6"/>
      <c r="F62" s="9"/>
      <c r="G62" s="6"/>
      <c r="H62" s="6"/>
      <c r="L62" s="3">
        <v>360</v>
      </c>
    </row>
    <row r="63" spans="1:13" s="1" customFormat="1" ht="15.95" customHeight="1" x14ac:dyDescent="0.25">
      <c r="A63" s="8"/>
      <c r="B63" s="3"/>
      <c r="C63" s="3"/>
      <c r="D63" s="6"/>
      <c r="E63" s="6"/>
      <c r="F63" s="9"/>
      <c r="G63" s="6"/>
      <c r="H63" s="6"/>
      <c r="L63" s="3">
        <v>346</v>
      </c>
    </row>
    <row r="64" spans="1:13" s="1" customFormat="1" ht="15.95" customHeight="1" x14ac:dyDescent="0.25">
      <c r="A64" s="8"/>
      <c r="B64" s="3"/>
      <c r="C64" s="3"/>
      <c r="D64" s="6"/>
      <c r="E64" s="6"/>
      <c r="F64" s="9"/>
      <c r="G64" s="6"/>
      <c r="H64" s="6"/>
    </row>
    <row r="65" spans="1:13" s="1" customFormat="1" ht="15.95" customHeight="1" x14ac:dyDescent="0.25">
      <c r="B65" s="20"/>
      <c r="C65" s="20"/>
      <c r="D65" s="10"/>
      <c r="E65" s="10"/>
      <c r="F65" s="5"/>
      <c r="G65" s="5"/>
      <c r="H65" s="5"/>
      <c r="I65" s="5"/>
    </row>
    <row r="66" spans="1:13" s="1" customFormat="1" ht="15.95" customHeight="1" x14ac:dyDescent="0.25">
      <c r="B66" s="3"/>
      <c r="C66" s="3"/>
      <c r="D66" s="6"/>
      <c r="E66" s="6"/>
      <c r="H66" s="6"/>
      <c r="L66" s="5"/>
      <c r="M66" s="5"/>
    </row>
    <row r="67" spans="1:13" s="1" customFormat="1" ht="15.95" customHeight="1" x14ac:dyDescent="0.25">
      <c r="B67" s="3"/>
      <c r="C67" s="3"/>
      <c r="D67" s="6"/>
      <c r="E67" s="6"/>
      <c r="H67" s="6"/>
      <c r="J67" s="10"/>
      <c r="L67" s="3"/>
      <c r="M67" s="3"/>
    </row>
    <row r="68" spans="1:13" s="1" customFormat="1" ht="15.95" customHeight="1" x14ac:dyDescent="0.2">
      <c r="A68" s="3"/>
      <c r="B68" s="3"/>
      <c r="C68" s="3"/>
      <c r="D68" s="6"/>
      <c r="E68" s="6"/>
      <c r="F68" s="9"/>
      <c r="G68" s="6"/>
      <c r="H68" s="6"/>
      <c r="J68" s="11"/>
      <c r="L68" s="3"/>
      <c r="M68" s="3"/>
    </row>
    <row r="69" spans="1:13" s="1" customFormat="1" ht="15.95" customHeight="1" x14ac:dyDescent="0.25">
      <c r="A69" s="8"/>
      <c r="B69" s="3"/>
      <c r="C69" s="3"/>
      <c r="D69" s="6"/>
      <c r="E69" s="6"/>
      <c r="F69" s="9"/>
      <c r="G69" s="6"/>
      <c r="H69" s="6"/>
      <c r="J69" s="11"/>
      <c r="L69" s="3"/>
      <c r="M69" s="3"/>
    </row>
    <row r="70" spans="1:13" s="1" customFormat="1" ht="15.95" customHeight="1" x14ac:dyDescent="0.2">
      <c r="A70" s="3"/>
      <c r="B70" s="3"/>
      <c r="C70" s="3"/>
      <c r="D70" s="6"/>
      <c r="E70" s="6"/>
      <c r="F70" s="9"/>
      <c r="G70" s="6"/>
      <c r="H70" s="6"/>
      <c r="J70" s="11"/>
      <c r="L70" s="3"/>
      <c r="M70" s="3"/>
    </row>
    <row r="71" spans="1:13" s="1" customFormat="1" ht="15.95" customHeight="1" x14ac:dyDescent="0.2">
      <c r="A71" s="3"/>
      <c r="B71" s="3"/>
      <c r="C71" s="3"/>
      <c r="D71" s="6"/>
      <c r="E71" s="6"/>
      <c r="F71" s="9"/>
      <c r="G71" s="6"/>
      <c r="H71" s="6"/>
      <c r="J71" s="11"/>
      <c r="L71" s="3"/>
      <c r="M71" s="3"/>
    </row>
    <row r="72" spans="1:13" s="1" customFormat="1" ht="15.95" customHeight="1" x14ac:dyDescent="0.2">
      <c r="A72" s="3"/>
      <c r="B72" s="3"/>
      <c r="C72" s="3"/>
      <c r="D72" s="6"/>
      <c r="E72" s="6"/>
      <c r="F72" s="9"/>
      <c r="G72" s="6"/>
      <c r="H72" s="6"/>
      <c r="J72" s="11"/>
      <c r="L72" s="3"/>
      <c r="M72" s="3"/>
    </row>
    <row r="73" spans="1:13" s="1" customFormat="1" ht="15.95" customHeight="1" x14ac:dyDescent="0.2">
      <c r="B73" s="3"/>
      <c r="C73" s="3"/>
      <c r="D73" s="6"/>
      <c r="E73" s="6"/>
      <c r="F73" s="9"/>
      <c r="G73" s="6"/>
      <c r="H73" s="6"/>
      <c r="J73" s="11"/>
      <c r="L73" s="3"/>
      <c r="M73" s="3"/>
    </row>
    <row r="74" spans="1:13" s="1" customFormat="1" ht="15.95" customHeight="1" x14ac:dyDescent="0.2">
      <c r="A74" s="3"/>
      <c r="B74" s="3"/>
      <c r="C74" s="3"/>
      <c r="D74" s="6"/>
      <c r="E74" s="6"/>
      <c r="F74" s="9"/>
      <c r="G74" s="6"/>
      <c r="H74" s="6"/>
      <c r="L74" s="3"/>
      <c r="M74" s="3"/>
    </row>
    <row r="75" spans="1:13" s="1" customFormat="1" ht="15.95" customHeight="1" x14ac:dyDescent="0.2">
      <c r="B75" s="3"/>
      <c r="C75" s="3"/>
      <c r="D75" s="6"/>
      <c r="E75" s="6"/>
      <c r="F75" s="9"/>
      <c r="G75" s="6"/>
      <c r="H75" s="6"/>
      <c r="L75" s="3"/>
    </row>
    <row r="76" spans="1:13" s="1" customFormat="1" ht="15.95" customHeight="1" x14ac:dyDescent="0.2">
      <c r="A76" s="3"/>
      <c r="B76" s="3"/>
      <c r="C76" s="3"/>
      <c r="D76" s="6"/>
      <c r="E76" s="6"/>
      <c r="F76" s="9"/>
      <c r="G76" s="6"/>
      <c r="H76" s="6"/>
      <c r="L76" s="3"/>
    </row>
    <row r="77" spans="1:13" s="1" customFormat="1" ht="15.95" customHeight="1" x14ac:dyDescent="0.2">
      <c r="B77" s="3"/>
      <c r="C77" s="3"/>
      <c r="D77" s="6"/>
      <c r="E77" s="6"/>
      <c r="F77" s="9"/>
      <c r="G77" s="6"/>
      <c r="H77" s="6"/>
      <c r="L77" s="3"/>
    </row>
    <row r="78" spans="1:13" s="1" customFormat="1" ht="15.95" customHeight="1" x14ac:dyDescent="0.25">
      <c r="A78" s="5"/>
      <c r="B78" s="3"/>
      <c r="C78" s="3"/>
      <c r="L78" s="3"/>
    </row>
    <row r="79" spans="1:13" s="1" customFormat="1" ht="15.95" customHeight="1" x14ac:dyDescent="0.2">
      <c r="B79" s="3"/>
      <c r="C79" s="3"/>
      <c r="D79" s="6"/>
      <c r="E79" s="6"/>
      <c r="H79" s="6"/>
      <c r="L79" s="3"/>
    </row>
    <row r="80" spans="1:13" s="1" customFormat="1" ht="15.95" customHeight="1" x14ac:dyDescent="0.2">
      <c r="B80" s="3"/>
      <c r="C80" s="3"/>
      <c r="D80" s="6"/>
      <c r="E80" s="6"/>
      <c r="H80" s="6"/>
      <c r="L80" s="3"/>
    </row>
    <row r="81" spans="1:12" s="1" customFormat="1" ht="15.95" customHeight="1" x14ac:dyDescent="0.2">
      <c r="A81" s="3"/>
      <c r="B81" s="3"/>
      <c r="C81" s="3"/>
      <c r="D81" s="6"/>
      <c r="E81" s="6"/>
      <c r="F81" s="9"/>
      <c r="G81" s="6"/>
      <c r="H81" s="6"/>
      <c r="L81" s="3"/>
    </row>
    <row r="82" spans="1:12" s="1" customFormat="1" ht="15.95" customHeight="1" x14ac:dyDescent="0.2">
      <c r="B82" s="3"/>
      <c r="C82" s="3"/>
      <c r="D82" s="6"/>
      <c r="E82" s="6"/>
      <c r="H82" s="6"/>
      <c r="L82" s="3"/>
    </row>
    <row r="83" spans="1:12" s="1" customFormat="1" ht="15.95" customHeight="1" x14ac:dyDescent="0.2">
      <c r="B83" s="3"/>
      <c r="C83" s="3"/>
      <c r="D83" s="6"/>
      <c r="E83" s="6"/>
      <c r="F83" s="9"/>
      <c r="G83" s="6"/>
      <c r="H83" s="6"/>
    </row>
    <row r="84" spans="1:12" ht="15.95" customHeight="1" x14ac:dyDescent="0.2">
      <c r="A84" s="3"/>
      <c r="B84" s="3"/>
      <c r="C84" s="3"/>
      <c r="D84" s="6"/>
      <c r="E84" s="6"/>
      <c r="F84" s="9"/>
      <c r="G84" s="6"/>
      <c r="H84" s="6"/>
    </row>
    <row r="85" spans="1:12" ht="15.95" customHeight="1" x14ac:dyDescent="0.2">
      <c r="A85" s="3"/>
      <c r="B85" s="3"/>
      <c r="C85" s="3"/>
      <c r="D85" s="6"/>
      <c r="E85" s="6"/>
      <c r="F85" s="9"/>
      <c r="G85" s="6"/>
      <c r="H85" s="6"/>
    </row>
    <row r="86" spans="1:12" ht="15.95" customHeight="1" x14ac:dyDescent="0.2">
      <c r="A86" s="3"/>
      <c r="B86" s="3"/>
      <c r="C86" s="3"/>
      <c r="D86" s="6"/>
      <c r="E86" s="6"/>
      <c r="F86" s="9"/>
      <c r="G86" s="6"/>
      <c r="H86" s="6"/>
    </row>
    <row r="87" spans="1:12" ht="15.95" customHeight="1" x14ac:dyDescent="0.2">
      <c r="B87" s="3"/>
      <c r="C87" s="3"/>
      <c r="D87" s="6"/>
      <c r="E87" s="6"/>
      <c r="F87" s="9"/>
      <c r="G87" s="6"/>
      <c r="H87" s="6"/>
    </row>
    <row r="88" spans="1:12" ht="15.95" customHeight="1" x14ac:dyDescent="0.2">
      <c r="A88" s="3"/>
      <c r="B88" s="3"/>
      <c r="C88" s="3"/>
      <c r="D88" s="6"/>
      <c r="E88" s="6"/>
      <c r="F88" s="9"/>
      <c r="G88" s="6"/>
      <c r="H88" s="6"/>
    </row>
    <row r="89" spans="1:12" ht="15.95" customHeight="1" x14ac:dyDescent="0.2">
      <c r="B89" s="3"/>
      <c r="C89" s="3"/>
      <c r="D89" s="6"/>
      <c r="E89" s="6"/>
      <c r="F89" s="9"/>
      <c r="G89" s="6"/>
      <c r="H89" s="6"/>
    </row>
    <row r="90" spans="1:12" ht="15.95" customHeight="1" x14ac:dyDescent="0.2">
      <c r="A90" s="3"/>
      <c r="B90" s="3"/>
      <c r="C90" s="3"/>
      <c r="D90" s="6"/>
      <c r="E90" s="6"/>
      <c r="F90" s="9"/>
      <c r="G90" s="6"/>
      <c r="H90" s="6"/>
    </row>
    <row r="91" spans="1:12" ht="15.95" customHeight="1" x14ac:dyDescent="0.2">
      <c r="B91" s="3"/>
      <c r="C91" s="3"/>
      <c r="D91" s="6"/>
      <c r="E91" s="6"/>
      <c r="F91" s="9"/>
      <c r="G91" s="6"/>
      <c r="H91" s="6"/>
    </row>
    <row r="92" spans="1:12" ht="15.95" customHeight="1" x14ac:dyDescent="0.2">
      <c r="B92" s="3"/>
      <c r="C92" s="3"/>
    </row>
    <row r="93" spans="1:12" ht="15.95" customHeight="1" x14ac:dyDescent="0.2">
      <c r="B93" s="3"/>
      <c r="C93" s="3"/>
      <c r="D93" s="6"/>
      <c r="E93" s="6"/>
      <c r="H93" s="6"/>
    </row>
    <row r="94" spans="1:12" ht="15.95" customHeight="1" x14ac:dyDescent="0.2">
      <c r="B94" s="3"/>
      <c r="C94" s="3"/>
      <c r="D94" s="6"/>
      <c r="E94" s="6"/>
      <c r="H94" s="6"/>
    </row>
    <row r="95" spans="1:12" ht="15.95" customHeight="1" x14ac:dyDescent="0.2">
      <c r="A95" s="3"/>
      <c r="B95" s="3"/>
      <c r="C95" s="3"/>
      <c r="D95" s="6"/>
      <c r="E95" s="6"/>
      <c r="F95" s="9"/>
      <c r="G95" s="6"/>
      <c r="H95" s="6"/>
    </row>
    <row r="96" spans="1:12" ht="15.95" customHeight="1" x14ac:dyDescent="0.25">
      <c r="A96" s="8"/>
      <c r="B96" s="3"/>
      <c r="C96" s="3"/>
      <c r="D96" s="6"/>
      <c r="E96" s="6"/>
      <c r="F96" s="9"/>
      <c r="G96" s="6"/>
      <c r="H96" s="6"/>
    </row>
    <row r="97" spans="1:8" ht="15.95" customHeight="1" x14ac:dyDescent="0.2">
      <c r="B97" s="3"/>
      <c r="C97" s="3"/>
      <c r="D97" s="6"/>
      <c r="E97" s="6"/>
      <c r="F97" s="9"/>
      <c r="G97" s="6"/>
      <c r="H97" s="6"/>
    </row>
    <row r="98" spans="1:8" ht="15.95" customHeight="1" x14ac:dyDescent="0.2">
      <c r="A98" s="3"/>
      <c r="B98" s="3"/>
      <c r="C98" s="3"/>
      <c r="D98" s="6"/>
      <c r="E98" s="6"/>
      <c r="F98" s="9"/>
      <c r="G98" s="6"/>
      <c r="H98" s="6"/>
    </row>
    <row r="99" spans="1:8" ht="15.95" customHeight="1" x14ac:dyDescent="0.2">
      <c r="B99" s="3"/>
      <c r="C99" s="3"/>
      <c r="D99" s="6"/>
      <c r="E99" s="6"/>
      <c r="F99" s="9"/>
      <c r="G99" s="6"/>
      <c r="H99" s="6"/>
    </row>
    <row r="100" spans="1:8" ht="15.95" customHeight="1" x14ac:dyDescent="0.2">
      <c r="B100" s="3"/>
      <c r="C100" s="3"/>
      <c r="D100" s="6"/>
      <c r="E100" s="6"/>
      <c r="F100" s="9"/>
      <c r="G100" s="6"/>
      <c r="H100" s="6"/>
    </row>
    <row r="101" spans="1:8" ht="15.95" customHeight="1" x14ac:dyDescent="0.2">
      <c r="B101" s="3"/>
      <c r="C101" s="3"/>
      <c r="D101" s="6"/>
      <c r="E101" s="6"/>
      <c r="F101" s="9"/>
      <c r="G101" s="6"/>
      <c r="H101" s="6"/>
    </row>
    <row r="102" spans="1:8" ht="15.95" customHeight="1" x14ac:dyDescent="0.2">
      <c r="B102" s="3"/>
      <c r="C102" s="3"/>
      <c r="D102" s="6"/>
      <c r="E102" s="6"/>
      <c r="F102" s="9"/>
      <c r="G102" s="6"/>
      <c r="H102" s="6"/>
    </row>
    <row r="103" spans="1:8" ht="15.95" customHeight="1" x14ac:dyDescent="0.2">
      <c r="B103" s="3"/>
      <c r="C103" s="3"/>
      <c r="D103" s="6"/>
      <c r="E103" s="6"/>
      <c r="F103" s="9"/>
      <c r="G103" s="6"/>
      <c r="H103" s="6"/>
    </row>
    <row r="104" spans="1:8" ht="15.95" customHeight="1" x14ac:dyDescent="0.2">
      <c r="B104" s="3"/>
      <c r="C104" s="3"/>
      <c r="D104" s="6"/>
      <c r="E104" s="6"/>
      <c r="F104" s="9"/>
      <c r="G104" s="6"/>
      <c r="H104" s="6"/>
    </row>
    <row r="105" spans="1:8" ht="15.95" customHeight="1" x14ac:dyDescent="0.2">
      <c r="B105" s="3"/>
      <c r="C105" s="3"/>
    </row>
    <row r="106" spans="1:8" ht="15.95" customHeight="1" x14ac:dyDescent="0.2">
      <c r="B106" s="3"/>
      <c r="C106" s="3"/>
      <c r="D106" s="6"/>
      <c r="E106" s="6"/>
      <c r="H106" s="6"/>
    </row>
    <row r="107" spans="1:8" ht="15.95" customHeight="1" x14ac:dyDescent="0.2">
      <c r="B107" s="3"/>
      <c r="C107" s="3"/>
      <c r="D107" s="6"/>
      <c r="E107" s="6"/>
      <c r="H107" s="6"/>
    </row>
    <row r="108" spans="1:8" ht="15.95" customHeight="1" x14ac:dyDescent="0.2">
      <c r="A108" s="3"/>
      <c r="B108" s="3"/>
      <c r="C108" s="3"/>
      <c r="D108" s="6"/>
      <c r="E108" s="6"/>
      <c r="F108" s="9"/>
      <c r="G108" s="6"/>
      <c r="H108" s="6"/>
    </row>
    <row r="109" spans="1:8" ht="15.95" customHeight="1" x14ac:dyDescent="0.25">
      <c r="A109" s="8"/>
      <c r="B109" s="3"/>
      <c r="C109" s="3"/>
      <c r="D109" s="6"/>
      <c r="E109" s="6"/>
      <c r="F109" s="9"/>
      <c r="G109" s="6"/>
      <c r="H109" s="6"/>
    </row>
    <row r="110" spans="1:8" ht="15.95" customHeight="1" x14ac:dyDescent="0.2">
      <c r="B110" s="3"/>
      <c r="C110" s="3"/>
      <c r="D110" s="6"/>
      <c r="E110" s="6"/>
      <c r="F110" s="9"/>
      <c r="G110" s="6"/>
      <c r="H110" s="6"/>
    </row>
    <row r="111" spans="1:8" ht="15.95" customHeight="1" x14ac:dyDescent="0.2">
      <c r="B111" s="3"/>
      <c r="C111" s="3"/>
      <c r="D111" s="6"/>
      <c r="E111" s="6"/>
      <c r="F111" s="9"/>
      <c r="G111" s="6"/>
      <c r="H111" s="6"/>
    </row>
    <row r="112" spans="1:8" ht="15.95" customHeight="1" x14ac:dyDescent="0.2">
      <c r="A112" s="3"/>
      <c r="B112" s="3"/>
      <c r="C112" s="3"/>
      <c r="D112" s="6"/>
      <c r="E112" s="6"/>
      <c r="F112" s="9"/>
      <c r="G112" s="6"/>
      <c r="H112" s="6"/>
    </row>
    <row r="113" spans="1:8" ht="15.95" customHeight="1" x14ac:dyDescent="0.2">
      <c r="B113" s="3"/>
      <c r="C113" s="3"/>
      <c r="D113" s="6"/>
      <c r="E113" s="6"/>
      <c r="F113" s="9"/>
      <c r="G113" s="6"/>
      <c r="H113" s="6"/>
    </row>
    <row r="114" spans="1:8" ht="15.95" customHeight="1" x14ac:dyDescent="0.2">
      <c r="B114" s="3"/>
      <c r="C114" s="3"/>
      <c r="D114" s="6"/>
      <c r="E114" s="6"/>
      <c r="F114" s="9"/>
      <c r="G114" s="6"/>
      <c r="H114" s="6"/>
    </row>
    <row r="115" spans="1:8" ht="15.95" customHeight="1" x14ac:dyDescent="0.2">
      <c r="B115" s="3"/>
      <c r="C115" s="3"/>
      <c r="D115" s="6"/>
      <c r="E115" s="6"/>
      <c r="F115" s="9"/>
      <c r="G115" s="6"/>
      <c r="H115" s="6"/>
    </row>
    <row r="116" spans="1:8" ht="15.95" customHeight="1" x14ac:dyDescent="0.2">
      <c r="B116" s="3"/>
      <c r="C116" s="3"/>
      <c r="D116" s="6"/>
      <c r="E116" s="6"/>
      <c r="F116" s="9"/>
      <c r="G116" s="6"/>
      <c r="H116" s="6"/>
    </row>
    <row r="117" spans="1:8" ht="15.95" customHeight="1" x14ac:dyDescent="0.2">
      <c r="A117" s="3"/>
      <c r="B117" s="3"/>
      <c r="C117" s="3"/>
      <c r="D117" s="6"/>
      <c r="E117" s="6"/>
      <c r="F117" s="9"/>
      <c r="G117" s="6"/>
      <c r="H117" s="6"/>
    </row>
    <row r="119" spans="1:8" ht="15.95" customHeight="1" x14ac:dyDescent="0.2">
      <c r="B119" s="3"/>
      <c r="C119" s="3"/>
      <c r="D119" s="6"/>
      <c r="E119" s="6"/>
      <c r="H119" s="6"/>
    </row>
    <row r="120" spans="1:8" ht="15.95" customHeight="1" x14ac:dyDescent="0.2">
      <c r="B120" s="3"/>
      <c r="C120" s="3"/>
      <c r="D120" s="6"/>
      <c r="E120" s="6"/>
      <c r="H120" s="6"/>
    </row>
    <row r="121" spans="1:8" ht="15.95" customHeight="1" x14ac:dyDescent="0.2">
      <c r="B121" s="3"/>
      <c r="C121" s="3"/>
      <c r="D121" s="6"/>
      <c r="E121" s="6"/>
      <c r="F121" s="9"/>
      <c r="G121" s="6"/>
      <c r="H121" s="6"/>
    </row>
    <row r="122" spans="1:8" ht="15.95" customHeight="1" x14ac:dyDescent="0.2">
      <c r="B122" s="3"/>
      <c r="C122" s="3"/>
      <c r="D122" s="6"/>
      <c r="E122" s="6"/>
      <c r="F122" s="9"/>
      <c r="G122" s="6"/>
      <c r="H122" s="6"/>
    </row>
    <row r="123" spans="1:8" ht="15.95" customHeight="1" x14ac:dyDescent="0.2">
      <c r="B123" s="3"/>
      <c r="C123" s="3"/>
      <c r="D123" s="6"/>
      <c r="E123" s="6"/>
      <c r="F123" s="9"/>
      <c r="G123" s="6"/>
      <c r="H123" s="6"/>
    </row>
    <row r="124" spans="1:8" ht="15.95" customHeight="1" x14ac:dyDescent="0.2">
      <c r="B124" s="3"/>
      <c r="C124" s="3"/>
      <c r="D124" s="6"/>
      <c r="E124" s="6"/>
      <c r="F124" s="9"/>
      <c r="G124" s="6"/>
      <c r="H124" s="6"/>
    </row>
    <row r="125" spans="1:8" ht="15.95" customHeight="1" x14ac:dyDescent="0.2">
      <c r="B125" s="3"/>
      <c r="C125" s="3"/>
      <c r="D125" s="6"/>
      <c r="E125" s="6"/>
      <c r="F125" s="9"/>
      <c r="G125" s="6"/>
      <c r="H125" s="6"/>
    </row>
    <row r="126" spans="1:8" ht="15.95" customHeight="1" x14ac:dyDescent="0.2">
      <c r="B126" s="3"/>
      <c r="C126" s="3"/>
      <c r="D126" s="6"/>
      <c r="E126" s="6"/>
      <c r="F126" s="9"/>
      <c r="G126" s="6"/>
      <c r="H126" s="6"/>
    </row>
    <row r="127" spans="1:8" ht="15.95" customHeight="1" x14ac:dyDescent="0.2">
      <c r="B127" s="3"/>
      <c r="C127" s="3"/>
      <c r="D127" s="6"/>
      <c r="E127" s="6"/>
      <c r="F127" s="9"/>
      <c r="G127" s="6"/>
      <c r="H127" s="6"/>
    </row>
    <row r="128" spans="1:8" ht="15.95" customHeight="1" x14ac:dyDescent="0.2">
      <c r="B128" s="3"/>
      <c r="C128" s="3"/>
      <c r="D128" s="6"/>
      <c r="E128" s="6"/>
      <c r="F128" s="9"/>
      <c r="G128" s="6"/>
      <c r="H128" s="6"/>
    </row>
    <row r="129" spans="1:8" ht="15.95" customHeight="1" x14ac:dyDescent="0.2">
      <c r="B129" s="3"/>
      <c r="C129" s="3"/>
      <c r="D129" s="6"/>
      <c r="E129" s="6"/>
      <c r="F129" s="9"/>
      <c r="G129" s="6"/>
      <c r="H129" s="6"/>
    </row>
    <row r="130" spans="1:8" ht="15.95" customHeight="1" x14ac:dyDescent="0.2">
      <c r="B130" s="3"/>
      <c r="C130" s="3"/>
      <c r="D130" s="6"/>
      <c r="E130" s="6"/>
      <c r="F130" s="9"/>
      <c r="G130" s="6"/>
      <c r="H130" s="6"/>
    </row>
    <row r="131" spans="1:8" ht="15.95" customHeight="1" x14ac:dyDescent="0.2">
      <c r="B131" s="3"/>
      <c r="C131" s="3"/>
    </row>
    <row r="132" spans="1:8" ht="15.95" customHeight="1" x14ac:dyDescent="0.2">
      <c r="B132" s="3"/>
      <c r="C132" s="3"/>
      <c r="D132" s="6"/>
      <c r="E132" s="6"/>
      <c r="H132" s="6"/>
    </row>
    <row r="133" spans="1:8" ht="15.95" customHeight="1" x14ac:dyDescent="0.2">
      <c r="B133" s="3"/>
      <c r="C133" s="3"/>
      <c r="D133" s="6"/>
      <c r="E133" s="6"/>
      <c r="H133" s="6"/>
    </row>
    <row r="134" spans="1:8" ht="15.95" customHeight="1" x14ac:dyDescent="0.2">
      <c r="A134" s="3"/>
      <c r="B134" s="3"/>
      <c r="C134" s="3"/>
      <c r="D134" s="6"/>
      <c r="E134" s="6"/>
      <c r="F134" s="9"/>
      <c r="G134" s="6"/>
      <c r="H134" s="6"/>
    </row>
    <row r="135" spans="1:8" ht="15.95" customHeight="1" x14ac:dyDescent="0.2">
      <c r="B135" s="3"/>
      <c r="C135" s="3"/>
      <c r="D135" s="6"/>
      <c r="E135" s="6"/>
      <c r="F135" s="9"/>
      <c r="G135" s="6"/>
      <c r="H135" s="6"/>
    </row>
    <row r="136" spans="1:8" ht="15.95" customHeight="1" x14ac:dyDescent="0.2">
      <c r="A136" s="3"/>
      <c r="B136" s="3"/>
      <c r="C136" s="3"/>
      <c r="D136" s="6"/>
      <c r="E136" s="6"/>
      <c r="F136" s="9"/>
      <c r="G136" s="6"/>
      <c r="H136" s="6"/>
    </row>
    <row r="137" spans="1:8" ht="15.95" customHeight="1" x14ac:dyDescent="0.2">
      <c r="B137" s="3"/>
      <c r="C137" s="3"/>
      <c r="D137" s="6"/>
      <c r="E137" s="6"/>
      <c r="F137" s="9"/>
      <c r="G137" s="6"/>
      <c r="H137" s="6"/>
    </row>
    <row r="138" spans="1:8" ht="15.95" customHeight="1" x14ac:dyDescent="0.2">
      <c r="B138" s="3"/>
      <c r="C138" s="3"/>
      <c r="D138" s="6"/>
      <c r="E138" s="6"/>
      <c r="F138" s="9"/>
      <c r="G138" s="6"/>
      <c r="H138" s="6"/>
    </row>
    <row r="139" spans="1:8" ht="15.95" customHeight="1" x14ac:dyDescent="0.2">
      <c r="B139" s="3"/>
      <c r="C139" s="3"/>
      <c r="D139" s="6"/>
      <c r="E139" s="6"/>
      <c r="F139" s="9"/>
      <c r="G139" s="6"/>
      <c r="H139" s="6"/>
    </row>
    <row r="140" spans="1:8" ht="15.95" customHeight="1" x14ac:dyDescent="0.2">
      <c r="B140" s="3"/>
      <c r="C140" s="3"/>
      <c r="D140" s="6"/>
      <c r="E140" s="6"/>
      <c r="F140" s="9"/>
      <c r="G140" s="6"/>
      <c r="H140" s="6"/>
    </row>
    <row r="141" spans="1:8" ht="15.95" customHeight="1" x14ac:dyDescent="0.2">
      <c r="B141" s="3"/>
      <c r="C141" s="3"/>
      <c r="D141" s="6"/>
      <c r="E141" s="6"/>
      <c r="F141" s="9"/>
      <c r="G141" s="6"/>
      <c r="H141" s="6"/>
    </row>
    <row r="142" spans="1:8" ht="15.95" customHeight="1" x14ac:dyDescent="0.2">
      <c r="B142" s="3"/>
      <c r="C142" s="3"/>
      <c r="D142" s="6"/>
      <c r="E142" s="6"/>
      <c r="F142" s="9"/>
      <c r="G142" s="6"/>
      <c r="H142" s="6"/>
    </row>
    <row r="143" spans="1:8" ht="15.95" customHeight="1" x14ac:dyDescent="0.2">
      <c r="B143" s="3"/>
      <c r="C143" s="3"/>
      <c r="D143" s="6"/>
      <c r="E143" s="6"/>
      <c r="F143" s="9"/>
      <c r="G143" s="6"/>
      <c r="H143" s="6"/>
    </row>
    <row r="144" spans="1:8" ht="15.95" customHeight="1" x14ac:dyDescent="0.2">
      <c r="B144" s="3"/>
      <c r="C144" s="3"/>
    </row>
    <row r="145" spans="1:8" ht="15.95" customHeight="1" x14ac:dyDescent="0.2">
      <c r="B145" s="3"/>
      <c r="C145" s="3"/>
      <c r="D145" s="6"/>
      <c r="E145" s="6"/>
      <c r="H145" s="6"/>
    </row>
    <row r="146" spans="1:8" ht="15.95" customHeight="1" x14ac:dyDescent="0.2">
      <c r="B146" s="3"/>
      <c r="C146" s="3"/>
      <c r="D146" s="6"/>
      <c r="E146" s="6"/>
      <c r="H146" s="6"/>
    </row>
    <row r="147" spans="1:8" ht="15.95" customHeight="1" x14ac:dyDescent="0.2">
      <c r="A147" s="3"/>
      <c r="B147" s="3"/>
      <c r="C147" s="3"/>
      <c r="D147" s="6"/>
      <c r="E147" s="6"/>
      <c r="F147" s="9"/>
      <c r="G147" s="6"/>
      <c r="H147" s="6"/>
    </row>
    <row r="148" spans="1:8" ht="15.95" customHeight="1" x14ac:dyDescent="0.2">
      <c r="B148" s="3"/>
      <c r="C148" s="3"/>
      <c r="D148" s="6"/>
      <c r="E148" s="6"/>
      <c r="F148" s="9"/>
      <c r="G148" s="6"/>
      <c r="H148" s="6"/>
    </row>
    <row r="149" spans="1:8" ht="15.95" customHeight="1" x14ac:dyDescent="0.2">
      <c r="B149" s="3"/>
      <c r="C149" s="3"/>
      <c r="D149" s="6"/>
      <c r="E149" s="6"/>
      <c r="F149" s="9"/>
      <c r="G149" s="6"/>
      <c r="H149" s="6"/>
    </row>
    <row r="150" spans="1:8" ht="15.95" customHeight="1" x14ac:dyDescent="0.2">
      <c r="A150" s="3"/>
      <c r="B150" s="3"/>
      <c r="C150" s="3"/>
      <c r="D150" s="6"/>
      <c r="E150" s="6"/>
      <c r="F150" s="9"/>
      <c r="G150" s="6"/>
      <c r="H150" s="6"/>
    </row>
    <row r="151" spans="1:8" ht="15.95" customHeight="1" x14ac:dyDescent="0.2">
      <c r="B151" s="3"/>
      <c r="C151" s="3"/>
      <c r="D151" s="6"/>
      <c r="E151" s="6"/>
      <c r="F151" s="9"/>
      <c r="G151" s="6"/>
      <c r="H151" s="6"/>
    </row>
    <row r="152" spans="1:8" ht="15.95" customHeight="1" x14ac:dyDescent="0.2">
      <c r="B152" s="3"/>
      <c r="C152" s="3"/>
      <c r="D152" s="6"/>
      <c r="E152" s="6"/>
      <c r="F152" s="9"/>
      <c r="G152" s="6"/>
      <c r="H152" s="6"/>
    </row>
    <row r="153" spans="1:8" ht="15.95" customHeight="1" x14ac:dyDescent="0.2">
      <c r="B153" s="3"/>
      <c r="C153" s="3"/>
      <c r="D153" s="6"/>
      <c r="E153" s="6"/>
      <c r="F153" s="9"/>
      <c r="G153" s="6"/>
      <c r="H153" s="6"/>
    </row>
    <row r="154" spans="1:8" ht="15.95" customHeight="1" x14ac:dyDescent="0.2">
      <c r="B154" s="3"/>
      <c r="C154" s="3"/>
      <c r="D154" s="6"/>
      <c r="E154" s="6"/>
      <c r="F154" s="9"/>
      <c r="G154" s="6"/>
      <c r="H154" s="6"/>
    </row>
    <row r="155" spans="1:8" ht="15.95" customHeight="1" x14ac:dyDescent="0.2">
      <c r="B155" s="3"/>
      <c r="C155" s="3"/>
      <c r="D155" s="6"/>
      <c r="E155" s="6"/>
      <c r="F155" s="9"/>
      <c r="G155" s="6"/>
      <c r="H155" s="6"/>
    </row>
    <row r="156" spans="1:8" ht="15.95" customHeight="1" x14ac:dyDescent="0.2">
      <c r="B156" s="3"/>
      <c r="C156" s="3"/>
      <c r="D156" s="6"/>
      <c r="E156" s="6"/>
      <c r="F156" s="9"/>
      <c r="G156" s="6"/>
      <c r="H156" s="6"/>
    </row>
    <row r="157" spans="1:8" ht="15.95" customHeight="1" x14ac:dyDescent="0.2">
      <c r="B157" s="3"/>
      <c r="C157" s="3"/>
    </row>
    <row r="158" spans="1:8" ht="15.95" customHeight="1" x14ac:dyDescent="0.2">
      <c r="B158" s="3"/>
      <c r="C158" s="3"/>
      <c r="D158" s="6"/>
      <c r="E158" s="6"/>
      <c r="H158" s="6"/>
    </row>
    <row r="159" spans="1:8" ht="15.95" customHeight="1" x14ac:dyDescent="0.2">
      <c r="B159" s="3"/>
      <c r="C159" s="3"/>
      <c r="D159" s="6"/>
      <c r="E159" s="6"/>
      <c r="H159" s="6"/>
    </row>
    <row r="160" spans="1:8" ht="15.95" customHeight="1" x14ac:dyDescent="0.2">
      <c r="B160" s="3"/>
      <c r="C160" s="3"/>
      <c r="D160" s="6"/>
      <c r="E160" s="6"/>
      <c r="F160" s="9"/>
      <c r="G160" s="6"/>
      <c r="H160" s="6"/>
    </row>
    <row r="161" spans="1:8" ht="15.95" customHeight="1" x14ac:dyDescent="0.2">
      <c r="A161" s="3"/>
      <c r="B161" s="3"/>
      <c r="C161" s="3"/>
      <c r="D161" s="6"/>
      <c r="E161" s="6"/>
      <c r="F161" s="9"/>
      <c r="G161" s="6"/>
      <c r="H161" s="6"/>
    </row>
    <row r="162" spans="1:8" ht="15.95" customHeight="1" x14ac:dyDescent="0.2">
      <c r="B162" s="3"/>
      <c r="C162" s="3"/>
      <c r="D162" s="6"/>
      <c r="E162" s="6"/>
      <c r="F162" s="9"/>
      <c r="G162" s="6"/>
      <c r="H162" s="6"/>
    </row>
    <row r="163" spans="1:8" ht="15.95" customHeight="1" x14ac:dyDescent="0.2">
      <c r="B163" s="3"/>
      <c r="C163" s="3"/>
      <c r="D163" s="6"/>
      <c r="E163" s="6"/>
      <c r="F163" s="9"/>
      <c r="G163" s="6"/>
      <c r="H163" s="6"/>
    </row>
    <row r="164" spans="1:8" ht="15.95" customHeight="1" x14ac:dyDescent="0.2">
      <c r="A164" s="3"/>
      <c r="B164" s="3"/>
      <c r="C164" s="3"/>
      <c r="D164" s="6"/>
      <c r="E164" s="6"/>
      <c r="F164" s="9"/>
      <c r="G164" s="6"/>
      <c r="H164" s="6"/>
    </row>
    <row r="165" spans="1:8" ht="15.95" customHeight="1" x14ac:dyDescent="0.2">
      <c r="A165" s="3"/>
      <c r="B165" s="3"/>
      <c r="C165" s="3"/>
      <c r="D165" s="6"/>
      <c r="E165" s="6"/>
      <c r="F165" s="9"/>
      <c r="G165" s="6"/>
      <c r="H165" s="6"/>
    </row>
    <row r="166" spans="1:8" ht="15.95" customHeight="1" x14ac:dyDescent="0.2">
      <c r="B166" s="3"/>
      <c r="C166" s="3"/>
      <c r="D166" s="6"/>
      <c r="E166" s="6"/>
      <c r="F166" s="9"/>
      <c r="G166" s="6"/>
      <c r="H166" s="6"/>
    </row>
    <row r="167" spans="1:8" ht="15.95" customHeight="1" x14ac:dyDescent="0.2">
      <c r="B167" s="3"/>
      <c r="C167" s="3"/>
      <c r="D167" s="6"/>
      <c r="E167" s="6"/>
      <c r="F167" s="9"/>
      <c r="G167" s="6"/>
      <c r="H167" s="6"/>
    </row>
    <row r="168" spans="1:8" ht="15.95" customHeight="1" x14ac:dyDescent="0.2">
      <c r="B168" s="3"/>
      <c r="C168" s="3"/>
      <c r="D168" s="6"/>
      <c r="E168" s="6"/>
      <c r="F168" s="9"/>
      <c r="G168" s="6"/>
      <c r="H168" s="6"/>
    </row>
    <row r="169" spans="1:8" ht="15.95" customHeight="1" x14ac:dyDescent="0.2">
      <c r="A169" s="3"/>
      <c r="B169" s="3"/>
      <c r="C169" s="3"/>
      <c r="D169" s="6"/>
      <c r="E169" s="6"/>
      <c r="F169" s="9"/>
      <c r="G169" s="6"/>
      <c r="H169" s="6"/>
    </row>
    <row r="171" spans="1:8" ht="15.95" customHeight="1" x14ac:dyDescent="0.2">
      <c r="B171" s="3"/>
      <c r="C171" s="3"/>
      <c r="D171" s="6"/>
      <c r="E171" s="6"/>
      <c r="H171" s="6"/>
    </row>
    <row r="172" spans="1:8" ht="15.95" customHeight="1" x14ac:dyDescent="0.2">
      <c r="B172" s="3"/>
      <c r="C172" s="3"/>
      <c r="D172" s="6"/>
      <c r="E172" s="6"/>
      <c r="H172" s="6"/>
    </row>
    <row r="173" spans="1:8" ht="15.95" customHeight="1" x14ac:dyDescent="0.2">
      <c r="B173" s="3"/>
      <c r="C173" s="3"/>
      <c r="D173" s="6"/>
      <c r="E173" s="6"/>
      <c r="F173" s="9"/>
      <c r="G173" s="6"/>
      <c r="H173" s="6"/>
    </row>
    <row r="174" spans="1:8" ht="15.95" customHeight="1" x14ac:dyDescent="0.2">
      <c r="B174" s="3"/>
      <c r="C174" s="3"/>
      <c r="D174" s="6"/>
      <c r="E174" s="6"/>
      <c r="F174" s="9"/>
      <c r="G174" s="6"/>
      <c r="H174" s="6"/>
    </row>
    <row r="175" spans="1:8" ht="15.95" customHeight="1" x14ac:dyDescent="0.2">
      <c r="B175" s="3"/>
      <c r="C175" s="3"/>
      <c r="D175" s="6"/>
      <c r="E175" s="6"/>
      <c r="F175" s="9"/>
      <c r="G175" s="6"/>
      <c r="H175" s="6"/>
    </row>
    <row r="176" spans="1:8" ht="15.95" customHeight="1" x14ac:dyDescent="0.2">
      <c r="B176" s="3"/>
      <c r="C176" s="3"/>
      <c r="D176" s="6"/>
      <c r="E176" s="6"/>
      <c r="F176" s="9"/>
      <c r="G176" s="6"/>
      <c r="H176" s="6"/>
    </row>
    <row r="177" spans="2:8" ht="15.95" customHeight="1" x14ac:dyDescent="0.2">
      <c r="B177" s="3"/>
      <c r="C177" s="3"/>
      <c r="D177" s="6"/>
      <c r="E177" s="6"/>
      <c r="F177" s="9"/>
      <c r="G177" s="6"/>
      <c r="H177" s="6"/>
    </row>
    <row r="178" spans="2:8" ht="15.95" customHeight="1" x14ac:dyDescent="0.2">
      <c r="B178" s="3"/>
      <c r="C178" s="3"/>
      <c r="D178" s="6"/>
      <c r="E178" s="6"/>
      <c r="F178" s="9"/>
      <c r="G178" s="6"/>
      <c r="H178" s="6"/>
    </row>
    <row r="179" spans="2:8" ht="15.95" customHeight="1" x14ac:dyDescent="0.2">
      <c r="B179" s="3"/>
      <c r="C179" s="3"/>
      <c r="D179" s="6"/>
      <c r="E179" s="6"/>
      <c r="F179" s="9"/>
      <c r="G179" s="6"/>
      <c r="H179" s="6"/>
    </row>
    <row r="180" spans="2:8" ht="15.95" customHeight="1" x14ac:dyDescent="0.2">
      <c r="B180" s="3"/>
      <c r="C180" s="3"/>
      <c r="D180" s="6"/>
      <c r="E180" s="6"/>
      <c r="F180" s="9"/>
      <c r="G180" s="6"/>
      <c r="H180" s="6"/>
    </row>
    <row r="181" spans="2:8" ht="15.95" customHeight="1" x14ac:dyDescent="0.2">
      <c r="B181" s="3"/>
      <c r="C181" s="3"/>
      <c r="D181" s="6"/>
      <c r="E181" s="6"/>
      <c r="F181" s="9"/>
      <c r="G181" s="6"/>
      <c r="H181" s="6"/>
    </row>
    <row r="182" spans="2:8" ht="15.95" customHeight="1" x14ac:dyDescent="0.2">
      <c r="B182" s="3"/>
      <c r="C182" s="3"/>
      <c r="D182" s="6"/>
      <c r="E182" s="6"/>
      <c r="F182" s="9"/>
      <c r="G182" s="6"/>
      <c r="H182" s="6"/>
    </row>
    <row r="183" spans="2:8" ht="15.95" customHeight="1" x14ac:dyDescent="0.2">
      <c r="B183" s="3"/>
      <c r="C183" s="3"/>
    </row>
    <row r="184" spans="2:8" ht="15.95" customHeight="1" x14ac:dyDescent="0.2">
      <c r="B184" s="3"/>
      <c r="C184" s="3"/>
      <c r="D184" s="6"/>
      <c r="E184" s="6"/>
      <c r="H184" s="6"/>
    </row>
    <row r="185" spans="2:8" ht="15.95" customHeight="1" x14ac:dyDescent="0.2">
      <c r="B185" s="3"/>
      <c r="C185" s="3"/>
      <c r="D185" s="6"/>
      <c r="E185" s="6"/>
      <c r="H185" s="6"/>
    </row>
    <row r="186" spans="2:8" ht="15.95" customHeight="1" x14ac:dyDescent="0.2">
      <c r="B186" s="3"/>
      <c r="C186" s="3"/>
      <c r="D186" s="6"/>
      <c r="E186" s="6"/>
      <c r="F186" s="9"/>
      <c r="G186" s="6"/>
      <c r="H186" s="6"/>
    </row>
    <row r="187" spans="2:8" ht="15.95" customHeight="1" x14ac:dyDescent="0.2">
      <c r="B187" s="3"/>
      <c r="C187" s="3"/>
      <c r="D187" s="6"/>
      <c r="E187" s="6"/>
      <c r="F187" s="9"/>
      <c r="G187" s="6"/>
      <c r="H187" s="6"/>
    </row>
    <row r="188" spans="2:8" ht="15.95" customHeight="1" x14ac:dyDescent="0.2">
      <c r="B188" s="3"/>
      <c r="C188" s="3"/>
      <c r="D188" s="6"/>
      <c r="E188" s="6"/>
      <c r="F188" s="9"/>
      <c r="G188" s="6"/>
      <c r="H188" s="6"/>
    </row>
    <row r="189" spans="2:8" ht="15.95" customHeight="1" x14ac:dyDescent="0.2">
      <c r="B189" s="3"/>
      <c r="C189" s="3"/>
      <c r="D189" s="6"/>
      <c r="E189" s="6"/>
      <c r="F189" s="9"/>
      <c r="G189" s="6"/>
      <c r="H189" s="6"/>
    </row>
    <row r="190" spans="2:8" ht="15.95" customHeight="1" x14ac:dyDescent="0.2">
      <c r="B190" s="3"/>
      <c r="C190" s="3"/>
      <c r="D190" s="6"/>
      <c r="E190" s="6"/>
      <c r="F190" s="9"/>
      <c r="G190" s="6"/>
      <c r="H190" s="6"/>
    </row>
    <row r="191" spans="2:8" ht="15.95" customHeight="1" x14ac:dyDescent="0.2">
      <c r="B191" s="3"/>
      <c r="C191" s="3"/>
      <c r="D191" s="6"/>
      <c r="E191" s="6"/>
      <c r="F191" s="9"/>
      <c r="G191" s="6"/>
      <c r="H191" s="6"/>
    </row>
    <row r="192" spans="2:8" ht="15.95" customHeight="1" x14ac:dyDescent="0.2">
      <c r="B192" s="3"/>
      <c r="C192" s="3"/>
      <c r="D192" s="6"/>
      <c r="E192" s="6"/>
      <c r="F192" s="9"/>
      <c r="G192" s="6"/>
      <c r="H192" s="6"/>
    </row>
    <row r="193" spans="1:8" ht="15.95" customHeight="1" x14ac:dyDescent="0.2">
      <c r="B193" s="3"/>
      <c r="C193" s="3"/>
      <c r="D193" s="6"/>
      <c r="E193" s="6"/>
      <c r="F193" s="9"/>
      <c r="G193" s="6"/>
      <c r="H193" s="6"/>
    </row>
    <row r="194" spans="1:8" ht="15.95" customHeight="1" x14ac:dyDescent="0.2">
      <c r="B194" s="3"/>
      <c r="C194" s="3"/>
      <c r="D194" s="6"/>
      <c r="E194" s="6"/>
      <c r="F194" s="9"/>
      <c r="G194" s="6"/>
      <c r="H194" s="6"/>
    </row>
    <row r="195" spans="1:8" ht="15.95" customHeight="1" x14ac:dyDescent="0.2">
      <c r="B195" s="3"/>
      <c r="C195" s="3"/>
      <c r="D195" s="6"/>
      <c r="E195" s="6"/>
      <c r="F195" s="9"/>
      <c r="G195" s="6"/>
      <c r="H195" s="6"/>
    </row>
    <row r="196" spans="1:8" ht="15.95" customHeight="1" x14ac:dyDescent="0.2">
      <c r="B196" s="3"/>
      <c r="C196" s="3"/>
    </row>
    <row r="197" spans="1:8" ht="15.95" customHeight="1" x14ac:dyDescent="0.2">
      <c r="B197" s="3"/>
      <c r="C197" s="3"/>
      <c r="D197" s="6"/>
      <c r="E197" s="6"/>
      <c r="H197" s="6"/>
    </row>
    <row r="198" spans="1:8" ht="15.95" customHeight="1" x14ac:dyDescent="0.2">
      <c r="B198" s="3"/>
      <c r="C198" s="3"/>
      <c r="D198" s="6"/>
      <c r="E198" s="6"/>
      <c r="H198" s="6"/>
    </row>
    <row r="199" spans="1:8" ht="15.95" customHeight="1" x14ac:dyDescent="0.2">
      <c r="B199" s="3"/>
      <c r="C199" s="3"/>
      <c r="D199" s="6"/>
      <c r="E199" s="6"/>
      <c r="F199" s="9"/>
      <c r="G199" s="6"/>
      <c r="H199" s="6"/>
    </row>
    <row r="200" spans="1:8" ht="15.95" customHeight="1" x14ac:dyDescent="0.2">
      <c r="B200" s="3"/>
      <c r="C200" s="3"/>
      <c r="D200" s="6"/>
      <c r="E200" s="6"/>
      <c r="F200" s="9"/>
      <c r="G200" s="6"/>
      <c r="H200" s="6"/>
    </row>
    <row r="201" spans="1:8" ht="15.95" customHeight="1" x14ac:dyDescent="0.2">
      <c r="B201" s="3"/>
      <c r="C201" s="3"/>
      <c r="D201" s="6"/>
      <c r="E201" s="6"/>
      <c r="F201" s="9"/>
      <c r="G201" s="6"/>
      <c r="H201" s="6"/>
    </row>
    <row r="202" spans="1:8" ht="15.95" customHeight="1" x14ac:dyDescent="0.2">
      <c r="A202" s="3"/>
      <c r="B202" s="3"/>
      <c r="C202" s="3"/>
      <c r="D202" s="6"/>
      <c r="E202" s="6"/>
      <c r="F202" s="9"/>
      <c r="G202" s="6"/>
      <c r="H202" s="6"/>
    </row>
    <row r="203" spans="1:8" ht="15.95" customHeight="1" x14ac:dyDescent="0.2">
      <c r="B203" s="3"/>
      <c r="C203" s="3"/>
      <c r="D203" s="6"/>
      <c r="E203" s="6"/>
      <c r="F203" s="9"/>
      <c r="G203" s="6"/>
      <c r="H203" s="6"/>
    </row>
    <row r="204" spans="1:8" ht="15.95" customHeight="1" x14ac:dyDescent="0.2">
      <c r="B204" s="3"/>
      <c r="C204" s="3"/>
      <c r="D204" s="6"/>
      <c r="E204" s="6"/>
      <c r="F204" s="9"/>
      <c r="G204" s="6"/>
      <c r="H204" s="6"/>
    </row>
    <row r="205" spans="1:8" ht="15.95" customHeight="1" x14ac:dyDescent="0.2">
      <c r="B205" s="3"/>
      <c r="C205" s="3"/>
      <c r="D205" s="6"/>
      <c r="E205" s="6"/>
      <c r="F205" s="9"/>
      <c r="G205" s="6"/>
      <c r="H205" s="6"/>
    </row>
    <row r="206" spans="1:8" ht="15.95" customHeight="1" x14ac:dyDescent="0.2">
      <c r="B206" s="3"/>
      <c r="C206" s="3"/>
      <c r="D206" s="6"/>
      <c r="E206" s="6"/>
      <c r="F206" s="9"/>
      <c r="G206" s="6"/>
      <c r="H206" s="6"/>
    </row>
    <row r="207" spans="1:8" ht="15.95" customHeight="1" x14ac:dyDescent="0.2">
      <c r="B207" s="3"/>
      <c r="C207" s="3"/>
      <c r="D207" s="6"/>
      <c r="E207" s="6"/>
      <c r="F207" s="9"/>
      <c r="G207" s="6"/>
      <c r="H207" s="6"/>
    </row>
    <row r="208" spans="1:8" ht="15.95" customHeight="1" x14ac:dyDescent="0.2">
      <c r="B208" s="3"/>
      <c r="C208" s="3"/>
      <c r="D208" s="6"/>
      <c r="E208" s="6"/>
      <c r="F208" s="9"/>
      <c r="G208" s="6"/>
      <c r="H208" s="6"/>
    </row>
    <row r="209" spans="1:8" ht="15.95" customHeight="1" x14ac:dyDescent="0.2">
      <c r="B209" s="3"/>
      <c r="C209" s="3"/>
    </row>
    <row r="210" spans="1:8" ht="15.95" customHeight="1" x14ac:dyDescent="0.2">
      <c r="B210" s="3"/>
      <c r="C210" s="3"/>
      <c r="D210" s="6"/>
      <c r="E210" s="6"/>
      <c r="H210" s="6"/>
    </row>
    <row r="211" spans="1:8" ht="15.95" customHeight="1" x14ac:dyDescent="0.2">
      <c r="B211" s="3"/>
      <c r="C211" s="3"/>
      <c r="D211" s="6"/>
      <c r="E211" s="6"/>
      <c r="H211" s="6"/>
    </row>
    <row r="212" spans="1:8" ht="15.95" customHeight="1" x14ac:dyDescent="0.2">
      <c r="B212" s="3"/>
      <c r="C212" s="3"/>
      <c r="D212" s="6"/>
      <c r="E212" s="6"/>
      <c r="F212" s="9"/>
      <c r="G212" s="6"/>
      <c r="H212" s="6"/>
    </row>
    <row r="213" spans="1:8" ht="15.95" customHeight="1" x14ac:dyDescent="0.2">
      <c r="B213" s="3"/>
      <c r="C213" s="3"/>
      <c r="D213" s="6"/>
      <c r="E213" s="6"/>
      <c r="F213" s="9"/>
      <c r="G213" s="6"/>
      <c r="H213" s="6"/>
    </row>
    <row r="214" spans="1:8" ht="15.95" customHeight="1" x14ac:dyDescent="0.2">
      <c r="B214" s="3"/>
      <c r="C214" s="3"/>
      <c r="D214" s="6"/>
      <c r="E214" s="6"/>
      <c r="F214" s="9"/>
      <c r="G214" s="6"/>
      <c r="H214" s="6"/>
    </row>
    <row r="215" spans="1:8" ht="15.95" customHeight="1" x14ac:dyDescent="0.2">
      <c r="B215" s="3"/>
      <c r="C215" s="3"/>
      <c r="D215" s="6"/>
      <c r="E215" s="6"/>
      <c r="F215" s="9"/>
      <c r="G215" s="6"/>
      <c r="H215" s="6"/>
    </row>
    <row r="216" spans="1:8" ht="15.95" customHeight="1" x14ac:dyDescent="0.2">
      <c r="B216" s="3"/>
      <c r="C216" s="3"/>
      <c r="D216" s="6"/>
      <c r="E216" s="6"/>
      <c r="F216" s="9"/>
      <c r="G216" s="6"/>
      <c r="H216" s="6"/>
    </row>
    <row r="217" spans="1:8" ht="15.95" customHeight="1" x14ac:dyDescent="0.2">
      <c r="B217" s="3"/>
      <c r="C217" s="3"/>
      <c r="D217" s="6"/>
      <c r="E217" s="6"/>
      <c r="F217" s="9"/>
      <c r="G217" s="6"/>
      <c r="H217" s="6"/>
    </row>
    <row r="218" spans="1:8" ht="15.95" customHeight="1" x14ac:dyDescent="0.2">
      <c r="B218" s="3"/>
      <c r="C218" s="3"/>
      <c r="D218" s="6"/>
      <c r="E218" s="6"/>
      <c r="F218" s="9"/>
      <c r="G218" s="6"/>
      <c r="H218" s="6"/>
    </row>
    <row r="219" spans="1:8" ht="15.95" customHeight="1" x14ac:dyDescent="0.2">
      <c r="B219" s="3"/>
      <c r="C219" s="3"/>
      <c r="D219" s="6"/>
      <c r="E219" s="6"/>
      <c r="F219" s="9"/>
      <c r="G219" s="6"/>
      <c r="H219" s="6"/>
    </row>
    <row r="220" spans="1:8" ht="15.95" customHeight="1" x14ac:dyDescent="0.2">
      <c r="B220" s="3"/>
      <c r="C220" s="3"/>
      <c r="D220" s="6"/>
      <c r="E220" s="6"/>
      <c r="F220" s="9"/>
      <c r="G220" s="6"/>
      <c r="H220" s="6"/>
    </row>
    <row r="221" spans="1:8" ht="15.95" customHeight="1" x14ac:dyDescent="0.2">
      <c r="A221" s="3"/>
      <c r="B221" s="3"/>
      <c r="C221" s="3"/>
      <c r="D221" s="6"/>
      <c r="E221" s="6"/>
      <c r="F221" s="9"/>
      <c r="G221" s="6"/>
      <c r="H221" s="6"/>
    </row>
    <row r="222" spans="1:8" ht="15.95" customHeight="1" x14ac:dyDescent="0.2">
      <c r="H222" s="16"/>
    </row>
    <row r="223" spans="1:8" ht="15.95" customHeight="1" x14ac:dyDescent="0.2">
      <c r="D223" s="6"/>
      <c r="E223" s="6"/>
      <c r="H223" s="6"/>
    </row>
    <row r="224" spans="1:8" ht="15.95" customHeight="1" x14ac:dyDescent="0.2">
      <c r="D224" s="6"/>
      <c r="E224" s="6"/>
      <c r="H224" s="6"/>
    </row>
    <row r="225" spans="4:8" ht="15.95" customHeight="1" x14ac:dyDescent="0.2">
      <c r="D225" s="6"/>
      <c r="E225" s="6"/>
      <c r="F225" s="9"/>
      <c r="G225" s="6"/>
      <c r="H225" s="6"/>
    </row>
    <row r="226" spans="4:8" ht="15.95" customHeight="1" x14ac:dyDescent="0.2">
      <c r="D226" s="6"/>
      <c r="E226" s="6"/>
      <c r="F226" s="9"/>
      <c r="G226" s="6"/>
      <c r="H226" s="6"/>
    </row>
    <row r="227" spans="4:8" ht="15.95" customHeight="1" x14ac:dyDescent="0.2">
      <c r="D227" s="6"/>
      <c r="E227" s="6"/>
      <c r="F227" s="9"/>
      <c r="G227" s="6"/>
      <c r="H227" s="6"/>
    </row>
    <row r="228" spans="4:8" ht="15.95" customHeight="1" x14ac:dyDescent="0.2">
      <c r="D228" s="6"/>
      <c r="E228" s="6"/>
      <c r="F228" s="9"/>
      <c r="G228" s="6"/>
      <c r="H228" s="6"/>
    </row>
    <row r="229" spans="4:8" ht="15.95" customHeight="1" x14ac:dyDescent="0.2">
      <c r="D229" s="6"/>
      <c r="E229" s="6"/>
      <c r="F229" s="9"/>
      <c r="G229" s="6"/>
      <c r="H229" s="6"/>
    </row>
    <row r="230" spans="4:8" ht="15.95" customHeight="1" x14ac:dyDescent="0.2">
      <c r="D230" s="6"/>
      <c r="E230" s="6"/>
      <c r="F230" s="9"/>
      <c r="G230" s="6"/>
      <c r="H230" s="6"/>
    </row>
    <row r="231" spans="4:8" ht="15.95" customHeight="1" x14ac:dyDescent="0.2">
      <c r="D231" s="6"/>
      <c r="E231" s="6"/>
      <c r="F231" s="9"/>
      <c r="G231" s="6"/>
      <c r="H231" s="6"/>
    </row>
    <row r="232" spans="4:8" ht="15.95" customHeight="1" x14ac:dyDescent="0.2">
      <c r="D232" s="6"/>
      <c r="E232" s="6"/>
      <c r="F232" s="9"/>
      <c r="G232" s="6"/>
      <c r="H232" s="6"/>
    </row>
    <row r="233" spans="4:8" ht="15.95" customHeight="1" x14ac:dyDescent="0.2">
      <c r="D233" s="6"/>
      <c r="E233" s="6"/>
      <c r="F233" s="9"/>
      <c r="G233" s="6"/>
      <c r="H233" s="6"/>
    </row>
    <row r="234" spans="4:8" ht="15.95" customHeight="1" x14ac:dyDescent="0.2">
      <c r="D234" s="6"/>
      <c r="E234" s="6"/>
      <c r="F234" s="9"/>
      <c r="G234" s="6"/>
      <c r="H234" s="6"/>
    </row>
    <row r="235" spans="4:8" ht="15.95" customHeight="1" x14ac:dyDescent="0.2">
      <c r="H235" s="16"/>
    </row>
    <row r="236" spans="4:8" ht="15.95" customHeight="1" x14ac:dyDescent="0.2">
      <c r="D236" s="6"/>
      <c r="E236" s="6"/>
      <c r="H236" s="6"/>
    </row>
    <row r="237" spans="4:8" ht="15.95" customHeight="1" x14ac:dyDescent="0.2">
      <c r="D237" s="6"/>
      <c r="E237" s="6"/>
      <c r="H237" s="6"/>
    </row>
    <row r="238" spans="4:8" ht="15.95" customHeight="1" x14ac:dyDescent="0.2">
      <c r="D238" s="6"/>
      <c r="E238" s="6"/>
      <c r="F238" s="9"/>
      <c r="G238" s="6"/>
      <c r="H238" s="6"/>
    </row>
    <row r="239" spans="4:8" ht="15.95" customHeight="1" x14ac:dyDescent="0.2">
      <c r="D239" s="6"/>
      <c r="E239" s="6"/>
      <c r="F239" s="9"/>
      <c r="G239" s="6"/>
      <c r="H239" s="6"/>
    </row>
    <row r="240" spans="4:8" ht="15.95" customHeight="1" x14ac:dyDescent="0.2">
      <c r="D240" s="6"/>
      <c r="E240" s="6"/>
      <c r="F240" s="9"/>
      <c r="G240" s="6"/>
      <c r="H240" s="6"/>
    </row>
    <row r="241" spans="4:8" ht="15.95" customHeight="1" x14ac:dyDescent="0.2">
      <c r="D241" s="6"/>
      <c r="E241" s="6"/>
      <c r="F241" s="9"/>
      <c r="G241" s="6"/>
      <c r="H241" s="6"/>
    </row>
    <row r="242" spans="4:8" ht="15.95" customHeight="1" x14ac:dyDescent="0.2">
      <c r="D242" s="6"/>
      <c r="E242" s="6"/>
      <c r="F242" s="9"/>
      <c r="G242" s="6"/>
      <c r="H242" s="6"/>
    </row>
    <row r="243" spans="4:8" ht="15.95" customHeight="1" x14ac:dyDescent="0.2">
      <c r="D243" s="6"/>
      <c r="E243" s="6"/>
      <c r="F243" s="9"/>
      <c r="G243" s="6"/>
      <c r="H243" s="6"/>
    </row>
    <row r="244" spans="4:8" ht="15.95" customHeight="1" x14ac:dyDescent="0.2">
      <c r="D244" s="6"/>
      <c r="E244" s="6"/>
      <c r="F244" s="9"/>
      <c r="G244" s="6"/>
      <c r="H244" s="6"/>
    </row>
    <row r="245" spans="4:8" ht="15.95" customHeight="1" x14ac:dyDescent="0.2">
      <c r="D245" s="6"/>
      <c r="E245" s="6"/>
      <c r="F245" s="9"/>
      <c r="G245" s="6"/>
      <c r="H245" s="6"/>
    </row>
    <row r="246" spans="4:8" ht="15.95" customHeight="1" x14ac:dyDescent="0.2">
      <c r="D246" s="6"/>
      <c r="E246" s="6"/>
      <c r="F246" s="9"/>
      <c r="G246" s="6"/>
      <c r="H246" s="6"/>
    </row>
    <row r="247" spans="4:8" ht="15.95" customHeight="1" x14ac:dyDescent="0.2">
      <c r="D247" s="6"/>
      <c r="E247" s="6"/>
      <c r="F247" s="9"/>
      <c r="G247" s="6"/>
      <c r="H247" s="6"/>
    </row>
    <row r="248" spans="4:8" ht="15.95" customHeight="1" x14ac:dyDescent="0.2">
      <c r="H248" s="16"/>
    </row>
    <row r="249" spans="4:8" ht="15.95" customHeight="1" x14ac:dyDescent="0.2">
      <c r="D249" s="6"/>
      <c r="E249" s="6"/>
      <c r="H249" s="6"/>
    </row>
    <row r="250" spans="4:8" ht="15.95" customHeight="1" x14ac:dyDescent="0.2">
      <c r="D250" s="6"/>
      <c r="E250" s="6"/>
      <c r="H250" s="6"/>
    </row>
    <row r="251" spans="4:8" ht="15.95" customHeight="1" x14ac:dyDescent="0.2">
      <c r="D251" s="6"/>
      <c r="E251" s="6"/>
      <c r="F251" s="9"/>
      <c r="G251" s="6"/>
      <c r="H251" s="6"/>
    </row>
    <row r="252" spans="4:8" ht="15.95" customHeight="1" x14ac:dyDescent="0.2">
      <c r="D252" s="6"/>
      <c r="E252" s="6"/>
      <c r="F252" s="9"/>
      <c r="G252" s="6"/>
      <c r="H252" s="6"/>
    </row>
    <row r="253" spans="4:8" ht="15.95" customHeight="1" x14ac:dyDescent="0.2">
      <c r="D253" s="6"/>
      <c r="E253" s="6"/>
      <c r="F253" s="9"/>
      <c r="G253" s="6"/>
      <c r="H253" s="6"/>
    </row>
    <row r="254" spans="4:8" ht="15.95" customHeight="1" x14ac:dyDescent="0.2">
      <c r="D254" s="6"/>
      <c r="E254" s="6"/>
      <c r="F254" s="9"/>
      <c r="G254" s="6"/>
      <c r="H254" s="6"/>
    </row>
    <row r="255" spans="4:8" ht="15.95" customHeight="1" x14ac:dyDescent="0.2">
      <c r="D255" s="6"/>
      <c r="E255" s="6"/>
      <c r="F255" s="9"/>
      <c r="G255" s="6"/>
      <c r="H255" s="6"/>
    </row>
    <row r="256" spans="4:8" ht="15.95" customHeight="1" x14ac:dyDescent="0.2">
      <c r="D256" s="6"/>
      <c r="E256" s="6"/>
      <c r="F256" s="9"/>
      <c r="G256" s="6"/>
      <c r="H256" s="6"/>
    </row>
    <row r="257" spans="4:8" ht="15.95" customHeight="1" x14ac:dyDescent="0.2">
      <c r="D257" s="6"/>
      <c r="E257" s="6"/>
      <c r="F257" s="9"/>
      <c r="G257" s="6"/>
      <c r="H257" s="6"/>
    </row>
    <row r="258" spans="4:8" ht="15.95" customHeight="1" x14ac:dyDescent="0.2">
      <c r="D258" s="6"/>
      <c r="E258" s="6"/>
      <c r="F258" s="9"/>
      <c r="G258" s="6"/>
      <c r="H258" s="6"/>
    </row>
    <row r="259" spans="4:8" ht="15.95" customHeight="1" x14ac:dyDescent="0.2">
      <c r="D259" s="6"/>
      <c r="E259" s="6"/>
      <c r="F259" s="9"/>
      <c r="G259" s="6"/>
      <c r="H259" s="6"/>
    </row>
    <row r="260" spans="4:8" ht="15.95" customHeight="1" x14ac:dyDescent="0.2">
      <c r="D260" s="6"/>
      <c r="E260" s="6"/>
      <c r="F260" s="9"/>
      <c r="G260" s="6"/>
      <c r="H260" s="6"/>
    </row>
    <row r="261" spans="4:8" ht="15.95" customHeight="1" x14ac:dyDescent="0.2">
      <c r="H261" s="16"/>
    </row>
    <row r="262" spans="4:8" ht="15.95" customHeight="1" x14ac:dyDescent="0.2">
      <c r="D262" s="6"/>
      <c r="E262" s="6"/>
      <c r="H262" s="6"/>
    </row>
    <row r="263" spans="4:8" ht="15.95" customHeight="1" x14ac:dyDescent="0.2">
      <c r="D263" s="6"/>
      <c r="E263" s="6"/>
      <c r="H263" s="6"/>
    </row>
    <row r="264" spans="4:8" ht="15.95" customHeight="1" x14ac:dyDescent="0.2">
      <c r="D264" s="6"/>
      <c r="E264" s="6"/>
      <c r="F264" s="9"/>
      <c r="G264" s="6"/>
      <c r="H264" s="6"/>
    </row>
    <row r="265" spans="4:8" ht="15.95" customHeight="1" x14ac:dyDescent="0.2">
      <c r="D265" s="6"/>
      <c r="E265" s="6"/>
      <c r="F265" s="9"/>
      <c r="G265" s="6"/>
      <c r="H265" s="6"/>
    </row>
    <row r="266" spans="4:8" ht="15.95" customHeight="1" x14ac:dyDescent="0.2">
      <c r="D266" s="6"/>
      <c r="E266" s="6"/>
      <c r="F266" s="9"/>
      <c r="G266" s="6"/>
      <c r="H266" s="6"/>
    </row>
    <row r="267" spans="4:8" ht="15.95" customHeight="1" x14ac:dyDescent="0.2">
      <c r="D267" s="6"/>
      <c r="E267" s="6"/>
      <c r="F267" s="9"/>
      <c r="G267" s="6"/>
      <c r="H267" s="6"/>
    </row>
    <row r="268" spans="4:8" ht="15.95" customHeight="1" x14ac:dyDescent="0.2">
      <c r="D268" s="6"/>
      <c r="E268" s="6"/>
      <c r="F268" s="9"/>
      <c r="G268" s="6"/>
      <c r="H268" s="6"/>
    </row>
    <row r="269" spans="4:8" ht="15.95" customHeight="1" x14ac:dyDescent="0.2">
      <c r="D269" s="6"/>
      <c r="E269" s="6"/>
      <c r="F269" s="9"/>
      <c r="G269" s="6"/>
      <c r="H269" s="6"/>
    </row>
    <row r="270" spans="4:8" ht="15.95" customHeight="1" x14ac:dyDescent="0.2">
      <c r="D270" s="6"/>
      <c r="E270" s="6"/>
      <c r="F270" s="9"/>
      <c r="G270" s="6"/>
      <c r="H270" s="6"/>
    </row>
    <row r="271" spans="4:8" ht="15.95" customHeight="1" x14ac:dyDescent="0.2">
      <c r="D271" s="6"/>
      <c r="E271" s="6"/>
      <c r="F271" s="9"/>
      <c r="G271" s="6"/>
      <c r="H271" s="6"/>
    </row>
    <row r="272" spans="4:8" ht="15.95" customHeight="1" x14ac:dyDescent="0.2">
      <c r="D272" s="6"/>
      <c r="E272" s="6"/>
      <c r="F272" s="9"/>
      <c r="G272" s="6"/>
      <c r="H272" s="6"/>
    </row>
    <row r="273" spans="4:8" ht="15.95" customHeight="1" x14ac:dyDescent="0.2">
      <c r="D273" s="6"/>
      <c r="E273" s="6"/>
      <c r="F273" s="9"/>
      <c r="G273" s="6"/>
      <c r="H273" s="6"/>
    </row>
  </sheetData>
  <mergeCells count="4">
    <mergeCell ref="B8:C8"/>
    <mergeCell ref="B27:C27"/>
    <mergeCell ref="B46:C46"/>
    <mergeCell ref="B65:C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6AF5-80EF-48BF-A045-A2CF8CA1AA25}">
  <sheetPr>
    <tabColor rgb="FFFFFF00"/>
  </sheetPr>
  <dimension ref="A1:O177"/>
  <sheetViews>
    <sheetView zoomScaleNormal="100" workbookViewId="0">
      <selection activeCell="J12" sqref="J12"/>
    </sheetView>
  </sheetViews>
  <sheetFormatPr defaultColWidth="12.42578125" defaultRowHeight="15.95" customHeight="1" x14ac:dyDescent="0.2"/>
  <cols>
    <col min="1" max="1" width="32.42578125" style="13" customWidth="1"/>
    <col min="2" max="15" width="10.28515625" style="1" customWidth="1"/>
    <col min="16" max="256" width="10.140625" style="13" customWidth="1"/>
    <col min="257" max="257" width="14.7109375" style="13" customWidth="1"/>
    <col min="258" max="258" width="11.42578125" style="13" bestFit="1" customWidth="1"/>
    <col min="259" max="512" width="10.140625" style="13" customWidth="1"/>
    <col min="513" max="513" width="14.7109375" style="13" customWidth="1"/>
    <col min="514" max="514" width="11.42578125" style="13" bestFit="1" customWidth="1"/>
    <col min="515" max="768" width="10.140625" style="13" customWidth="1"/>
    <col min="769" max="769" width="14.7109375" style="13" customWidth="1"/>
    <col min="770" max="770" width="11.42578125" style="13" bestFit="1" customWidth="1"/>
    <col min="771" max="1024" width="10.140625" style="13" customWidth="1"/>
    <col min="1025" max="1025" width="14.7109375" style="13" customWidth="1"/>
    <col min="1026" max="1026" width="11.42578125" style="13" bestFit="1" customWidth="1"/>
    <col min="1027" max="1280" width="10.140625" style="13" customWidth="1"/>
    <col min="1281" max="1281" width="14.7109375" style="13" customWidth="1"/>
    <col min="1282" max="1282" width="11.42578125" style="13" bestFit="1" customWidth="1"/>
    <col min="1283" max="1536" width="10.140625" style="13" customWidth="1"/>
    <col min="1537" max="1537" width="14.7109375" style="13" customWidth="1"/>
    <col min="1538" max="1538" width="11.42578125" style="13" bestFit="1" customWidth="1"/>
    <col min="1539" max="1792" width="10.140625" style="13" customWidth="1"/>
    <col min="1793" max="1793" width="14.7109375" style="13" customWidth="1"/>
    <col min="1794" max="1794" width="11.42578125" style="13" bestFit="1" customWidth="1"/>
    <col min="1795" max="2048" width="10.140625" style="13" customWidth="1"/>
    <col min="2049" max="2049" width="14.7109375" style="13" customWidth="1"/>
    <col min="2050" max="2050" width="11.42578125" style="13" bestFit="1" customWidth="1"/>
    <col min="2051" max="2304" width="10.140625" style="13" customWidth="1"/>
    <col min="2305" max="2305" width="14.7109375" style="13" customWidth="1"/>
    <col min="2306" max="2306" width="11.42578125" style="13" bestFit="1" customWidth="1"/>
    <col min="2307" max="2560" width="10.140625" style="13" customWidth="1"/>
    <col min="2561" max="2561" width="14.7109375" style="13" customWidth="1"/>
    <col min="2562" max="2562" width="11.42578125" style="13" bestFit="1" customWidth="1"/>
    <col min="2563" max="2816" width="10.140625" style="13" customWidth="1"/>
    <col min="2817" max="2817" width="14.7109375" style="13" customWidth="1"/>
    <col min="2818" max="2818" width="11.42578125" style="13" bestFit="1" customWidth="1"/>
    <col min="2819" max="3072" width="10.140625" style="13" customWidth="1"/>
    <col min="3073" max="3073" width="14.7109375" style="13" customWidth="1"/>
    <col min="3074" max="3074" width="11.42578125" style="13" bestFit="1" customWidth="1"/>
    <col min="3075" max="3328" width="10.140625" style="13" customWidth="1"/>
    <col min="3329" max="3329" width="14.7109375" style="13" customWidth="1"/>
    <col min="3330" max="3330" width="11.42578125" style="13" bestFit="1" customWidth="1"/>
    <col min="3331" max="3584" width="10.140625" style="13" customWidth="1"/>
    <col min="3585" max="3585" width="14.7109375" style="13" customWidth="1"/>
    <col min="3586" max="3586" width="11.42578125" style="13" bestFit="1" customWidth="1"/>
    <col min="3587" max="3840" width="10.140625" style="13" customWidth="1"/>
    <col min="3841" max="3841" width="14.7109375" style="13" customWidth="1"/>
    <col min="3842" max="3842" width="11.42578125" style="13" bestFit="1" customWidth="1"/>
    <col min="3843" max="4096" width="10.140625" style="13" customWidth="1"/>
    <col min="4097" max="4097" width="14.7109375" style="13" customWidth="1"/>
    <col min="4098" max="4098" width="11.42578125" style="13" bestFit="1" customWidth="1"/>
    <col min="4099" max="4352" width="10.140625" style="13" customWidth="1"/>
    <col min="4353" max="4353" width="14.7109375" style="13" customWidth="1"/>
    <col min="4354" max="4354" width="11.42578125" style="13" bestFit="1" customWidth="1"/>
    <col min="4355" max="4608" width="10.140625" style="13" customWidth="1"/>
    <col min="4609" max="4609" width="14.7109375" style="13" customWidth="1"/>
    <col min="4610" max="4610" width="11.42578125" style="13" bestFit="1" customWidth="1"/>
    <col min="4611" max="4864" width="10.140625" style="13" customWidth="1"/>
    <col min="4865" max="4865" width="14.7109375" style="13" customWidth="1"/>
    <col min="4866" max="4866" width="11.42578125" style="13" bestFit="1" customWidth="1"/>
    <col min="4867" max="5120" width="10.140625" style="13" customWidth="1"/>
    <col min="5121" max="5121" width="14.7109375" style="13" customWidth="1"/>
    <col min="5122" max="5122" width="11.42578125" style="13" bestFit="1" customWidth="1"/>
    <col min="5123" max="5376" width="10.140625" style="13" customWidth="1"/>
    <col min="5377" max="5377" width="14.7109375" style="13" customWidth="1"/>
    <col min="5378" max="5378" width="11.42578125" style="13" bestFit="1" customWidth="1"/>
    <col min="5379" max="5632" width="10.140625" style="13" customWidth="1"/>
    <col min="5633" max="5633" width="14.7109375" style="13" customWidth="1"/>
    <col min="5634" max="5634" width="11.42578125" style="13" bestFit="1" customWidth="1"/>
    <col min="5635" max="5888" width="10.140625" style="13" customWidth="1"/>
    <col min="5889" max="5889" width="14.7109375" style="13" customWidth="1"/>
    <col min="5890" max="5890" width="11.42578125" style="13" bestFit="1" customWidth="1"/>
    <col min="5891" max="6144" width="10.140625" style="13" customWidth="1"/>
    <col min="6145" max="6145" width="14.7109375" style="13" customWidth="1"/>
    <col min="6146" max="6146" width="11.42578125" style="13" bestFit="1" customWidth="1"/>
    <col min="6147" max="6400" width="10.140625" style="13" customWidth="1"/>
    <col min="6401" max="6401" width="14.7109375" style="13" customWidth="1"/>
    <col min="6402" max="6402" width="11.42578125" style="13" bestFit="1" customWidth="1"/>
    <col min="6403" max="6656" width="10.140625" style="13" customWidth="1"/>
    <col min="6657" max="6657" width="14.7109375" style="13" customWidth="1"/>
    <col min="6658" max="6658" width="11.42578125" style="13" bestFit="1" customWidth="1"/>
    <col min="6659" max="6912" width="10.140625" style="13" customWidth="1"/>
    <col min="6913" max="6913" width="14.7109375" style="13" customWidth="1"/>
    <col min="6914" max="6914" width="11.42578125" style="13" bestFit="1" customWidth="1"/>
    <col min="6915" max="7168" width="10.140625" style="13" customWidth="1"/>
    <col min="7169" max="7169" width="14.7109375" style="13" customWidth="1"/>
    <col min="7170" max="7170" width="11.42578125" style="13" bestFit="1" customWidth="1"/>
    <col min="7171" max="7424" width="10.140625" style="13" customWidth="1"/>
    <col min="7425" max="7425" width="14.7109375" style="13" customWidth="1"/>
    <col min="7426" max="7426" width="11.42578125" style="13" bestFit="1" customWidth="1"/>
    <col min="7427" max="7680" width="10.140625" style="13" customWidth="1"/>
    <col min="7681" max="7681" width="14.7109375" style="13" customWidth="1"/>
    <col min="7682" max="7682" width="11.42578125" style="13" bestFit="1" customWidth="1"/>
    <col min="7683" max="7936" width="10.140625" style="13" customWidth="1"/>
    <col min="7937" max="7937" width="14.7109375" style="13" customWidth="1"/>
    <col min="7938" max="7938" width="11.42578125" style="13" bestFit="1" customWidth="1"/>
    <col min="7939" max="8192" width="10.140625" style="13" customWidth="1"/>
    <col min="8193" max="8193" width="14.7109375" style="13" customWidth="1"/>
    <col min="8194" max="8194" width="11.42578125" style="13" bestFit="1" customWidth="1"/>
    <col min="8195" max="8448" width="10.140625" style="13" customWidth="1"/>
    <col min="8449" max="8449" width="14.7109375" style="13" customWidth="1"/>
    <col min="8450" max="8450" width="11.42578125" style="13" bestFit="1" customWidth="1"/>
    <col min="8451" max="8704" width="10.140625" style="13" customWidth="1"/>
    <col min="8705" max="8705" width="14.7109375" style="13" customWidth="1"/>
    <col min="8706" max="8706" width="11.42578125" style="13" bestFit="1" customWidth="1"/>
    <col min="8707" max="8960" width="10.140625" style="13" customWidth="1"/>
    <col min="8961" max="8961" width="14.7109375" style="13" customWidth="1"/>
    <col min="8962" max="8962" width="11.42578125" style="13" bestFit="1" customWidth="1"/>
    <col min="8963" max="9216" width="10.140625" style="13" customWidth="1"/>
    <col min="9217" max="9217" width="14.7109375" style="13" customWidth="1"/>
    <col min="9218" max="9218" width="11.42578125" style="13" bestFit="1" customWidth="1"/>
    <col min="9219" max="9472" width="10.140625" style="13" customWidth="1"/>
    <col min="9473" max="9473" width="14.7109375" style="13" customWidth="1"/>
    <col min="9474" max="9474" width="11.42578125" style="13" bestFit="1" customWidth="1"/>
    <col min="9475" max="9728" width="10.140625" style="13" customWidth="1"/>
    <col min="9729" max="9729" width="14.7109375" style="13" customWidth="1"/>
    <col min="9730" max="9730" width="11.42578125" style="13" bestFit="1" customWidth="1"/>
    <col min="9731" max="9984" width="10.140625" style="13" customWidth="1"/>
    <col min="9985" max="9985" width="14.7109375" style="13" customWidth="1"/>
    <col min="9986" max="9986" width="11.42578125" style="13" bestFit="1" customWidth="1"/>
    <col min="9987" max="10240" width="10.140625" style="13" customWidth="1"/>
    <col min="10241" max="10241" width="14.7109375" style="13" customWidth="1"/>
    <col min="10242" max="10242" width="11.42578125" style="13" bestFit="1" customWidth="1"/>
    <col min="10243" max="10496" width="10.140625" style="13" customWidth="1"/>
    <col min="10497" max="10497" width="14.7109375" style="13" customWidth="1"/>
    <col min="10498" max="10498" width="11.42578125" style="13" bestFit="1" customWidth="1"/>
    <col min="10499" max="10752" width="10.140625" style="13" customWidth="1"/>
    <col min="10753" max="10753" width="14.7109375" style="13" customWidth="1"/>
    <col min="10754" max="10754" width="11.42578125" style="13" bestFit="1" customWidth="1"/>
    <col min="10755" max="11008" width="10.140625" style="13" customWidth="1"/>
    <col min="11009" max="11009" width="14.7109375" style="13" customWidth="1"/>
    <col min="11010" max="11010" width="11.42578125" style="13" bestFit="1" customWidth="1"/>
    <col min="11011" max="11264" width="10.140625" style="13" customWidth="1"/>
    <col min="11265" max="11265" width="14.7109375" style="13" customWidth="1"/>
    <col min="11266" max="11266" width="11.42578125" style="13" bestFit="1" customWidth="1"/>
    <col min="11267" max="11520" width="10.140625" style="13" customWidth="1"/>
    <col min="11521" max="11521" width="14.7109375" style="13" customWidth="1"/>
    <col min="11522" max="11522" width="11.42578125" style="13" bestFit="1" customWidth="1"/>
    <col min="11523" max="11776" width="10.140625" style="13" customWidth="1"/>
    <col min="11777" max="11777" width="14.7109375" style="13" customWidth="1"/>
    <col min="11778" max="11778" width="11.42578125" style="13" bestFit="1" customWidth="1"/>
    <col min="11779" max="12032" width="10.140625" style="13" customWidth="1"/>
    <col min="12033" max="12033" width="14.7109375" style="13" customWidth="1"/>
    <col min="12034" max="12034" width="11.42578125" style="13" bestFit="1" customWidth="1"/>
    <col min="12035" max="12288" width="10.140625" style="13" customWidth="1"/>
    <col min="12289" max="12289" width="14.7109375" style="13" customWidth="1"/>
    <col min="12290" max="12290" width="11.42578125" style="13" bestFit="1" customWidth="1"/>
    <col min="12291" max="12544" width="10.140625" style="13" customWidth="1"/>
    <col min="12545" max="12545" width="14.7109375" style="13" customWidth="1"/>
    <col min="12546" max="12546" width="11.42578125" style="13" bestFit="1" customWidth="1"/>
    <col min="12547" max="12800" width="10.140625" style="13" customWidth="1"/>
    <col min="12801" max="12801" width="14.7109375" style="13" customWidth="1"/>
    <col min="12802" max="12802" width="11.42578125" style="13" bestFit="1" customWidth="1"/>
    <col min="12803" max="13056" width="10.140625" style="13" customWidth="1"/>
    <col min="13057" max="13057" width="14.7109375" style="13" customWidth="1"/>
    <col min="13058" max="13058" width="11.42578125" style="13" bestFit="1" customWidth="1"/>
    <col min="13059" max="13312" width="10.140625" style="13" customWidth="1"/>
    <col min="13313" max="13313" width="14.7109375" style="13" customWidth="1"/>
    <col min="13314" max="13314" width="11.42578125" style="13" bestFit="1" customWidth="1"/>
    <col min="13315" max="13568" width="10.140625" style="13" customWidth="1"/>
    <col min="13569" max="13569" width="14.7109375" style="13" customWidth="1"/>
    <col min="13570" max="13570" width="11.42578125" style="13" bestFit="1" customWidth="1"/>
    <col min="13571" max="13824" width="10.140625" style="13" customWidth="1"/>
    <col min="13825" max="13825" width="14.7109375" style="13" customWidth="1"/>
    <col min="13826" max="13826" width="11.42578125" style="13" bestFit="1" customWidth="1"/>
    <col min="13827" max="14080" width="10.140625" style="13" customWidth="1"/>
    <col min="14081" max="14081" width="14.7109375" style="13" customWidth="1"/>
    <col min="14082" max="14082" width="11.42578125" style="13" bestFit="1" customWidth="1"/>
    <col min="14083" max="14336" width="10.140625" style="13" customWidth="1"/>
    <col min="14337" max="14337" width="14.7109375" style="13" customWidth="1"/>
    <col min="14338" max="14338" width="11.42578125" style="13" bestFit="1" customWidth="1"/>
    <col min="14339" max="14592" width="10.140625" style="13" customWidth="1"/>
    <col min="14593" max="14593" width="14.7109375" style="13" customWidth="1"/>
    <col min="14594" max="14594" width="11.42578125" style="13" bestFit="1" customWidth="1"/>
    <col min="14595" max="14848" width="10.140625" style="13" customWidth="1"/>
    <col min="14849" max="14849" width="14.7109375" style="13" customWidth="1"/>
    <col min="14850" max="14850" width="11.42578125" style="13" bestFit="1" customWidth="1"/>
    <col min="14851" max="15104" width="10.140625" style="13" customWidth="1"/>
    <col min="15105" max="15105" width="14.7109375" style="13" customWidth="1"/>
    <col min="15106" max="15106" width="11.42578125" style="13" bestFit="1" customWidth="1"/>
    <col min="15107" max="15360" width="10.140625" style="13" customWidth="1"/>
    <col min="15361" max="15361" width="14.7109375" style="13" customWidth="1"/>
    <col min="15362" max="15362" width="11.42578125" style="13" bestFit="1" customWidth="1"/>
    <col min="15363" max="15616" width="10.140625" style="13" customWidth="1"/>
    <col min="15617" max="15617" width="14.7109375" style="13" customWidth="1"/>
    <col min="15618" max="15618" width="11.42578125" style="13" bestFit="1" customWidth="1"/>
    <col min="15619" max="15872" width="10.140625" style="13" customWidth="1"/>
    <col min="15873" max="15873" width="14.7109375" style="13" customWidth="1"/>
    <col min="15874" max="15874" width="11.42578125" style="13" bestFit="1" customWidth="1"/>
    <col min="15875" max="16128" width="10.140625" style="13" customWidth="1"/>
    <col min="16129" max="16129" width="14.7109375" style="13" customWidth="1"/>
    <col min="16130" max="16130" width="11.42578125" style="13" bestFit="1" customWidth="1"/>
    <col min="16131" max="16384" width="10.140625" style="13" customWidth="1"/>
  </cols>
  <sheetData>
    <row r="1" spans="1:14" ht="15.95" customHeight="1" x14ac:dyDescent="0.2">
      <c r="A1" s="13" t="s">
        <v>0</v>
      </c>
      <c r="B1" s="2">
        <v>45314</v>
      </c>
      <c r="E1" s="1">
        <v>104</v>
      </c>
      <c r="F1" s="1" t="s">
        <v>1</v>
      </c>
      <c r="G1" s="1">
        <v>4188</v>
      </c>
      <c r="H1" s="3">
        <v>4069</v>
      </c>
      <c r="I1" s="1" t="s">
        <v>2</v>
      </c>
      <c r="M1" s="3"/>
    </row>
    <row r="2" spans="1:14" ht="15.95" customHeight="1" x14ac:dyDescent="0.2">
      <c r="A2" s="13" t="s">
        <v>3</v>
      </c>
      <c r="E2" s="1">
        <f>E1*2200*0.53</f>
        <v>121264</v>
      </c>
      <c r="F2" s="1" t="s">
        <v>4</v>
      </c>
      <c r="G2" s="1">
        <v>4291</v>
      </c>
      <c r="H2" s="3">
        <v>4426</v>
      </c>
      <c r="K2" s="4"/>
      <c r="M2" s="3"/>
    </row>
    <row r="3" spans="1:14" ht="15.95" customHeight="1" x14ac:dyDescent="0.25">
      <c r="A3" s="13" t="s">
        <v>5</v>
      </c>
      <c r="B3" s="5"/>
      <c r="E3" s="1">
        <v>0.5</v>
      </c>
      <c r="F3" s="1" t="s">
        <v>6</v>
      </c>
      <c r="G3" s="1">
        <v>4552</v>
      </c>
      <c r="H3" s="3">
        <v>4426</v>
      </c>
      <c r="K3" s="4"/>
      <c r="M3" s="3"/>
    </row>
    <row r="4" spans="1:14" ht="15.95" customHeight="1" x14ac:dyDescent="0.25">
      <c r="B4" s="5"/>
      <c r="E4" s="1">
        <f>AVERAGE(G1:H5)*10</f>
        <v>43253.333333333328</v>
      </c>
      <c r="F4" s="1" t="s">
        <v>7</v>
      </c>
      <c r="H4" s="3"/>
      <c r="K4" s="4"/>
      <c r="M4" s="3"/>
    </row>
    <row r="5" spans="1:14" ht="15.95" customHeight="1" x14ac:dyDescent="0.2">
      <c r="D5" s="6"/>
      <c r="E5" s="6">
        <f>E4/(E3*E2)</f>
        <v>0.71337467563882651</v>
      </c>
      <c r="F5" s="7" t="s">
        <v>8</v>
      </c>
      <c r="H5" s="3"/>
      <c r="I5" s="1" t="s">
        <v>21</v>
      </c>
      <c r="K5" s="4"/>
      <c r="M5" s="3"/>
    </row>
    <row r="6" spans="1:14" ht="15.95" customHeight="1" x14ac:dyDescent="0.2">
      <c r="D6" s="6"/>
      <c r="E6" s="6"/>
      <c r="F6" s="7"/>
      <c r="H6" s="3"/>
      <c r="K6" s="4"/>
      <c r="M6" s="3"/>
    </row>
    <row r="7" spans="1:14" s="1" customFormat="1" ht="15.95" customHeight="1" x14ac:dyDescent="0.25">
      <c r="A7" s="8" t="s">
        <v>25</v>
      </c>
      <c r="B7" s="3"/>
      <c r="C7" s="3"/>
      <c r="D7" s="6"/>
      <c r="E7" s="6"/>
      <c r="F7" s="9"/>
      <c r="G7" s="6"/>
      <c r="H7" s="6"/>
    </row>
    <row r="8" spans="1:14" s="1" customFormat="1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  <c r="M8" s="17" t="s">
        <v>32</v>
      </c>
    </row>
    <row r="9" spans="1:14" s="1" customFormat="1" ht="15.95" customHeight="1" x14ac:dyDescent="0.25">
      <c r="A9" s="5" t="s">
        <v>28</v>
      </c>
      <c r="B9" s="3">
        <v>1025</v>
      </c>
      <c r="C9" s="3">
        <v>995</v>
      </c>
      <c r="D9" s="6">
        <f>AVERAGE(B9:C9,B20:C20)</f>
        <v>1003</v>
      </c>
      <c r="E9" s="6"/>
      <c r="H9" s="6">
        <f>J14*100/J14</f>
        <v>100</v>
      </c>
      <c r="L9" s="5" t="s">
        <v>15</v>
      </c>
      <c r="M9" s="5" t="s">
        <v>16</v>
      </c>
      <c r="N9" s="5" t="s">
        <v>26</v>
      </c>
    </row>
    <row r="10" spans="1:14" s="1" customFormat="1" ht="15.95" customHeight="1" x14ac:dyDescent="0.25">
      <c r="B10" s="3">
        <v>941</v>
      </c>
      <c r="C10" s="3">
        <v>1206</v>
      </c>
      <c r="D10" s="6"/>
      <c r="E10" s="6"/>
      <c r="H10" s="6"/>
      <c r="J10" s="10" t="s">
        <v>25</v>
      </c>
      <c r="L10" s="3">
        <v>1104</v>
      </c>
      <c r="M10" s="3">
        <v>913</v>
      </c>
      <c r="N10" s="1">
        <v>596</v>
      </c>
    </row>
    <row r="11" spans="1:14" s="1" customFormat="1" ht="15.95" customHeight="1" x14ac:dyDescent="0.2">
      <c r="A11" s="3"/>
      <c r="B11" s="3">
        <v>604</v>
      </c>
      <c r="C11" s="3">
        <v>761</v>
      </c>
      <c r="D11" s="6">
        <f t="shared" ref="D11:D20" si="0">AVERAGE(B11:C11)</f>
        <v>682.5</v>
      </c>
      <c r="E11" s="6">
        <f>D11-$J$16</f>
        <v>-53.5</v>
      </c>
      <c r="F11" s="9">
        <v>9.9999999999999995E-7</v>
      </c>
      <c r="G11" s="6">
        <f>LOG(F11)</f>
        <v>-6</v>
      </c>
      <c r="H11" s="6">
        <f>E11*100/$J$14</f>
        <v>-11.232121768796747</v>
      </c>
      <c r="J11" s="11" t="s">
        <v>18</v>
      </c>
      <c r="L11" s="3">
        <v>1242</v>
      </c>
      <c r="M11" s="3">
        <v>644</v>
      </c>
      <c r="N11" s="1">
        <v>876</v>
      </c>
    </row>
    <row r="12" spans="1:14" s="1" customFormat="1" ht="15.95" customHeight="1" x14ac:dyDescent="0.25">
      <c r="A12" s="8"/>
      <c r="B12" s="3">
        <v>797</v>
      </c>
      <c r="C12" s="3">
        <v>663</v>
      </c>
      <c r="D12" s="6">
        <f t="shared" si="0"/>
        <v>730</v>
      </c>
      <c r="E12" s="6">
        <f t="shared" ref="E12:E19" si="1">D12-$J$16</f>
        <v>-6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-1.2596772077155229</v>
      </c>
      <c r="J12" s="11">
        <f>AVERAGE(L10:L25)</f>
        <v>1212.3125</v>
      </c>
      <c r="L12" s="3">
        <v>1171</v>
      </c>
      <c r="M12" s="3">
        <v>1135</v>
      </c>
    </row>
    <row r="13" spans="1:14" s="1" customFormat="1" ht="15.95" customHeight="1" x14ac:dyDescent="0.2">
      <c r="A13" s="3"/>
      <c r="B13" s="3">
        <v>751</v>
      </c>
      <c r="C13" s="3">
        <v>1353</v>
      </c>
      <c r="D13" s="6">
        <f t="shared" si="0"/>
        <v>1052</v>
      </c>
      <c r="E13" s="6">
        <f t="shared" si="1"/>
        <v>316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66.342999606350872</v>
      </c>
      <c r="J13" s="11" t="s">
        <v>19</v>
      </c>
      <c r="L13" s="3">
        <v>1759</v>
      </c>
      <c r="M13" s="3">
        <v>896</v>
      </c>
    </row>
    <row r="14" spans="1:14" s="1" customFormat="1" ht="15.95" customHeight="1" x14ac:dyDescent="0.2">
      <c r="A14" s="3"/>
      <c r="B14" s="3">
        <v>938</v>
      </c>
      <c r="C14" s="3">
        <v>1236</v>
      </c>
      <c r="D14" s="6">
        <f t="shared" si="0"/>
        <v>1087</v>
      </c>
      <c r="E14" s="6">
        <f t="shared" si="1"/>
        <v>351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73.691116651358087</v>
      </c>
      <c r="J14" s="11">
        <f>J12-J16</f>
        <v>476.3125</v>
      </c>
      <c r="L14" s="3">
        <v>1208</v>
      </c>
      <c r="M14" s="3">
        <v>1348</v>
      </c>
    </row>
    <row r="15" spans="1:14" s="1" customFormat="1" ht="15.95" customHeight="1" x14ac:dyDescent="0.2">
      <c r="A15" s="3"/>
      <c r="B15" s="3">
        <v>969</v>
      </c>
      <c r="C15" s="3">
        <v>1198</v>
      </c>
      <c r="D15" s="6">
        <f t="shared" si="0"/>
        <v>1083.5</v>
      </c>
      <c r="E15" s="6">
        <f t="shared" si="1"/>
        <v>347.5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72.956304946857372</v>
      </c>
      <c r="J15" s="11" t="s">
        <v>20</v>
      </c>
      <c r="L15" s="3">
        <v>1191</v>
      </c>
      <c r="M15" s="3">
        <v>1002</v>
      </c>
    </row>
    <row r="16" spans="1:14" s="1" customFormat="1" ht="15.95" customHeight="1" x14ac:dyDescent="0.2">
      <c r="B16" s="3">
        <v>1304</v>
      </c>
      <c r="C16" s="3">
        <v>1093</v>
      </c>
      <c r="D16" s="6">
        <f t="shared" si="0"/>
        <v>1198.5</v>
      </c>
      <c r="E16" s="6">
        <f t="shared" si="1"/>
        <v>462.5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97.100118094738221</v>
      </c>
      <c r="J16" s="11">
        <f>AVERAGE(N10:N11)</f>
        <v>736</v>
      </c>
      <c r="L16" s="3">
        <v>1025</v>
      </c>
      <c r="M16" s="3">
        <v>941</v>
      </c>
    </row>
    <row r="17" spans="1:13" s="1" customFormat="1" ht="15.95" customHeight="1" x14ac:dyDescent="0.2">
      <c r="A17" s="3"/>
      <c r="B17" s="3">
        <v>1169</v>
      </c>
      <c r="C17" s="3">
        <v>1766</v>
      </c>
      <c r="D17" s="6">
        <f t="shared" si="0"/>
        <v>1467.5</v>
      </c>
      <c r="E17" s="6">
        <f t="shared" si="1"/>
        <v>731.5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153.57564624065083</v>
      </c>
      <c r="L17" s="3">
        <v>995</v>
      </c>
      <c r="M17" s="3">
        <v>1206</v>
      </c>
    </row>
    <row r="18" spans="1:13" s="1" customFormat="1" ht="15.95" customHeight="1" x14ac:dyDescent="0.2">
      <c r="B18" s="3">
        <v>1170</v>
      </c>
      <c r="C18" s="3">
        <v>1509</v>
      </c>
      <c r="D18" s="6">
        <f t="shared" si="0"/>
        <v>1339.5</v>
      </c>
      <c r="E18" s="6">
        <f t="shared" si="1"/>
        <v>603.5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126.70253247605301</v>
      </c>
      <c r="L18" s="3">
        <v>1342</v>
      </c>
    </row>
    <row r="19" spans="1:13" s="1" customFormat="1" ht="15.95" customHeight="1" x14ac:dyDescent="0.2">
      <c r="A19" s="3"/>
      <c r="B19" s="3">
        <v>1263</v>
      </c>
      <c r="C19" s="3">
        <v>1211</v>
      </c>
      <c r="D19" s="6">
        <f t="shared" si="0"/>
        <v>1237</v>
      </c>
      <c r="E19" s="6">
        <f t="shared" si="1"/>
        <v>501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105.18304684424616</v>
      </c>
      <c r="L19" s="3">
        <v>1150</v>
      </c>
    </row>
    <row r="20" spans="1:13" s="1" customFormat="1" ht="15.95" customHeight="1" x14ac:dyDescent="0.2">
      <c r="B20" s="3">
        <v>981</v>
      </c>
      <c r="C20" s="3">
        <v>1011</v>
      </c>
      <c r="D20" s="6">
        <f t="shared" si="0"/>
        <v>996</v>
      </c>
      <c r="E20" s="6"/>
      <c r="F20" s="9"/>
      <c r="G20" s="6"/>
      <c r="H20" s="6"/>
      <c r="L20" s="3">
        <v>1201</v>
      </c>
    </row>
    <row r="21" spans="1:13" s="1" customFormat="1" ht="15.95" customHeight="1" x14ac:dyDescent="0.25">
      <c r="A21" s="5"/>
      <c r="B21" s="3"/>
      <c r="C21" s="3"/>
      <c r="L21" s="3">
        <v>1464</v>
      </c>
    </row>
    <row r="22" spans="1:13" s="1" customFormat="1" ht="15.95" customHeight="1" x14ac:dyDescent="0.2">
      <c r="B22" s="3"/>
      <c r="C22" s="3"/>
      <c r="D22" s="6"/>
      <c r="E22" s="6"/>
      <c r="H22" s="6"/>
      <c r="L22" s="3">
        <v>1309</v>
      </c>
    </row>
    <row r="23" spans="1:13" s="1" customFormat="1" ht="15.95" customHeight="1" x14ac:dyDescent="0.2">
      <c r="A23" s="18"/>
      <c r="B23" s="3"/>
      <c r="C23" s="3"/>
      <c r="D23" s="6"/>
      <c r="E23" s="6"/>
      <c r="H23" s="6"/>
      <c r="L23" s="3">
        <v>1244</v>
      </c>
    </row>
    <row r="24" spans="1:13" s="1" customFormat="1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981</v>
      </c>
    </row>
    <row r="25" spans="1:13" s="1" customFormat="1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1011</v>
      </c>
    </row>
    <row r="26" spans="1:13" s="1" customFormat="1" ht="15.95" customHeight="1" x14ac:dyDescent="0.25">
      <c r="A26" s="8"/>
      <c r="B26" s="3"/>
      <c r="C26" s="3"/>
      <c r="D26" s="6"/>
      <c r="E26" s="6"/>
      <c r="F26" s="9"/>
      <c r="G26" s="6"/>
      <c r="H26" s="6"/>
    </row>
    <row r="27" spans="1:13" s="1" customFormat="1" ht="15.95" customHeight="1" x14ac:dyDescent="0.25">
      <c r="B27" s="20"/>
      <c r="C27" s="20"/>
      <c r="D27" s="10"/>
      <c r="E27" s="10"/>
      <c r="F27" s="5"/>
      <c r="G27" s="5"/>
      <c r="H27" s="5"/>
      <c r="I27" s="5"/>
    </row>
    <row r="28" spans="1:13" s="1" customFormat="1" ht="15.95" customHeight="1" x14ac:dyDescent="0.25">
      <c r="B28" s="3"/>
      <c r="C28" s="3"/>
      <c r="D28" s="6"/>
      <c r="E28" s="6"/>
      <c r="H28" s="6"/>
      <c r="L28" s="5"/>
      <c r="M28" s="5"/>
    </row>
    <row r="29" spans="1:13" s="1" customFormat="1" ht="15.95" customHeight="1" x14ac:dyDescent="0.25">
      <c r="B29" s="3"/>
      <c r="C29" s="3"/>
      <c r="D29" s="6"/>
      <c r="E29" s="6"/>
      <c r="H29" s="6"/>
      <c r="J29" s="10"/>
      <c r="L29" s="3"/>
      <c r="M29" s="3"/>
    </row>
    <row r="30" spans="1:13" s="1" customFormat="1" ht="15.95" customHeight="1" x14ac:dyDescent="0.2">
      <c r="A30" s="3"/>
      <c r="B30" s="3"/>
      <c r="C30" s="3"/>
      <c r="D30" s="6"/>
      <c r="E30" s="6"/>
      <c r="F30" s="9"/>
      <c r="G30" s="6"/>
      <c r="H30" s="6"/>
      <c r="J30" s="11"/>
      <c r="L30" s="3"/>
      <c r="M30" s="3"/>
    </row>
    <row r="31" spans="1:13" s="1" customFormat="1" ht="15.95" customHeight="1" x14ac:dyDescent="0.25">
      <c r="A31" s="8"/>
      <c r="B31" s="3"/>
      <c r="C31" s="3"/>
      <c r="D31" s="6"/>
      <c r="E31" s="6"/>
      <c r="F31" s="9"/>
      <c r="G31" s="6"/>
      <c r="H31" s="6"/>
      <c r="J31" s="11"/>
      <c r="L31" s="3"/>
      <c r="M31" s="3"/>
    </row>
    <row r="32" spans="1:13" s="1" customFormat="1" ht="15.95" customHeight="1" x14ac:dyDescent="0.2">
      <c r="A32" s="3"/>
      <c r="B32" s="3"/>
      <c r="C32" s="3"/>
      <c r="D32" s="6"/>
      <c r="E32" s="6"/>
      <c r="F32" s="9"/>
      <c r="G32" s="6"/>
      <c r="H32" s="6"/>
      <c r="J32" s="11"/>
      <c r="L32" s="3"/>
      <c r="M32" s="3"/>
    </row>
    <row r="33" spans="1:13" s="1" customFormat="1" ht="15.95" customHeight="1" x14ac:dyDescent="0.2">
      <c r="A33" s="3"/>
      <c r="B33" s="3"/>
      <c r="C33" s="3"/>
      <c r="D33" s="6"/>
      <c r="E33" s="6"/>
      <c r="F33" s="9"/>
      <c r="G33" s="6"/>
      <c r="H33" s="6"/>
      <c r="J33" s="11"/>
      <c r="L33" s="3"/>
      <c r="M33" s="3"/>
    </row>
    <row r="34" spans="1:13" s="1" customFormat="1" ht="15.95" customHeight="1" x14ac:dyDescent="0.2">
      <c r="A34" s="3"/>
      <c r="B34" s="3"/>
      <c r="C34" s="3"/>
      <c r="D34" s="6"/>
      <c r="E34" s="6"/>
      <c r="F34" s="9"/>
      <c r="G34" s="6"/>
      <c r="H34" s="6"/>
      <c r="J34" s="11"/>
      <c r="L34" s="3"/>
      <c r="M34" s="3"/>
    </row>
    <row r="35" spans="1:13" s="1" customFormat="1" ht="15.95" customHeight="1" x14ac:dyDescent="0.2">
      <c r="B35" s="3"/>
      <c r="C35" s="3"/>
      <c r="D35" s="6"/>
      <c r="E35" s="6"/>
      <c r="F35" s="9"/>
      <c r="G35" s="6"/>
      <c r="H35" s="6"/>
      <c r="J35" s="11"/>
      <c r="L35" s="3"/>
      <c r="M35" s="3"/>
    </row>
    <row r="36" spans="1:13" s="1" customFormat="1" ht="15.95" customHeight="1" x14ac:dyDescent="0.2">
      <c r="A36" s="3"/>
      <c r="B36" s="3"/>
      <c r="C36" s="3"/>
      <c r="D36" s="6"/>
      <c r="E36" s="6"/>
      <c r="F36" s="9"/>
      <c r="G36" s="6"/>
      <c r="H36" s="6"/>
      <c r="L36" s="3"/>
      <c r="M36" s="3"/>
    </row>
    <row r="37" spans="1:13" s="1" customFormat="1" ht="15.95" customHeight="1" x14ac:dyDescent="0.2">
      <c r="B37" s="3"/>
      <c r="C37" s="3"/>
      <c r="D37" s="6"/>
      <c r="E37" s="6"/>
      <c r="F37" s="9"/>
      <c r="G37" s="6"/>
      <c r="H37" s="6"/>
      <c r="L37" s="3"/>
    </row>
    <row r="38" spans="1:13" s="1" customFormat="1" ht="15.95" customHeight="1" x14ac:dyDescent="0.2">
      <c r="A38" s="3"/>
      <c r="B38" s="3"/>
      <c r="C38" s="3"/>
      <c r="D38" s="6"/>
      <c r="E38" s="6"/>
      <c r="F38" s="9"/>
      <c r="G38" s="6"/>
      <c r="H38" s="6"/>
      <c r="L38" s="3"/>
    </row>
    <row r="39" spans="1:13" s="1" customFormat="1" ht="15.95" customHeight="1" x14ac:dyDescent="0.2">
      <c r="B39" s="3"/>
      <c r="C39" s="3"/>
      <c r="D39" s="6"/>
      <c r="E39" s="6"/>
      <c r="F39" s="9"/>
      <c r="G39" s="6"/>
      <c r="H39" s="6"/>
      <c r="L39" s="3"/>
    </row>
    <row r="40" spans="1:13" s="1" customFormat="1" ht="15.95" customHeight="1" x14ac:dyDescent="0.25">
      <c r="A40" s="5"/>
      <c r="B40" s="3"/>
      <c r="C40" s="3"/>
      <c r="L40" s="3"/>
    </row>
    <row r="41" spans="1:13" s="1" customFormat="1" ht="15.95" customHeight="1" x14ac:dyDescent="0.2">
      <c r="B41" s="3"/>
      <c r="C41" s="3"/>
      <c r="D41" s="6"/>
      <c r="E41" s="6"/>
      <c r="H41" s="6"/>
      <c r="L41" s="3"/>
    </row>
    <row r="42" spans="1:13" s="1" customFormat="1" ht="15.95" customHeight="1" x14ac:dyDescent="0.2">
      <c r="B42" s="3"/>
      <c r="C42" s="3"/>
      <c r="D42" s="6"/>
      <c r="E42" s="6"/>
      <c r="H42" s="6"/>
      <c r="L42" s="3"/>
    </row>
    <row r="43" spans="1:13" s="1" customFormat="1" ht="15.95" customHeight="1" x14ac:dyDescent="0.2">
      <c r="A43" s="3"/>
      <c r="B43" s="3"/>
      <c r="C43" s="3"/>
      <c r="D43" s="6"/>
      <c r="E43" s="6"/>
      <c r="F43" s="9"/>
      <c r="G43" s="6"/>
      <c r="H43" s="6"/>
      <c r="L43" s="3"/>
    </row>
    <row r="44" spans="1:13" s="1" customFormat="1" ht="15.95" customHeight="1" x14ac:dyDescent="0.2">
      <c r="B44" s="3"/>
      <c r="C44" s="3"/>
      <c r="D44" s="6"/>
      <c r="E44" s="6"/>
      <c r="H44" s="6"/>
      <c r="L44" s="3"/>
    </row>
    <row r="45" spans="1:13" ht="15.95" customHeight="1" x14ac:dyDescent="0.2">
      <c r="B45" s="3"/>
      <c r="C45" s="3"/>
      <c r="D45" s="6"/>
      <c r="E45" s="6"/>
      <c r="F45" s="9"/>
      <c r="G45" s="6"/>
      <c r="H45" s="6"/>
    </row>
    <row r="46" spans="1:13" ht="15.95" customHeight="1" x14ac:dyDescent="0.2">
      <c r="B46" s="3"/>
      <c r="C46" s="3"/>
      <c r="D46" s="6"/>
      <c r="E46" s="6"/>
      <c r="F46" s="9"/>
      <c r="G46" s="6"/>
      <c r="H46" s="6"/>
    </row>
    <row r="47" spans="1:13" ht="15.95" customHeight="1" x14ac:dyDescent="0.2">
      <c r="B47" s="3"/>
      <c r="C47" s="3"/>
      <c r="D47" s="6"/>
      <c r="E47" s="6"/>
      <c r="F47" s="9"/>
      <c r="G47" s="6"/>
      <c r="H47" s="6"/>
    </row>
    <row r="48" spans="1:13" ht="15.95" customHeight="1" x14ac:dyDescent="0.2">
      <c r="B48" s="3"/>
      <c r="C48" s="3"/>
    </row>
    <row r="49" spans="1:8" ht="15.95" customHeight="1" x14ac:dyDescent="0.2">
      <c r="B49" s="3"/>
      <c r="C49" s="3"/>
      <c r="D49" s="6"/>
      <c r="E49" s="6"/>
      <c r="H49" s="6"/>
    </row>
    <row r="50" spans="1:8" ht="15.95" customHeight="1" x14ac:dyDescent="0.2">
      <c r="B50" s="3"/>
      <c r="C50" s="3"/>
      <c r="D50" s="6"/>
      <c r="E50" s="6"/>
      <c r="H50" s="6"/>
    </row>
    <row r="51" spans="1:8" ht="15.95" customHeight="1" x14ac:dyDescent="0.2">
      <c r="A51" s="3"/>
      <c r="B51" s="3"/>
      <c r="C51" s="3"/>
      <c r="D51" s="6"/>
      <c r="E51" s="6"/>
      <c r="F51" s="9"/>
      <c r="G51" s="6"/>
      <c r="H51" s="6"/>
    </row>
    <row r="52" spans="1:8" ht="15.95" customHeight="1" x14ac:dyDescent="0.2">
      <c r="B52" s="3"/>
      <c r="C52" s="3"/>
      <c r="D52" s="6"/>
      <c r="E52" s="6"/>
      <c r="F52" s="9"/>
      <c r="G52" s="6"/>
      <c r="H52" s="6"/>
    </row>
    <row r="53" spans="1:8" ht="15.95" customHeight="1" x14ac:dyDescent="0.2">
      <c r="B53" s="3"/>
      <c r="C53" s="3"/>
      <c r="D53" s="6"/>
      <c r="E53" s="6"/>
      <c r="F53" s="9"/>
      <c r="G53" s="6"/>
      <c r="H53" s="6"/>
    </row>
    <row r="54" spans="1:8" ht="15.95" customHeight="1" x14ac:dyDescent="0.2">
      <c r="A54" s="3"/>
      <c r="B54" s="3"/>
      <c r="C54" s="3"/>
      <c r="D54" s="6"/>
      <c r="E54" s="6"/>
      <c r="F54" s="9"/>
      <c r="G54" s="6"/>
      <c r="H54" s="6"/>
    </row>
    <row r="55" spans="1:8" ht="15.95" customHeight="1" x14ac:dyDescent="0.2">
      <c r="B55" s="3"/>
      <c r="C55" s="3"/>
      <c r="D55" s="6"/>
      <c r="E55" s="6"/>
      <c r="F55" s="9"/>
      <c r="G55" s="6"/>
      <c r="H55" s="6"/>
    </row>
    <row r="56" spans="1:8" ht="15.95" customHeight="1" x14ac:dyDescent="0.2">
      <c r="B56" s="3"/>
      <c r="C56" s="3"/>
      <c r="D56" s="6"/>
      <c r="E56" s="6"/>
      <c r="F56" s="9"/>
      <c r="G56" s="6"/>
      <c r="H56" s="6"/>
    </row>
    <row r="57" spans="1:8" ht="15.95" customHeight="1" x14ac:dyDescent="0.2">
      <c r="B57" s="3"/>
      <c r="C57" s="3"/>
      <c r="D57" s="6"/>
      <c r="E57" s="6"/>
      <c r="F57" s="9"/>
      <c r="G57" s="6"/>
      <c r="H57" s="6"/>
    </row>
    <row r="58" spans="1:8" ht="15.95" customHeight="1" x14ac:dyDescent="0.2">
      <c r="B58" s="3"/>
      <c r="C58" s="3"/>
      <c r="D58" s="6"/>
      <c r="E58" s="6"/>
      <c r="F58" s="9"/>
      <c r="G58" s="6"/>
      <c r="H58" s="6"/>
    </row>
    <row r="59" spans="1:8" ht="15.95" customHeight="1" x14ac:dyDescent="0.2">
      <c r="B59" s="3"/>
      <c r="C59" s="3"/>
      <c r="D59" s="6"/>
      <c r="E59" s="6"/>
      <c r="F59" s="9"/>
      <c r="G59" s="6"/>
      <c r="H59" s="6"/>
    </row>
    <row r="60" spans="1:8" ht="15.95" customHeight="1" x14ac:dyDescent="0.2">
      <c r="B60" s="3"/>
      <c r="C60" s="3"/>
      <c r="D60" s="6"/>
      <c r="E60" s="6"/>
      <c r="F60" s="9"/>
      <c r="G60" s="6"/>
      <c r="H60" s="6"/>
    </row>
    <row r="61" spans="1:8" ht="15.95" customHeight="1" x14ac:dyDescent="0.2">
      <c r="B61" s="3"/>
      <c r="C61" s="3"/>
    </row>
    <row r="62" spans="1:8" ht="15.95" customHeight="1" x14ac:dyDescent="0.2">
      <c r="B62" s="3"/>
      <c r="C62" s="3"/>
      <c r="D62" s="6"/>
      <c r="E62" s="6"/>
      <c r="H62" s="6"/>
    </row>
    <row r="63" spans="1:8" ht="15.95" customHeight="1" x14ac:dyDescent="0.2">
      <c r="B63" s="3"/>
      <c r="C63" s="3"/>
      <c r="D63" s="6"/>
      <c r="E63" s="6"/>
      <c r="H63" s="6"/>
    </row>
    <row r="64" spans="1:8" ht="15.95" customHeight="1" x14ac:dyDescent="0.2">
      <c r="B64" s="3"/>
      <c r="C64" s="3"/>
      <c r="D64" s="6"/>
      <c r="E64" s="6"/>
      <c r="F64" s="9"/>
      <c r="G64" s="6"/>
      <c r="H64" s="6"/>
    </row>
    <row r="65" spans="1:8" ht="15.95" customHeight="1" x14ac:dyDescent="0.2">
      <c r="A65" s="3"/>
      <c r="B65" s="3"/>
      <c r="C65" s="3"/>
      <c r="D65" s="6"/>
      <c r="E65" s="6"/>
      <c r="F65" s="9"/>
      <c r="G65" s="6"/>
      <c r="H65" s="6"/>
    </row>
    <row r="66" spans="1:8" ht="15.95" customHeight="1" x14ac:dyDescent="0.2">
      <c r="B66" s="3"/>
      <c r="C66" s="3"/>
      <c r="D66" s="6"/>
      <c r="E66" s="6"/>
      <c r="F66" s="9"/>
      <c r="G66" s="6"/>
      <c r="H66" s="6"/>
    </row>
    <row r="67" spans="1:8" ht="15.95" customHeight="1" x14ac:dyDescent="0.2">
      <c r="B67" s="3"/>
      <c r="C67" s="3"/>
      <c r="D67" s="6"/>
      <c r="E67" s="6"/>
      <c r="F67" s="9"/>
      <c r="G67" s="6"/>
      <c r="H67" s="6"/>
    </row>
    <row r="68" spans="1:8" ht="15.95" customHeight="1" x14ac:dyDescent="0.2">
      <c r="A68" s="3"/>
      <c r="B68" s="3"/>
      <c r="C68" s="3"/>
      <c r="D68" s="6"/>
      <c r="E68" s="6"/>
      <c r="F68" s="9"/>
      <c r="G68" s="6"/>
      <c r="H68" s="6"/>
    </row>
    <row r="69" spans="1:8" ht="15.95" customHeight="1" x14ac:dyDescent="0.2">
      <c r="A69" s="3"/>
      <c r="B69" s="3"/>
      <c r="C69" s="3"/>
      <c r="D69" s="6"/>
      <c r="E69" s="6"/>
      <c r="F69" s="9"/>
      <c r="G69" s="6"/>
      <c r="H69" s="6"/>
    </row>
    <row r="70" spans="1:8" ht="15.95" customHeight="1" x14ac:dyDescent="0.2">
      <c r="B70" s="3"/>
      <c r="C70" s="3"/>
      <c r="D70" s="6"/>
      <c r="E70" s="6"/>
      <c r="F70" s="9"/>
      <c r="G70" s="6"/>
      <c r="H70" s="6"/>
    </row>
    <row r="71" spans="1:8" ht="15.95" customHeight="1" x14ac:dyDescent="0.2">
      <c r="B71" s="3"/>
      <c r="C71" s="3"/>
      <c r="D71" s="6"/>
      <c r="E71" s="6"/>
      <c r="F71" s="9"/>
      <c r="G71" s="6"/>
      <c r="H71" s="6"/>
    </row>
    <row r="72" spans="1:8" ht="15.95" customHeight="1" x14ac:dyDescent="0.2">
      <c r="B72" s="3"/>
      <c r="C72" s="3"/>
      <c r="D72" s="6"/>
      <c r="E72" s="6"/>
      <c r="F72" s="9"/>
      <c r="G72" s="6"/>
      <c r="H72" s="6"/>
    </row>
    <row r="73" spans="1:8" ht="15.95" customHeight="1" x14ac:dyDescent="0.2">
      <c r="A73" s="3"/>
      <c r="B73" s="3"/>
      <c r="C73" s="3"/>
      <c r="D73" s="6"/>
      <c r="E73" s="6"/>
      <c r="F73" s="9"/>
      <c r="G73" s="6"/>
      <c r="H73" s="6"/>
    </row>
    <row r="75" spans="1:8" ht="15.95" customHeight="1" x14ac:dyDescent="0.2">
      <c r="B75" s="3"/>
      <c r="C75" s="3"/>
      <c r="D75" s="6"/>
      <c r="E75" s="6"/>
      <c r="H75" s="6"/>
    </row>
    <row r="76" spans="1:8" ht="15.95" customHeight="1" x14ac:dyDescent="0.2">
      <c r="B76" s="3"/>
      <c r="C76" s="3"/>
      <c r="D76" s="6"/>
      <c r="E76" s="6"/>
      <c r="H76" s="6"/>
    </row>
    <row r="77" spans="1:8" ht="15.95" customHeight="1" x14ac:dyDescent="0.2">
      <c r="B77" s="3"/>
      <c r="C77" s="3"/>
      <c r="D77" s="6"/>
      <c r="E77" s="6"/>
      <c r="F77" s="9"/>
      <c r="G77" s="6"/>
      <c r="H77" s="6"/>
    </row>
    <row r="78" spans="1:8" ht="15.95" customHeight="1" x14ac:dyDescent="0.2">
      <c r="B78" s="3"/>
      <c r="C78" s="3"/>
      <c r="D78" s="6"/>
      <c r="E78" s="6"/>
      <c r="F78" s="9"/>
      <c r="G78" s="6"/>
      <c r="H78" s="6"/>
    </row>
    <row r="79" spans="1:8" ht="15.95" customHeight="1" x14ac:dyDescent="0.2">
      <c r="B79" s="3"/>
      <c r="C79" s="3"/>
      <c r="D79" s="6"/>
      <c r="E79" s="6"/>
      <c r="F79" s="9"/>
      <c r="G79" s="6"/>
      <c r="H79" s="6"/>
    </row>
    <row r="80" spans="1:8" ht="15.95" customHeight="1" x14ac:dyDescent="0.2">
      <c r="B80" s="3"/>
      <c r="C80" s="3"/>
      <c r="D80" s="6"/>
      <c r="E80" s="6"/>
      <c r="F80" s="9"/>
      <c r="G80" s="6"/>
      <c r="H80" s="6"/>
    </row>
    <row r="81" spans="2:8" ht="15.95" customHeight="1" x14ac:dyDescent="0.2">
      <c r="B81" s="3"/>
      <c r="C81" s="3"/>
      <c r="D81" s="6"/>
      <c r="E81" s="6"/>
      <c r="F81" s="9"/>
      <c r="G81" s="6"/>
      <c r="H81" s="6"/>
    </row>
    <row r="82" spans="2:8" ht="15.95" customHeight="1" x14ac:dyDescent="0.2">
      <c r="B82" s="3"/>
      <c r="C82" s="3"/>
      <c r="D82" s="6"/>
      <c r="E82" s="6"/>
      <c r="F82" s="9"/>
      <c r="G82" s="6"/>
      <c r="H82" s="6"/>
    </row>
    <row r="83" spans="2:8" ht="15.95" customHeight="1" x14ac:dyDescent="0.2">
      <c r="B83" s="3"/>
      <c r="C83" s="3"/>
      <c r="D83" s="6"/>
      <c r="E83" s="6"/>
      <c r="F83" s="9"/>
      <c r="G83" s="6"/>
      <c r="H83" s="6"/>
    </row>
    <row r="84" spans="2:8" ht="15.95" customHeight="1" x14ac:dyDescent="0.2">
      <c r="B84" s="3"/>
      <c r="C84" s="3"/>
      <c r="D84" s="6"/>
      <c r="E84" s="6"/>
      <c r="F84" s="9"/>
      <c r="G84" s="6"/>
      <c r="H84" s="6"/>
    </row>
    <row r="85" spans="2:8" ht="15.95" customHeight="1" x14ac:dyDescent="0.2">
      <c r="B85" s="3"/>
      <c r="C85" s="3"/>
      <c r="D85" s="6"/>
      <c r="E85" s="6"/>
      <c r="F85" s="9"/>
      <c r="G85" s="6"/>
      <c r="H85" s="6"/>
    </row>
    <row r="86" spans="2:8" ht="15.95" customHeight="1" x14ac:dyDescent="0.2">
      <c r="B86" s="3"/>
      <c r="C86" s="3"/>
      <c r="D86" s="6"/>
      <c r="E86" s="6"/>
      <c r="F86" s="9"/>
      <c r="G86" s="6"/>
      <c r="H86" s="6"/>
    </row>
    <row r="87" spans="2:8" ht="15.95" customHeight="1" x14ac:dyDescent="0.2">
      <c r="B87" s="3"/>
      <c r="C87" s="3"/>
    </row>
    <row r="88" spans="2:8" ht="15.95" customHeight="1" x14ac:dyDescent="0.2">
      <c r="B88" s="3"/>
      <c r="C88" s="3"/>
      <c r="D88" s="6"/>
      <c r="E88" s="6"/>
      <c r="H88" s="6"/>
    </row>
    <row r="89" spans="2:8" ht="15.95" customHeight="1" x14ac:dyDescent="0.2">
      <c r="B89" s="3"/>
      <c r="C89" s="3"/>
      <c r="D89" s="6"/>
      <c r="E89" s="6"/>
      <c r="H89" s="6"/>
    </row>
    <row r="90" spans="2:8" ht="15.95" customHeight="1" x14ac:dyDescent="0.2">
      <c r="B90" s="3"/>
      <c r="C90" s="3"/>
      <c r="D90" s="6"/>
      <c r="E90" s="6"/>
      <c r="F90" s="9"/>
      <c r="G90" s="6"/>
      <c r="H90" s="6"/>
    </row>
    <row r="91" spans="2:8" ht="15.95" customHeight="1" x14ac:dyDescent="0.2">
      <c r="B91" s="3"/>
      <c r="C91" s="3"/>
      <c r="D91" s="6"/>
      <c r="E91" s="6"/>
      <c r="F91" s="9"/>
      <c r="G91" s="6"/>
      <c r="H91" s="6"/>
    </row>
    <row r="92" spans="2:8" ht="15.95" customHeight="1" x14ac:dyDescent="0.2">
      <c r="B92" s="3"/>
      <c r="C92" s="3"/>
      <c r="D92" s="6"/>
      <c r="E92" s="6"/>
      <c r="F92" s="9"/>
      <c r="G92" s="6"/>
      <c r="H92" s="6"/>
    </row>
    <row r="93" spans="2:8" ht="15.95" customHeight="1" x14ac:dyDescent="0.2">
      <c r="B93" s="3"/>
      <c r="C93" s="3"/>
      <c r="D93" s="6"/>
      <c r="E93" s="6"/>
      <c r="F93" s="9"/>
      <c r="G93" s="6"/>
      <c r="H93" s="6"/>
    </row>
    <row r="94" spans="2:8" ht="15.95" customHeight="1" x14ac:dyDescent="0.2">
      <c r="B94" s="3"/>
      <c r="C94" s="3"/>
      <c r="D94" s="6"/>
      <c r="E94" s="6"/>
      <c r="F94" s="9"/>
      <c r="G94" s="6"/>
      <c r="H94" s="6"/>
    </row>
    <row r="95" spans="2:8" ht="15.95" customHeight="1" x14ac:dyDescent="0.2">
      <c r="B95" s="3"/>
      <c r="C95" s="3"/>
      <c r="D95" s="6"/>
      <c r="E95" s="6"/>
      <c r="F95" s="9"/>
      <c r="G95" s="6"/>
      <c r="H95" s="6"/>
    </row>
    <row r="96" spans="2:8" ht="15.95" customHeight="1" x14ac:dyDescent="0.2">
      <c r="B96" s="3"/>
      <c r="C96" s="3"/>
      <c r="D96" s="6"/>
      <c r="E96" s="6"/>
      <c r="F96" s="9"/>
      <c r="G96" s="6"/>
      <c r="H96" s="6"/>
    </row>
    <row r="97" spans="1:8" ht="15.95" customHeight="1" x14ac:dyDescent="0.2">
      <c r="B97" s="3"/>
      <c r="C97" s="3"/>
      <c r="D97" s="6"/>
      <c r="E97" s="6"/>
      <c r="F97" s="9"/>
      <c r="G97" s="6"/>
      <c r="H97" s="6"/>
    </row>
    <row r="98" spans="1:8" ht="15.95" customHeight="1" x14ac:dyDescent="0.2">
      <c r="B98" s="3"/>
      <c r="C98" s="3"/>
      <c r="D98" s="6"/>
      <c r="E98" s="6"/>
      <c r="F98" s="9"/>
      <c r="G98" s="6"/>
      <c r="H98" s="6"/>
    </row>
    <row r="99" spans="1:8" ht="15.95" customHeight="1" x14ac:dyDescent="0.2">
      <c r="B99" s="3"/>
      <c r="C99" s="3"/>
      <c r="D99" s="6"/>
      <c r="E99" s="6"/>
      <c r="F99" s="9"/>
      <c r="G99" s="6"/>
      <c r="H99" s="6"/>
    </row>
    <row r="100" spans="1:8" ht="15.95" customHeight="1" x14ac:dyDescent="0.2">
      <c r="B100" s="3"/>
      <c r="C100" s="3"/>
    </row>
    <row r="101" spans="1:8" ht="15.95" customHeight="1" x14ac:dyDescent="0.2">
      <c r="B101" s="3"/>
      <c r="C101" s="3"/>
      <c r="D101" s="6"/>
      <c r="E101" s="6"/>
      <c r="H101" s="6"/>
    </row>
    <row r="102" spans="1:8" ht="15.95" customHeight="1" x14ac:dyDescent="0.2">
      <c r="B102" s="3"/>
      <c r="C102" s="3"/>
      <c r="D102" s="6"/>
      <c r="E102" s="6"/>
      <c r="H102" s="6"/>
    </row>
    <row r="103" spans="1:8" ht="15.95" customHeight="1" x14ac:dyDescent="0.2">
      <c r="B103" s="3"/>
      <c r="C103" s="3"/>
      <c r="D103" s="6"/>
      <c r="E103" s="6"/>
      <c r="F103" s="9"/>
      <c r="G103" s="6"/>
      <c r="H103" s="6"/>
    </row>
    <row r="104" spans="1:8" ht="15.95" customHeight="1" x14ac:dyDescent="0.2">
      <c r="B104" s="3"/>
      <c r="C104" s="3"/>
      <c r="D104" s="6"/>
      <c r="E104" s="6"/>
      <c r="F104" s="9"/>
      <c r="G104" s="6"/>
      <c r="H104" s="6"/>
    </row>
    <row r="105" spans="1:8" ht="15.95" customHeight="1" x14ac:dyDescent="0.2">
      <c r="B105" s="3"/>
      <c r="C105" s="3"/>
      <c r="D105" s="6"/>
      <c r="E105" s="6"/>
      <c r="F105" s="9"/>
      <c r="G105" s="6"/>
      <c r="H105" s="6"/>
    </row>
    <row r="106" spans="1:8" ht="15.95" customHeight="1" x14ac:dyDescent="0.2">
      <c r="A106" s="3"/>
      <c r="B106" s="3"/>
      <c r="C106" s="3"/>
      <c r="D106" s="6"/>
      <c r="E106" s="6"/>
      <c r="F106" s="9"/>
      <c r="G106" s="6"/>
      <c r="H106" s="6"/>
    </row>
    <row r="107" spans="1:8" ht="15.95" customHeight="1" x14ac:dyDescent="0.2">
      <c r="B107" s="3"/>
      <c r="C107" s="3"/>
      <c r="D107" s="6"/>
      <c r="E107" s="6"/>
      <c r="F107" s="9"/>
      <c r="G107" s="6"/>
      <c r="H107" s="6"/>
    </row>
    <row r="108" spans="1:8" ht="15.95" customHeight="1" x14ac:dyDescent="0.2">
      <c r="B108" s="3"/>
      <c r="C108" s="3"/>
      <c r="D108" s="6"/>
      <c r="E108" s="6"/>
      <c r="F108" s="9"/>
      <c r="G108" s="6"/>
      <c r="H108" s="6"/>
    </row>
    <row r="109" spans="1:8" ht="15.95" customHeight="1" x14ac:dyDescent="0.2">
      <c r="B109" s="3"/>
      <c r="C109" s="3"/>
      <c r="D109" s="6"/>
      <c r="E109" s="6"/>
      <c r="F109" s="9"/>
      <c r="G109" s="6"/>
      <c r="H109" s="6"/>
    </row>
    <row r="110" spans="1:8" ht="15.95" customHeight="1" x14ac:dyDescent="0.2">
      <c r="B110" s="3"/>
      <c r="C110" s="3"/>
      <c r="D110" s="6"/>
      <c r="E110" s="6"/>
      <c r="F110" s="9"/>
      <c r="G110" s="6"/>
      <c r="H110" s="6"/>
    </row>
    <row r="111" spans="1:8" ht="15.95" customHeight="1" x14ac:dyDescent="0.2">
      <c r="B111" s="3"/>
      <c r="C111" s="3"/>
      <c r="D111" s="6"/>
      <c r="E111" s="6"/>
      <c r="F111" s="9"/>
      <c r="G111" s="6"/>
      <c r="H111" s="6"/>
    </row>
    <row r="112" spans="1:8" ht="15.95" customHeight="1" x14ac:dyDescent="0.2">
      <c r="B112" s="3"/>
      <c r="C112" s="3"/>
      <c r="D112" s="6"/>
      <c r="E112" s="6"/>
      <c r="F112" s="9"/>
      <c r="G112" s="6"/>
      <c r="H112" s="6"/>
    </row>
    <row r="113" spans="1:8" ht="15.95" customHeight="1" x14ac:dyDescent="0.2">
      <c r="B113" s="3"/>
      <c r="C113" s="3"/>
    </row>
    <row r="114" spans="1:8" ht="15.95" customHeight="1" x14ac:dyDescent="0.2">
      <c r="B114" s="3"/>
      <c r="C114" s="3"/>
      <c r="D114" s="6"/>
      <c r="E114" s="6"/>
      <c r="H114" s="6"/>
    </row>
    <row r="115" spans="1:8" ht="15.95" customHeight="1" x14ac:dyDescent="0.2">
      <c r="B115" s="3"/>
      <c r="C115" s="3"/>
      <c r="D115" s="6"/>
      <c r="E115" s="6"/>
      <c r="H115" s="6"/>
    </row>
    <row r="116" spans="1:8" ht="15.95" customHeight="1" x14ac:dyDescent="0.2">
      <c r="B116" s="3"/>
      <c r="C116" s="3"/>
      <c r="D116" s="6"/>
      <c r="E116" s="6"/>
      <c r="F116" s="9"/>
      <c r="G116" s="6"/>
      <c r="H116" s="6"/>
    </row>
    <row r="117" spans="1:8" ht="15.95" customHeight="1" x14ac:dyDescent="0.2">
      <c r="B117" s="3"/>
      <c r="C117" s="3"/>
      <c r="D117" s="6"/>
      <c r="E117" s="6"/>
      <c r="F117" s="9"/>
      <c r="G117" s="6"/>
      <c r="H117" s="6"/>
    </row>
    <row r="118" spans="1:8" ht="15.95" customHeight="1" x14ac:dyDescent="0.2">
      <c r="B118" s="3"/>
      <c r="C118" s="3"/>
      <c r="D118" s="6"/>
      <c r="E118" s="6"/>
      <c r="F118" s="9"/>
      <c r="G118" s="6"/>
      <c r="H118" s="6"/>
    </row>
    <row r="119" spans="1:8" ht="15.95" customHeight="1" x14ac:dyDescent="0.2">
      <c r="B119" s="3"/>
      <c r="C119" s="3"/>
      <c r="D119" s="6"/>
      <c r="E119" s="6"/>
      <c r="F119" s="9"/>
      <c r="G119" s="6"/>
      <c r="H119" s="6"/>
    </row>
    <row r="120" spans="1:8" ht="15.95" customHeight="1" x14ac:dyDescent="0.2">
      <c r="B120" s="3"/>
      <c r="C120" s="3"/>
      <c r="D120" s="6"/>
      <c r="E120" s="6"/>
      <c r="F120" s="9"/>
      <c r="G120" s="6"/>
      <c r="H120" s="6"/>
    </row>
    <row r="121" spans="1:8" ht="15.95" customHeight="1" x14ac:dyDescent="0.2">
      <c r="B121" s="3"/>
      <c r="C121" s="3"/>
      <c r="D121" s="6"/>
      <c r="E121" s="6"/>
      <c r="F121" s="9"/>
      <c r="G121" s="6"/>
      <c r="H121" s="6"/>
    </row>
    <row r="122" spans="1:8" ht="15.95" customHeight="1" x14ac:dyDescent="0.2">
      <c r="B122" s="3"/>
      <c r="C122" s="3"/>
      <c r="D122" s="6"/>
      <c r="E122" s="6"/>
      <c r="F122" s="9"/>
      <c r="G122" s="6"/>
      <c r="H122" s="6"/>
    </row>
    <row r="123" spans="1:8" ht="15.95" customHeight="1" x14ac:dyDescent="0.2">
      <c r="B123" s="3"/>
      <c r="C123" s="3"/>
      <c r="D123" s="6"/>
      <c r="E123" s="6"/>
      <c r="F123" s="9"/>
      <c r="G123" s="6"/>
      <c r="H123" s="6"/>
    </row>
    <row r="124" spans="1:8" ht="15.95" customHeight="1" x14ac:dyDescent="0.2">
      <c r="B124" s="3"/>
      <c r="C124" s="3"/>
      <c r="D124" s="6"/>
      <c r="E124" s="6"/>
      <c r="F124" s="9"/>
      <c r="G124" s="6"/>
      <c r="H124" s="6"/>
    </row>
    <row r="125" spans="1:8" ht="15.95" customHeight="1" x14ac:dyDescent="0.2">
      <c r="A125" s="3"/>
      <c r="B125" s="3"/>
      <c r="C125" s="3"/>
      <c r="D125" s="6"/>
      <c r="E125" s="6"/>
      <c r="F125" s="9"/>
      <c r="G125" s="6"/>
      <c r="H125" s="6"/>
    </row>
    <row r="126" spans="1:8" ht="15.95" customHeight="1" x14ac:dyDescent="0.2">
      <c r="H126" s="16"/>
    </row>
    <row r="127" spans="1:8" ht="15.95" customHeight="1" x14ac:dyDescent="0.2">
      <c r="D127" s="6"/>
      <c r="E127" s="6"/>
      <c r="H127" s="6"/>
    </row>
    <row r="128" spans="1:8" ht="15.95" customHeight="1" x14ac:dyDescent="0.2">
      <c r="D128" s="6"/>
      <c r="E128" s="6"/>
      <c r="H128" s="6"/>
    </row>
    <row r="129" spans="4:8" ht="15.95" customHeight="1" x14ac:dyDescent="0.2">
      <c r="D129" s="6"/>
      <c r="E129" s="6"/>
      <c r="F129" s="9"/>
      <c r="G129" s="6"/>
      <c r="H129" s="6"/>
    </row>
    <row r="130" spans="4:8" ht="15.95" customHeight="1" x14ac:dyDescent="0.2">
      <c r="D130" s="6"/>
      <c r="E130" s="6"/>
      <c r="F130" s="9"/>
      <c r="G130" s="6"/>
      <c r="H130" s="6"/>
    </row>
    <row r="131" spans="4:8" ht="15.95" customHeight="1" x14ac:dyDescent="0.2">
      <c r="D131" s="6"/>
      <c r="E131" s="6"/>
      <c r="F131" s="9"/>
      <c r="G131" s="6"/>
      <c r="H131" s="6"/>
    </row>
    <row r="132" spans="4:8" ht="15.95" customHeight="1" x14ac:dyDescent="0.2">
      <c r="D132" s="6"/>
      <c r="E132" s="6"/>
      <c r="F132" s="9"/>
      <c r="G132" s="6"/>
      <c r="H132" s="6"/>
    </row>
    <row r="133" spans="4:8" ht="15.95" customHeight="1" x14ac:dyDescent="0.2">
      <c r="D133" s="6"/>
      <c r="E133" s="6"/>
      <c r="F133" s="9"/>
      <c r="G133" s="6"/>
      <c r="H133" s="6"/>
    </row>
    <row r="134" spans="4:8" ht="15.95" customHeight="1" x14ac:dyDescent="0.2">
      <c r="D134" s="6"/>
      <c r="E134" s="6"/>
      <c r="F134" s="9"/>
      <c r="G134" s="6"/>
      <c r="H134" s="6"/>
    </row>
    <row r="135" spans="4:8" ht="15.95" customHeight="1" x14ac:dyDescent="0.2">
      <c r="D135" s="6"/>
      <c r="E135" s="6"/>
      <c r="F135" s="9"/>
      <c r="G135" s="6"/>
      <c r="H135" s="6"/>
    </row>
    <row r="136" spans="4:8" ht="15.95" customHeight="1" x14ac:dyDescent="0.2">
      <c r="D136" s="6"/>
      <c r="E136" s="6"/>
      <c r="F136" s="9"/>
      <c r="G136" s="6"/>
      <c r="H136" s="6"/>
    </row>
    <row r="137" spans="4:8" ht="15.95" customHeight="1" x14ac:dyDescent="0.2">
      <c r="D137" s="6"/>
      <c r="E137" s="6"/>
      <c r="F137" s="9"/>
      <c r="G137" s="6"/>
      <c r="H137" s="6"/>
    </row>
    <row r="138" spans="4:8" ht="15.95" customHeight="1" x14ac:dyDescent="0.2">
      <c r="D138" s="6"/>
      <c r="E138" s="6"/>
      <c r="F138" s="9"/>
      <c r="G138" s="6"/>
      <c r="H138" s="6"/>
    </row>
    <row r="139" spans="4:8" ht="15.95" customHeight="1" x14ac:dyDescent="0.2">
      <c r="H139" s="16"/>
    </row>
    <row r="140" spans="4:8" ht="15.95" customHeight="1" x14ac:dyDescent="0.2">
      <c r="D140" s="6"/>
      <c r="E140" s="6"/>
      <c r="H140" s="6"/>
    </row>
    <row r="141" spans="4:8" ht="15.95" customHeight="1" x14ac:dyDescent="0.2">
      <c r="D141" s="6"/>
      <c r="E141" s="6"/>
      <c r="H141" s="6"/>
    </row>
    <row r="142" spans="4:8" ht="15.95" customHeight="1" x14ac:dyDescent="0.2">
      <c r="D142" s="6"/>
      <c r="E142" s="6"/>
      <c r="F142" s="9"/>
      <c r="G142" s="6"/>
      <c r="H142" s="6"/>
    </row>
    <row r="143" spans="4:8" ht="15.95" customHeight="1" x14ac:dyDescent="0.2">
      <c r="D143" s="6"/>
      <c r="E143" s="6"/>
      <c r="F143" s="9"/>
      <c r="G143" s="6"/>
      <c r="H143" s="6"/>
    </row>
    <row r="144" spans="4:8" ht="15.95" customHeight="1" x14ac:dyDescent="0.2">
      <c r="D144" s="6"/>
      <c r="E144" s="6"/>
      <c r="F144" s="9"/>
      <c r="G144" s="6"/>
      <c r="H144" s="6"/>
    </row>
    <row r="145" spans="4:8" ht="15.95" customHeight="1" x14ac:dyDescent="0.2">
      <c r="D145" s="6"/>
      <c r="E145" s="6"/>
      <c r="F145" s="9"/>
      <c r="G145" s="6"/>
      <c r="H145" s="6"/>
    </row>
    <row r="146" spans="4:8" ht="15.95" customHeight="1" x14ac:dyDescent="0.2">
      <c r="D146" s="6"/>
      <c r="E146" s="6"/>
      <c r="F146" s="9"/>
      <c r="G146" s="6"/>
      <c r="H146" s="6"/>
    </row>
    <row r="147" spans="4:8" ht="15.95" customHeight="1" x14ac:dyDescent="0.2">
      <c r="D147" s="6"/>
      <c r="E147" s="6"/>
      <c r="F147" s="9"/>
      <c r="G147" s="6"/>
      <c r="H147" s="6"/>
    </row>
    <row r="148" spans="4:8" ht="15.95" customHeight="1" x14ac:dyDescent="0.2">
      <c r="D148" s="6"/>
      <c r="E148" s="6"/>
      <c r="F148" s="9"/>
      <c r="G148" s="6"/>
      <c r="H148" s="6"/>
    </row>
    <row r="149" spans="4:8" ht="15.95" customHeight="1" x14ac:dyDescent="0.2">
      <c r="D149" s="6"/>
      <c r="E149" s="6"/>
      <c r="F149" s="9"/>
      <c r="G149" s="6"/>
      <c r="H149" s="6"/>
    </row>
    <row r="150" spans="4:8" ht="15.95" customHeight="1" x14ac:dyDescent="0.2">
      <c r="D150" s="6"/>
      <c r="E150" s="6"/>
      <c r="F150" s="9"/>
      <c r="G150" s="6"/>
      <c r="H150" s="6"/>
    </row>
    <row r="151" spans="4:8" ht="15.95" customHeight="1" x14ac:dyDescent="0.2">
      <c r="D151" s="6"/>
      <c r="E151" s="6"/>
      <c r="F151" s="9"/>
      <c r="G151" s="6"/>
      <c r="H151" s="6"/>
    </row>
    <row r="152" spans="4:8" ht="15.95" customHeight="1" x14ac:dyDescent="0.2">
      <c r="H152" s="16"/>
    </row>
    <row r="153" spans="4:8" ht="15.95" customHeight="1" x14ac:dyDescent="0.2">
      <c r="D153" s="6"/>
      <c r="E153" s="6"/>
      <c r="H153" s="6"/>
    </row>
    <row r="154" spans="4:8" ht="15.95" customHeight="1" x14ac:dyDescent="0.2">
      <c r="D154" s="6"/>
      <c r="E154" s="6"/>
      <c r="H154" s="6"/>
    </row>
    <row r="155" spans="4:8" ht="15.95" customHeight="1" x14ac:dyDescent="0.2">
      <c r="D155" s="6"/>
      <c r="E155" s="6"/>
      <c r="F155" s="9"/>
      <c r="G155" s="6"/>
      <c r="H155" s="6"/>
    </row>
    <row r="156" spans="4:8" ht="15.95" customHeight="1" x14ac:dyDescent="0.2">
      <c r="D156" s="6"/>
      <c r="E156" s="6"/>
      <c r="F156" s="9"/>
      <c r="G156" s="6"/>
      <c r="H156" s="6"/>
    </row>
    <row r="157" spans="4:8" ht="15.95" customHeight="1" x14ac:dyDescent="0.2">
      <c r="D157" s="6"/>
      <c r="E157" s="6"/>
      <c r="F157" s="9"/>
      <c r="G157" s="6"/>
      <c r="H157" s="6"/>
    </row>
    <row r="158" spans="4:8" ht="15.95" customHeight="1" x14ac:dyDescent="0.2">
      <c r="D158" s="6"/>
      <c r="E158" s="6"/>
      <c r="F158" s="9"/>
      <c r="G158" s="6"/>
      <c r="H158" s="6"/>
    </row>
    <row r="159" spans="4:8" ht="15.95" customHeight="1" x14ac:dyDescent="0.2">
      <c r="D159" s="6"/>
      <c r="E159" s="6"/>
      <c r="F159" s="9"/>
      <c r="G159" s="6"/>
      <c r="H159" s="6"/>
    </row>
    <row r="160" spans="4:8" ht="15.95" customHeight="1" x14ac:dyDescent="0.2">
      <c r="D160" s="6"/>
      <c r="E160" s="6"/>
      <c r="F160" s="9"/>
      <c r="G160" s="6"/>
      <c r="H160" s="6"/>
    </row>
    <row r="161" spans="4:8" ht="15.95" customHeight="1" x14ac:dyDescent="0.2">
      <c r="D161" s="6"/>
      <c r="E161" s="6"/>
      <c r="F161" s="9"/>
      <c r="G161" s="6"/>
      <c r="H161" s="6"/>
    </row>
    <row r="162" spans="4:8" ht="15.95" customHeight="1" x14ac:dyDescent="0.2">
      <c r="D162" s="6"/>
      <c r="E162" s="6"/>
      <c r="F162" s="9"/>
      <c r="G162" s="6"/>
      <c r="H162" s="6"/>
    </row>
    <row r="163" spans="4:8" ht="15.95" customHeight="1" x14ac:dyDescent="0.2">
      <c r="D163" s="6"/>
      <c r="E163" s="6"/>
      <c r="F163" s="9"/>
      <c r="G163" s="6"/>
      <c r="H163" s="6"/>
    </row>
    <row r="164" spans="4:8" ht="15.95" customHeight="1" x14ac:dyDescent="0.2">
      <c r="D164" s="6"/>
      <c r="E164" s="6"/>
      <c r="F164" s="9"/>
      <c r="G164" s="6"/>
      <c r="H164" s="6"/>
    </row>
    <row r="165" spans="4:8" ht="15.95" customHeight="1" x14ac:dyDescent="0.2">
      <c r="H165" s="16"/>
    </row>
    <row r="166" spans="4:8" ht="15.95" customHeight="1" x14ac:dyDescent="0.2">
      <c r="D166" s="6"/>
      <c r="E166" s="6"/>
      <c r="H166" s="6"/>
    </row>
    <row r="167" spans="4:8" ht="15.95" customHeight="1" x14ac:dyDescent="0.2">
      <c r="D167" s="6"/>
      <c r="E167" s="6"/>
      <c r="H167" s="6"/>
    </row>
    <row r="168" spans="4:8" ht="15.95" customHeight="1" x14ac:dyDescent="0.2">
      <c r="D168" s="6"/>
      <c r="E168" s="6"/>
      <c r="F168" s="9"/>
      <c r="G168" s="6"/>
      <c r="H168" s="6"/>
    </row>
    <row r="169" spans="4:8" ht="15.95" customHeight="1" x14ac:dyDescent="0.2">
      <c r="D169" s="6"/>
      <c r="E169" s="6"/>
      <c r="F169" s="9"/>
      <c r="G169" s="6"/>
      <c r="H169" s="6"/>
    </row>
    <row r="170" spans="4:8" ht="15.95" customHeight="1" x14ac:dyDescent="0.2">
      <c r="D170" s="6"/>
      <c r="E170" s="6"/>
      <c r="F170" s="9"/>
      <c r="G170" s="6"/>
      <c r="H170" s="6"/>
    </row>
    <row r="171" spans="4:8" ht="15.95" customHeight="1" x14ac:dyDescent="0.2">
      <c r="D171" s="6"/>
      <c r="E171" s="6"/>
      <c r="F171" s="9"/>
      <c r="G171" s="6"/>
      <c r="H171" s="6"/>
    </row>
    <row r="172" spans="4:8" ht="15.95" customHeight="1" x14ac:dyDescent="0.2">
      <c r="D172" s="6"/>
      <c r="E172" s="6"/>
      <c r="F172" s="9"/>
      <c r="G172" s="6"/>
      <c r="H172" s="6"/>
    </row>
    <row r="173" spans="4:8" ht="15.95" customHeight="1" x14ac:dyDescent="0.2">
      <c r="D173" s="6"/>
      <c r="E173" s="6"/>
      <c r="F173" s="9"/>
      <c r="G173" s="6"/>
      <c r="H173" s="6"/>
    </row>
    <row r="174" spans="4:8" ht="15.95" customHeight="1" x14ac:dyDescent="0.2">
      <c r="D174" s="6"/>
      <c r="E174" s="6"/>
      <c r="F174" s="9"/>
      <c r="G174" s="6"/>
      <c r="H174" s="6"/>
    </row>
    <row r="175" spans="4:8" ht="15.95" customHeight="1" x14ac:dyDescent="0.2">
      <c r="D175" s="6"/>
      <c r="E175" s="6"/>
      <c r="F175" s="9"/>
      <c r="G175" s="6"/>
      <c r="H175" s="6"/>
    </row>
    <row r="176" spans="4:8" ht="15.95" customHeight="1" x14ac:dyDescent="0.2">
      <c r="D176" s="6"/>
      <c r="E176" s="6"/>
      <c r="F176" s="9"/>
      <c r="G176" s="6"/>
      <c r="H176" s="6"/>
    </row>
    <row r="177" spans="4:8" ht="15.95" customHeight="1" x14ac:dyDescent="0.2">
      <c r="D177" s="6"/>
      <c r="E177" s="6"/>
      <c r="F177" s="9"/>
      <c r="G177" s="6"/>
      <c r="H177" s="6"/>
    </row>
  </sheetData>
  <mergeCells count="2">
    <mergeCell ref="B8:C8"/>
    <mergeCell ref="B27:C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B3B1-DE6B-4575-BF24-1B63CB536196}">
  <sheetPr>
    <tabColor rgb="FFFFFF00"/>
  </sheetPr>
  <dimension ref="A1:O177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3" customWidth="1"/>
    <col min="2" max="15" width="10.28515625" style="1" customWidth="1"/>
    <col min="16" max="256" width="10.140625" style="13" customWidth="1"/>
    <col min="257" max="257" width="14.7109375" style="13" customWidth="1"/>
    <col min="258" max="258" width="11.42578125" style="13" bestFit="1" customWidth="1"/>
    <col min="259" max="512" width="10.140625" style="13" customWidth="1"/>
    <col min="513" max="513" width="14.7109375" style="13" customWidth="1"/>
    <col min="514" max="514" width="11.42578125" style="13" bestFit="1" customWidth="1"/>
    <col min="515" max="768" width="10.140625" style="13" customWidth="1"/>
    <col min="769" max="769" width="14.7109375" style="13" customWidth="1"/>
    <col min="770" max="770" width="11.42578125" style="13" bestFit="1" customWidth="1"/>
    <col min="771" max="1024" width="10.140625" style="13" customWidth="1"/>
    <col min="1025" max="1025" width="14.7109375" style="13" customWidth="1"/>
    <col min="1026" max="1026" width="11.42578125" style="13" bestFit="1" customWidth="1"/>
    <col min="1027" max="1280" width="10.140625" style="13" customWidth="1"/>
    <col min="1281" max="1281" width="14.7109375" style="13" customWidth="1"/>
    <col min="1282" max="1282" width="11.42578125" style="13" bestFit="1" customWidth="1"/>
    <col min="1283" max="1536" width="10.140625" style="13" customWidth="1"/>
    <col min="1537" max="1537" width="14.7109375" style="13" customWidth="1"/>
    <col min="1538" max="1538" width="11.42578125" style="13" bestFit="1" customWidth="1"/>
    <col min="1539" max="1792" width="10.140625" style="13" customWidth="1"/>
    <col min="1793" max="1793" width="14.7109375" style="13" customWidth="1"/>
    <col min="1794" max="1794" width="11.42578125" style="13" bestFit="1" customWidth="1"/>
    <col min="1795" max="2048" width="10.140625" style="13" customWidth="1"/>
    <col min="2049" max="2049" width="14.7109375" style="13" customWidth="1"/>
    <col min="2050" max="2050" width="11.42578125" style="13" bestFit="1" customWidth="1"/>
    <col min="2051" max="2304" width="10.140625" style="13" customWidth="1"/>
    <col min="2305" max="2305" width="14.7109375" style="13" customWidth="1"/>
    <col min="2306" max="2306" width="11.42578125" style="13" bestFit="1" customWidth="1"/>
    <col min="2307" max="2560" width="10.140625" style="13" customWidth="1"/>
    <col min="2561" max="2561" width="14.7109375" style="13" customWidth="1"/>
    <col min="2562" max="2562" width="11.42578125" style="13" bestFit="1" customWidth="1"/>
    <col min="2563" max="2816" width="10.140625" style="13" customWidth="1"/>
    <col min="2817" max="2817" width="14.7109375" style="13" customWidth="1"/>
    <col min="2818" max="2818" width="11.42578125" style="13" bestFit="1" customWidth="1"/>
    <col min="2819" max="3072" width="10.140625" style="13" customWidth="1"/>
    <col min="3073" max="3073" width="14.7109375" style="13" customWidth="1"/>
    <col min="3074" max="3074" width="11.42578125" style="13" bestFit="1" customWidth="1"/>
    <col min="3075" max="3328" width="10.140625" style="13" customWidth="1"/>
    <col min="3329" max="3329" width="14.7109375" style="13" customWidth="1"/>
    <col min="3330" max="3330" width="11.42578125" style="13" bestFit="1" customWidth="1"/>
    <col min="3331" max="3584" width="10.140625" style="13" customWidth="1"/>
    <col min="3585" max="3585" width="14.7109375" style="13" customWidth="1"/>
    <col min="3586" max="3586" width="11.42578125" style="13" bestFit="1" customWidth="1"/>
    <col min="3587" max="3840" width="10.140625" style="13" customWidth="1"/>
    <col min="3841" max="3841" width="14.7109375" style="13" customWidth="1"/>
    <col min="3842" max="3842" width="11.42578125" style="13" bestFit="1" customWidth="1"/>
    <col min="3843" max="4096" width="10.140625" style="13" customWidth="1"/>
    <col min="4097" max="4097" width="14.7109375" style="13" customWidth="1"/>
    <col min="4098" max="4098" width="11.42578125" style="13" bestFit="1" customWidth="1"/>
    <col min="4099" max="4352" width="10.140625" style="13" customWidth="1"/>
    <col min="4353" max="4353" width="14.7109375" style="13" customWidth="1"/>
    <col min="4354" max="4354" width="11.42578125" style="13" bestFit="1" customWidth="1"/>
    <col min="4355" max="4608" width="10.140625" style="13" customWidth="1"/>
    <col min="4609" max="4609" width="14.7109375" style="13" customWidth="1"/>
    <col min="4610" max="4610" width="11.42578125" style="13" bestFit="1" customWidth="1"/>
    <col min="4611" max="4864" width="10.140625" style="13" customWidth="1"/>
    <col min="4865" max="4865" width="14.7109375" style="13" customWidth="1"/>
    <col min="4866" max="4866" width="11.42578125" style="13" bestFit="1" customWidth="1"/>
    <col min="4867" max="5120" width="10.140625" style="13" customWidth="1"/>
    <col min="5121" max="5121" width="14.7109375" style="13" customWidth="1"/>
    <col min="5122" max="5122" width="11.42578125" style="13" bestFit="1" customWidth="1"/>
    <col min="5123" max="5376" width="10.140625" style="13" customWidth="1"/>
    <col min="5377" max="5377" width="14.7109375" style="13" customWidth="1"/>
    <col min="5378" max="5378" width="11.42578125" style="13" bestFit="1" customWidth="1"/>
    <col min="5379" max="5632" width="10.140625" style="13" customWidth="1"/>
    <col min="5633" max="5633" width="14.7109375" style="13" customWidth="1"/>
    <col min="5634" max="5634" width="11.42578125" style="13" bestFit="1" customWidth="1"/>
    <col min="5635" max="5888" width="10.140625" style="13" customWidth="1"/>
    <col min="5889" max="5889" width="14.7109375" style="13" customWidth="1"/>
    <col min="5890" max="5890" width="11.42578125" style="13" bestFit="1" customWidth="1"/>
    <col min="5891" max="6144" width="10.140625" style="13" customWidth="1"/>
    <col min="6145" max="6145" width="14.7109375" style="13" customWidth="1"/>
    <col min="6146" max="6146" width="11.42578125" style="13" bestFit="1" customWidth="1"/>
    <col min="6147" max="6400" width="10.140625" style="13" customWidth="1"/>
    <col min="6401" max="6401" width="14.7109375" style="13" customWidth="1"/>
    <col min="6402" max="6402" width="11.42578125" style="13" bestFit="1" customWidth="1"/>
    <col min="6403" max="6656" width="10.140625" style="13" customWidth="1"/>
    <col min="6657" max="6657" width="14.7109375" style="13" customWidth="1"/>
    <col min="6658" max="6658" width="11.42578125" style="13" bestFit="1" customWidth="1"/>
    <col min="6659" max="6912" width="10.140625" style="13" customWidth="1"/>
    <col min="6913" max="6913" width="14.7109375" style="13" customWidth="1"/>
    <col min="6914" max="6914" width="11.42578125" style="13" bestFit="1" customWidth="1"/>
    <col min="6915" max="7168" width="10.140625" style="13" customWidth="1"/>
    <col min="7169" max="7169" width="14.7109375" style="13" customWidth="1"/>
    <col min="7170" max="7170" width="11.42578125" style="13" bestFit="1" customWidth="1"/>
    <col min="7171" max="7424" width="10.140625" style="13" customWidth="1"/>
    <col min="7425" max="7425" width="14.7109375" style="13" customWidth="1"/>
    <col min="7426" max="7426" width="11.42578125" style="13" bestFit="1" customWidth="1"/>
    <col min="7427" max="7680" width="10.140625" style="13" customWidth="1"/>
    <col min="7681" max="7681" width="14.7109375" style="13" customWidth="1"/>
    <col min="7682" max="7682" width="11.42578125" style="13" bestFit="1" customWidth="1"/>
    <col min="7683" max="7936" width="10.140625" style="13" customWidth="1"/>
    <col min="7937" max="7937" width="14.7109375" style="13" customWidth="1"/>
    <col min="7938" max="7938" width="11.42578125" style="13" bestFit="1" customWidth="1"/>
    <col min="7939" max="8192" width="10.140625" style="13" customWidth="1"/>
    <col min="8193" max="8193" width="14.7109375" style="13" customWidth="1"/>
    <col min="8194" max="8194" width="11.42578125" style="13" bestFit="1" customWidth="1"/>
    <col min="8195" max="8448" width="10.140625" style="13" customWidth="1"/>
    <col min="8449" max="8449" width="14.7109375" style="13" customWidth="1"/>
    <col min="8450" max="8450" width="11.42578125" style="13" bestFit="1" customWidth="1"/>
    <col min="8451" max="8704" width="10.140625" style="13" customWidth="1"/>
    <col min="8705" max="8705" width="14.7109375" style="13" customWidth="1"/>
    <col min="8706" max="8706" width="11.42578125" style="13" bestFit="1" customWidth="1"/>
    <col min="8707" max="8960" width="10.140625" style="13" customWidth="1"/>
    <col min="8961" max="8961" width="14.7109375" style="13" customWidth="1"/>
    <col min="8962" max="8962" width="11.42578125" style="13" bestFit="1" customWidth="1"/>
    <col min="8963" max="9216" width="10.140625" style="13" customWidth="1"/>
    <col min="9217" max="9217" width="14.7109375" style="13" customWidth="1"/>
    <col min="9218" max="9218" width="11.42578125" style="13" bestFit="1" customWidth="1"/>
    <col min="9219" max="9472" width="10.140625" style="13" customWidth="1"/>
    <col min="9473" max="9473" width="14.7109375" style="13" customWidth="1"/>
    <col min="9474" max="9474" width="11.42578125" style="13" bestFit="1" customWidth="1"/>
    <col min="9475" max="9728" width="10.140625" style="13" customWidth="1"/>
    <col min="9729" max="9729" width="14.7109375" style="13" customWidth="1"/>
    <col min="9730" max="9730" width="11.42578125" style="13" bestFit="1" customWidth="1"/>
    <col min="9731" max="9984" width="10.140625" style="13" customWidth="1"/>
    <col min="9985" max="9985" width="14.7109375" style="13" customWidth="1"/>
    <col min="9986" max="9986" width="11.42578125" style="13" bestFit="1" customWidth="1"/>
    <col min="9987" max="10240" width="10.140625" style="13" customWidth="1"/>
    <col min="10241" max="10241" width="14.7109375" style="13" customWidth="1"/>
    <col min="10242" max="10242" width="11.42578125" style="13" bestFit="1" customWidth="1"/>
    <col min="10243" max="10496" width="10.140625" style="13" customWidth="1"/>
    <col min="10497" max="10497" width="14.7109375" style="13" customWidth="1"/>
    <col min="10498" max="10498" width="11.42578125" style="13" bestFit="1" customWidth="1"/>
    <col min="10499" max="10752" width="10.140625" style="13" customWidth="1"/>
    <col min="10753" max="10753" width="14.7109375" style="13" customWidth="1"/>
    <col min="10754" max="10754" width="11.42578125" style="13" bestFit="1" customWidth="1"/>
    <col min="10755" max="11008" width="10.140625" style="13" customWidth="1"/>
    <col min="11009" max="11009" width="14.7109375" style="13" customWidth="1"/>
    <col min="11010" max="11010" width="11.42578125" style="13" bestFit="1" customWidth="1"/>
    <col min="11011" max="11264" width="10.140625" style="13" customWidth="1"/>
    <col min="11265" max="11265" width="14.7109375" style="13" customWidth="1"/>
    <col min="11266" max="11266" width="11.42578125" style="13" bestFit="1" customWidth="1"/>
    <col min="11267" max="11520" width="10.140625" style="13" customWidth="1"/>
    <col min="11521" max="11521" width="14.7109375" style="13" customWidth="1"/>
    <col min="11522" max="11522" width="11.42578125" style="13" bestFit="1" customWidth="1"/>
    <col min="11523" max="11776" width="10.140625" style="13" customWidth="1"/>
    <col min="11777" max="11777" width="14.7109375" style="13" customWidth="1"/>
    <col min="11778" max="11778" width="11.42578125" style="13" bestFit="1" customWidth="1"/>
    <col min="11779" max="12032" width="10.140625" style="13" customWidth="1"/>
    <col min="12033" max="12033" width="14.7109375" style="13" customWidth="1"/>
    <col min="12034" max="12034" width="11.42578125" style="13" bestFit="1" customWidth="1"/>
    <col min="12035" max="12288" width="10.140625" style="13" customWidth="1"/>
    <col min="12289" max="12289" width="14.7109375" style="13" customWidth="1"/>
    <col min="12290" max="12290" width="11.42578125" style="13" bestFit="1" customWidth="1"/>
    <col min="12291" max="12544" width="10.140625" style="13" customWidth="1"/>
    <col min="12545" max="12545" width="14.7109375" style="13" customWidth="1"/>
    <col min="12546" max="12546" width="11.42578125" style="13" bestFit="1" customWidth="1"/>
    <col min="12547" max="12800" width="10.140625" style="13" customWidth="1"/>
    <col min="12801" max="12801" width="14.7109375" style="13" customWidth="1"/>
    <col min="12802" max="12802" width="11.42578125" style="13" bestFit="1" customWidth="1"/>
    <col min="12803" max="13056" width="10.140625" style="13" customWidth="1"/>
    <col min="13057" max="13057" width="14.7109375" style="13" customWidth="1"/>
    <col min="13058" max="13058" width="11.42578125" style="13" bestFit="1" customWidth="1"/>
    <col min="13059" max="13312" width="10.140625" style="13" customWidth="1"/>
    <col min="13313" max="13313" width="14.7109375" style="13" customWidth="1"/>
    <col min="13314" max="13314" width="11.42578125" style="13" bestFit="1" customWidth="1"/>
    <col min="13315" max="13568" width="10.140625" style="13" customWidth="1"/>
    <col min="13569" max="13569" width="14.7109375" style="13" customWidth="1"/>
    <col min="13570" max="13570" width="11.42578125" style="13" bestFit="1" customWidth="1"/>
    <col min="13571" max="13824" width="10.140625" style="13" customWidth="1"/>
    <col min="13825" max="13825" width="14.7109375" style="13" customWidth="1"/>
    <col min="13826" max="13826" width="11.42578125" style="13" bestFit="1" customWidth="1"/>
    <col min="13827" max="14080" width="10.140625" style="13" customWidth="1"/>
    <col min="14081" max="14081" width="14.7109375" style="13" customWidth="1"/>
    <col min="14082" max="14082" width="11.42578125" style="13" bestFit="1" customWidth="1"/>
    <col min="14083" max="14336" width="10.140625" style="13" customWidth="1"/>
    <col min="14337" max="14337" width="14.7109375" style="13" customWidth="1"/>
    <col min="14338" max="14338" width="11.42578125" style="13" bestFit="1" customWidth="1"/>
    <col min="14339" max="14592" width="10.140625" style="13" customWidth="1"/>
    <col min="14593" max="14593" width="14.7109375" style="13" customWidth="1"/>
    <col min="14594" max="14594" width="11.42578125" style="13" bestFit="1" customWidth="1"/>
    <col min="14595" max="14848" width="10.140625" style="13" customWidth="1"/>
    <col min="14849" max="14849" width="14.7109375" style="13" customWidth="1"/>
    <col min="14850" max="14850" width="11.42578125" style="13" bestFit="1" customWidth="1"/>
    <col min="14851" max="15104" width="10.140625" style="13" customWidth="1"/>
    <col min="15105" max="15105" width="14.7109375" style="13" customWidth="1"/>
    <col min="15106" max="15106" width="11.42578125" style="13" bestFit="1" customWidth="1"/>
    <col min="15107" max="15360" width="10.140625" style="13" customWidth="1"/>
    <col min="15361" max="15361" width="14.7109375" style="13" customWidth="1"/>
    <col min="15362" max="15362" width="11.42578125" style="13" bestFit="1" customWidth="1"/>
    <col min="15363" max="15616" width="10.140625" style="13" customWidth="1"/>
    <col min="15617" max="15617" width="14.7109375" style="13" customWidth="1"/>
    <col min="15618" max="15618" width="11.42578125" style="13" bestFit="1" customWidth="1"/>
    <col min="15619" max="15872" width="10.140625" style="13" customWidth="1"/>
    <col min="15873" max="15873" width="14.7109375" style="13" customWidth="1"/>
    <col min="15874" max="15874" width="11.42578125" style="13" bestFit="1" customWidth="1"/>
    <col min="15875" max="16128" width="10.140625" style="13" customWidth="1"/>
    <col min="16129" max="16129" width="14.7109375" style="13" customWidth="1"/>
    <col min="16130" max="16130" width="11.42578125" style="13" bestFit="1" customWidth="1"/>
    <col min="16131" max="16384" width="10.140625" style="13" customWidth="1"/>
  </cols>
  <sheetData>
    <row r="1" spans="1:14" ht="15.95" customHeight="1" x14ac:dyDescent="0.2">
      <c r="A1" s="13" t="s">
        <v>0</v>
      </c>
      <c r="B1" s="2">
        <v>45316</v>
      </c>
      <c r="E1" s="1">
        <v>108.5</v>
      </c>
      <c r="F1" s="1" t="s">
        <v>1</v>
      </c>
      <c r="G1" s="1">
        <v>3914</v>
      </c>
      <c r="H1" s="3">
        <v>3976</v>
      </c>
      <c r="I1" s="1" t="s">
        <v>2</v>
      </c>
      <c r="M1" s="3"/>
    </row>
    <row r="2" spans="1:14" ht="15.95" customHeight="1" x14ac:dyDescent="0.2">
      <c r="A2" s="13" t="s">
        <v>3</v>
      </c>
      <c r="E2" s="1">
        <f>E1*2200*0.53</f>
        <v>126511</v>
      </c>
      <c r="F2" s="1" t="s">
        <v>4</v>
      </c>
      <c r="G2" s="1">
        <v>4222</v>
      </c>
      <c r="H2" s="3">
        <v>4205</v>
      </c>
      <c r="K2" s="4"/>
      <c r="M2" s="3"/>
    </row>
    <row r="3" spans="1:14" ht="15.95" customHeight="1" x14ac:dyDescent="0.25">
      <c r="A3" s="13" t="s">
        <v>5</v>
      </c>
      <c r="B3" s="5"/>
      <c r="E3" s="1">
        <v>0.5</v>
      </c>
      <c r="F3" s="1" t="s">
        <v>6</v>
      </c>
      <c r="G3" s="1">
        <v>4265</v>
      </c>
      <c r="H3" s="3">
        <v>4334</v>
      </c>
      <c r="K3" s="4"/>
      <c r="M3" s="3"/>
    </row>
    <row r="4" spans="1:14" ht="15.95" customHeight="1" x14ac:dyDescent="0.25">
      <c r="B4" s="5"/>
      <c r="E4" s="1">
        <f>AVERAGE(G1:H5)*10</f>
        <v>41526.666666666672</v>
      </c>
      <c r="F4" s="1" t="s">
        <v>7</v>
      </c>
      <c r="H4" s="3"/>
      <c r="K4" s="4"/>
      <c r="M4" s="3"/>
    </row>
    <row r="5" spans="1:14" ht="15.95" customHeight="1" x14ac:dyDescent="0.2">
      <c r="D5" s="6"/>
      <c r="E5" s="6">
        <f>E4/(E3*E2)</f>
        <v>0.65649100341735778</v>
      </c>
      <c r="F5" s="7" t="s">
        <v>8</v>
      </c>
      <c r="H5" s="3"/>
      <c r="I5" s="1" t="s">
        <v>21</v>
      </c>
      <c r="J5" s="13"/>
      <c r="K5" s="4"/>
      <c r="M5" s="3"/>
    </row>
    <row r="6" spans="1:14" ht="15.95" customHeight="1" x14ac:dyDescent="0.25">
      <c r="D6" s="6"/>
      <c r="E6" s="6"/>
      <c r="F6" s="7"/>
      <c r="H6" s="3"/>
      <c r="I6" s="5"/>
      <c r="K6" s="4"/>
      <c r="M6" s="3"/>
    </row>
    <row r="7" spans="1:14" s="1" customFormat="1" ht="15.95" customHeight="1" x14ac:dyDescent="0.25">
      <c r="A7" s="8" t="s">
        <v>25</v>
      </c>
      <c r="B7" s="3"/>
      <c r="C7" s="3"/>
      <c r="D7" s="6"/>
      <c r="E7" s="6"/>
      <c r="F7" s="9"/>
      <c r="G7" s="6"/>
      <c r="H7" s="6"/>
    </row>
    <row r="8" spans="1:14" s="1" customFormat="1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  <c r="M8" s="17" t="s">
        <v>32</v>
      </c>
    </row>
    <row r="9" spans="1:14" s="1" customFormat="1" ht="15.95" customHeight="1" x14ac:dyDescent="0.25">
      <c r="A9" s="5" t="s">
        <v>28</v>
      </c>
      <c r="B9" s="3">
        <v>1432</v>
      </c>
      <c r="C9" s="3">
        <v>1051</v>
      </c>
      <c r="D9" s="6">
        <f>AVERAGE(B9:C9,B20:C20)</f>
        <v>1079</v>
      </c>
      <c r="E9" s="6"/>
      <c r="H9" s="6">
        <f>J14*100/J14</f>
        <v>100</v>
      </c>
      <c r="L9" s="5" t="s">
        <v>15</v>
      </c>
      <c r="M9" s="5" t="s">
        <v>16</v>
      </c>
      <c r="N9" s="5" t="s">
        <v>26</v>
      </c>
    </row>
    <row r="10" spans="1:14" s="1" customFormat="1" ht="15.95" customHeight="1" x14ac:dyDescent="0.25">
      <c r="B10" s="3">
        <v>966</v>
      </c>
      <c r="C10" s="3">
        <v>742</v>
      </c>
      <c r="D10" s="6"/>
      <c r="E10" s="6"/>
      <c r="H10" s="6"/>
      <c r="J10" s="10" t="s">
        <v>25</v>
      </c>
      <c r="L10" s="3">
        <v>1408</v>
      </c>
      <c r="M10" s="3">
        <v>810</v>
      </c>
      <c r="N10" s="1">
        <v>481</v>
      </c>
    </row>
    <row r="11" spans="1:14" s="1" customFormat="1" ht="15.95" customHeight="1" x14ac:dyDescent="0.2">
      <c r="A11" s="3"/>
      <c r="B11" s="3">
        <v>689</v>
      </c>
      <c r="C11" s="3">
        <v>449</v>
      </c>
      <c r="D11" s="6">
        <f t="shared" ref="D11:D19" si="0">AVERAGE(B11:C11)</f>
        <v>569</v>
      </c>
      <c r="E11" s="6">
        <f>D11-$J$16</f>
        <v>-93</v>
      </c>
      <c r="F11" s="9">
        <v>9.9999999999999995E-7</v>
      </c>
      <c r="G11" s="6">
        <f>LOG(F11)</f>
        <v>-6</v>
      </c>
      <c r="H11" s="6">
        <f>E11*100/$J$14</f>
        <v>-18.422681688745822</v>
      </c>
      <c r="J11" s="11" t="s">
        <v>18</v>
      </c>
      <c r="L11" s="3">
        <v>1541</v>
      </c>
      <c r="M11" s="3">
        <v>980</v>
      </c>
      <c r="N11" s="1">
        <v>843</v>
      </c>
    </row>
    <row r="12" spans="1:14" s="1" customFormat="1" ht="15.95" customHeight="1" x14ac:dyDescent="0.25">
      <c r="A12" s="8"/>
      <c r="B12" s="3">
        <v>657</v>
      </c>
      <c r="C12" s="3">
        <v>1004</v>
      </c>
      <c r="D12" s="6">
        <f t="shared" si="0"/>
        <v>830.5</v>
      </c>
      <c r="E12" s="6">
        <f t="shared" ref="E12:E19" si="1">D12-$J$16</f>
        <v>168.5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33.378729726383561</v>
      </c>
      <c r="J12" s="11">
        <f>AVERAGE(L10:L25)</f>
        <v>1166.8125</v>
      </c>
      <c r="L12" s="3">
        <v>1477</v>
      </c>
      <c r="M12" s="3">
        <v>884</v>
      </c>
    </row>
    <row r="13" spans="1:14" s="1" customFormat="1" ht="15.95" customHeight="1" x14ac:dyDescent="0.25">
      <c r="A13" s="3"/>
      <c r="B13" s="3">
        <v>546</v>
      </c>
      <c r="C13" s="3">
        <v>1029</v>
      </c>
      <c r="D13" s="6">
        <f t="shared" si="0"/>
        <v>787.5</v>
      </c>
      <c r="E13" s="6">
        <f t="shared" si="1"/>
        <v>125.5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24.860715612232266</v>
      </c>
      <c r="J13" s="11" t="s">
        <v>19</v>
      </c>
      <c r="L13" s="3">
        <v>1207</v>
      </c>
      <c r="M13" s="3">
        <v>859</v>
      </c>
      <c r="N13" s="5"/>
    </row>
    <row r="14" spans="1:14" s="1" customFormat="1" ht="15.95" customHeight="1" x14ac:dyDescent="0.2">
      <c r="A14" s="3"/>
      <c r="B14" s="3">
        <v>1052</v>
      </c>
      <c r="C14" s="3">
        <v>930</v>
      </c>
      <c r="D14" s="6">
        <f t="shared" si="0"/>
        <v>991</v>
      </c>
      <c r="E14" s="6">
        <f t="shared" si="1"/>
        <v>329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65.172712640831989</v>
      </c>
      <c r="J14" s="11">
        <f>J12-J16</f>
        <v>504.8125</v>
      </c>
      <c r="L14" s="3">
        <v>1344</v>
      </c>
      <c r="M14" s="3">
        <v>736</v>
      </c>
    </row>
    <row r="15" spans="1:14" s="1" customFormat="1" ht="15.95" customHeight="1" x14ac:dyDescent="0.2">
      <c r="A15" s="3"/>
      <c r="B15" s="3">
        <v>922</v>
      </c>
      <c r="C15" s="3">
        <v>828</v>
      </c>
      <c r="D15" s="6">
        <f t="shared" si="0"/>
        <v>875</v>
      </c>
      <c r="E15" s="6">
        <f t="shared" si="1"/>
        <v>213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42.193883867772691</v>
      </c>
      <c r="J15" s="11" t="s">
        <v>20</v>
      </c>
      <c r="L15" s="3">
        <v>1358</v>
      </c>
      <c r="M15" s="3">
        <v>896</v>
      </c>
    </row>
    <row r="16" spans="1:14" s="1" customFormat="1" ht="15.95" customHeight="1" x14ac:dyDescent="0.2">
      <c r="B16" s="3">
        <v>1145</v>
      </c>
      <c r="C16" s="3">
        <v>1246</v>
      </c>
      <c r="D16" s="6">
        <f t="shared" si="0"/>
        <v>1195.5</v>
      </c>
      <c r="E16" s="6">
        <f t="shared" si="1"/>
        <v>533.5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105.68280302092361</v>
      </c>
      <c r="J16" s="11">
        <f>AVERAGE(N10:N11)</f>
        <v>662</v>
      </c>
      <c r="L16" s="3">
        <v>1432</v>
      </c>
      <c r="M16" s="3">
        <v>966</v>
      </c>
    </row>
    <row r="17" spans="1:13" s="1" customFormat="1" ht="15.95" customHeight="1" x14ac:dyDescent="0.2">
      <c r="A17" s="3"/>
      <c r="B17" s="3">
        <v>1096</v>
      </c>
      <c r="C17" s="3">
        <v>946</v>
      </c>
      <c r="D17" s="6">
        <f t="shared" si="0"/>
        <v>1021</v>
      </c>
      <c r="E17" s="6">
        <f t="shared" si="1"/>
        <v>359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71.115513185588711</v>
      </c>
      <c r="L17" s="3">
        <v>1051</v>
      </c>
      <c r="M17" s="3">
        <v>742</v>
      </c>
    </row>
    <row r="18" spans="1:13" s="1" customFormat="1" ht="15.95" customHeight="1" x14ac:dyDescent="0.2">
      <c r="B18" s="3">
        <v>1452</v>
      </c>
      <c r="C18" s="3">
        <v>1096</v>
      </c>
      <c r="D18" s="6">
        <f t="shared" si="0"/>
        <v>1274</v>
      </c>
      <c r="E18" s="6">
        <f t="shared" si="1"/>
        <v>612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121.23313111303702</v>
      </c>
      <c r="L18" s="3">
        <v>882</v>
      </c>
    </row>
    <row r="19" spans="1:13" s="1" customFormat="1" ht="15.95" customHeight="1" x14ac:dyDescent="0.2">
      <c r="A19" s="3"/>
      <c r="B19" s="3">
        <v>999</v>
      </c>
      <c r="C19" s="3">
        <v>994</v>
      </c>
      <c r="D19" s="6">
        <f t="shared" si="0"/>
        <v>996.5</v>
      </c>
      <c r="E19" s="6">
        <f t="shared" si="1"/>
        <v>334.5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66.262226074037386</v>
      </c>
      <c r="L19" s="3">
        <v>1012</v>
      </c>
    </row>
    <row r="20" spans="1:13" s="1" customFormat="1" ht="15.95" customHeight="1" x14ac:dyDescent="0.2">
      <c r="B20" s="3">
        <v>915</v>
      </c>
      <c r="C20" s="3">
        <v>918</v>
      </c>
      <c r="D20" s="6">
        <f>AVERAGE(B20:C20)</f>
        <v>916.5</v>
      </c>
      <c r="E20" s="6"/>
      <c r="F20" s="9"/>
      <c r="G20" s="6"/>
      <c r="H20" s="6"/>
      <c r="L20" s="3">
        <v>1056</v>
      </c>
    </row>
    <row r="21" spans="1:13" s="1" customFormat="1" ht="15.95" customHeight="1" x14ac:dyDescent="0.25">
      <c r="A21" s="5"/>
      <c r="B21" s="3"/>
      <c r="C21" s="3"/>
      <c r="L21" s="3">
        <v>1036</v>
      </c>
    </row>
    <row r="22" spans="1:13" s="1" customFormat="1" ht="15.95" customHeight="1" x14ac:dyDescent="0.2">
      <c r="B22" s="3"/>
      <c r="C22" s="3"/>
      <c r="D22" s="6"/>
      <c r="E22" s="6"/>
      <c r="H22" s="6"/>
      <c r="L22" s="3">
        <v>985</v>
      </c>
    </row>
    <row r="23" spans="1:13" s="1" customFormat="1" ht="15.95" customHeight="1" x14ac:dyDescent="0.2">
      <c r="B23" s="3"/>
      <c r="C23" s="3"/>
      <c r="D23" s="6"/>
      <c r="E23" s="6"/>
      <c r="H23" s="6"/>
      <c r="L23" s="3">
        <v>1047</v>
      </c>
    </row>
    <row r="24" spans="1:13" s="1" customFormat="1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915</v>
      </c>
    </row>
    <row r="25" spans="1:13" s="1" customFormat="1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918</v>
      </c>
    </row>
    <row r="26" spans="1:13" s="1" customFormat="1" ht="15.95" customHeight="1" x14ac:dyDescent="0.25">
      <c r="A26" s="8"/>
      <c r="B26" s="3"/>
      <c r="C26" s="3"/>
      <c r="D26" s="6"/>
      <c r="E26" s="6"/>
      <c r="F26" s="9"/>
      <c r="G26" s="6"/>
      <c r="H26" s="6"/>
    </row>
    <row r="27" spans="1:13" ht="15.95" customHeight="1" x14ac:dyDescent="0.2">
      <c r="B27" s="3"/>
      <c r="C27" s="3"/>
      <c r="D27" s="6"/>
      <c r="E27" s="6"/>
      <c r="F27" s="9"/>
      <c r="G27" s="6"/>
      <c r="H27" s="6"/>
    </row>
    <row r="28" spans="1:13" ht="15.95" customHeight="1" x14ac:dyDescent="0.2">
      <c r="B28" s="3"/>
      <c r="C28" s="3"/>
      <c r="D28" s="6"/>
      <c r="E28" s="6"/>
      <c r="F28" s="9"/>
      <c r="G28" s="6"/>
      <c r="H28" s="6"/>
    </row>
    <row r="29" spans="1:13" ht="15.95" customHeight="1" x14ac:dyDescent="0.2">
      <c r="B29" s="3"/>
      <c r="C29" s="3"/>
      <c r="D29" s="6"/>
      <c r="E29" s="6"/>
      <c r="F29" s="9"/>
      <c r="G29" s="6"/>
      <c r="H29" s="6"/>
    </row>
    <row r="30" spans="1:13" ht="15.95" customHeight="1" x14ac:dyDescent="0.2">
      <c r="B30" s="3"/>
      <c r="C30" s="3"/>
      <c r="D30" s="6"/>
      <c r="E30" s="6"/>
      <c r="F30" s="9"/>
      <c r="G30" s="6"/>
      <c r="H30" s="6"/>
    </row>
    <row r="31" spans="1:13" ht="15.95" customHeight="1" x14ac:dyDescent="0.2">
      <c r="B31" s="3"/>
      <c r="C31" s="3"/>
      <c r="D31" s="6"/>
      <c r="E31" s="6"/>
      <c r="F31" s="9"/>
      <c r="G31" s="6"/>
      <c r="H31" s="6"/>
    </row>
    <row r="32" spans="1:13" ht="15.95" customHeight="1" x14ac:dyDescent="0.2">
      <c r="B32" s="3"/>
      <c r="C32" s="3"/>
      <c r="D32" s="6"/>
      <c r="E32" s="6"/>
      <c r="F32" s="9"/>
      <c r="G32" s="6"/>
      <c r="H32" s="6"/>
    </row>
    <row r="33" spans="1:8" ht="15.95" customHeight="1" x14ac:dyDescent="0.2">
      <c r="B33" s="3"/>
      <c r="C33" s="3"/>
      <c r="D33" s="6"/>
      <c r="E33" s="6"/>
      <c r="F33" s="9"/>
      <c r="G33" s="6"/>
      <c r="H33" s="6"/>
    </row>
    <row r="34" spans="1:8" ht="15.95" customHeight="1" x14ac:dyDescent="0.2">
      <c r="B34" s="3"/>
      <c r="C34" s="3"/>
      <c r="D34" s="6"/>
      <c r="E34" s="6"/>
      <c r="F34" s="9"/>
      <c r="G34" s="6"/>
      <c r="H34" s="6"/>
    </row>
    <row r="35" spans="1:8" ht="15.95" customHeight="1" x14ac:dyDescent="0.2">
      <c r="B35" s="3"/>
      <c r="C35" s="3"/>
    </row>
    <row r="36" spans="1:8" ht="15.95" customHeight="1" x14ac:dyDescent="0.2">
      <c r="B36" s="3"/>
      <c r="C36" s="3"/>
      <c r="D36" s="6"/>
      <c r="E36" s="6"/>
      <c r="H36" s="6"/>
    </row>
    <row r="37" spans="1:8" ht="15.95" customHeight="1" x14ac:dyDescent="0.2">
      <c r="B37" s="3"/>
      <c r="C37" s="3"/>
      <c r="D37" s="6"/>
      <c r="E37" s="6"/>
      <c r="H37" s="6"/>
    </row>
    <row r="38" spans="1:8" ht="15.95" customHeight="1" x14ac:dyDescent="0.2">
      <c r="A38" s="3"/>
      <c r="B38" s="3"/>
      <c r="C38" s="3"/>
      <c r="D38" s="6"/>
      <c r="E38" s="6"/>
      <c r="F38" s="9"/>
      <c r="G38" s="6"/>
      <c r="H38" s="6"/>
    </row>
    <row r="39" spans="1:8" ht="15.95" customHeight="1" x14ac:dyDescent="0.2">
      <c r="B39" s="3"/>
      <c r="C39" s="3"/>
      <c r="D39" s="6"/>
      <c r="E39" s="6"/>
      <c r="F39" s="9"/>
      <c r="G39" s="6"/>
      <c r="H39" s="6"/>
    </row>
    <row r="40" spans="1:8" ht="15.95" customHeight="1" x14ac:dyDescent="0.2">
      <c r="A40" s="3"/>
      <c r="B40" s="3"/>
      <c r="C40" s="3"/>
      <c r="D40" s="6"/>
      <c r="E40" s="6"/>
      <c r="F40" s="9"/>
      <c r="G40" s="6"/>
      <c r="H40" s="6"/>
    </row>
    <row r="41" spans="1:8" ht="15.95" customHeight="1" x14ac:dyDescent="0.2">
      <c r="B41" s="3"/>
      <c r="C41" s="3"/>
      <c r="D41" s="6"/>
      <c r="E41" s="6"/>
      <c r="F41" s="9"/>
      <c r="G41" s="6"/>
      <c r="H41" s="6"/>
    </row>
    <row r="42" spans="1:8" ht="15.95" customHeight="1" x14ac:dyDescent="0.2">
      <c r="B42" s="3"/>
      <c r="C42" s="3"/>
      <c r="D42" s="6"/>
      <c r="E42" s="6"/>
      <c r="F42" s="9"/>
      <c r="G42" s="6"/>
      <c r="H42" s="6"/>
    </row>
    <row r="43" spans="1:8" ht="15.95" customHeight="1" x14ac:dyDescent="0.2">
      <c r="B43" s="3"/>
      <c r="C43" s="3"/>
      <c r="D43" s="6"/>
      <c r="E43" s="6"/>
      <c r="F43" s="9"/>
      <c r="G43" s="6"/>
      <c r="H43" s="6"/>
    </row>
    <row r="44" spans="1:8" ht="15.95" customHeight="1" x14ac:dyDescent="0.2">
      <c r="B44" s="3"/>
      <c r="C44" s="3"/>
      <c r="D44" s="6"/>
      <c r="E44" s="6"/>
      <c r="F44" s="9"/>
      <c r="G44" s="6"/>
      <c r="H44" s="6"/>
    </row>
    <row r="45" spans="1:8" ht="15.95" customHeight="1" x14ac:dyDescent="0.2">
      <c r="B45" s="3"/>
      <c r="C45" s="3"/>
      <c r="D45" s="6"/>
      <c r="E45" s="6"/>
      <c r="F45" s="9"/>
      <c r="G45" s="6"/>
      <c r="H45" s="6"/>
    </row>
    <row r="46" spans="1:8" ht="15.95" customHeight="1" x14ac:dyDescent="0.2">
      <c r="B46" s="3"/>
      <c r="C46" s="3"/>
      <c r="D46" s="6"/>
      <c r="E46" s="6"/>
      <c r="F46" s="9"/>
      <c r="G46" s="6"/>
      <c r="H46" s="6"/>
    </row>
    <row r="47" spans="1:8" ht="15.95" customHeight="1" x14ac:dyDescent="0.2">
      <c r="B47" s="3"/>
      <c r="C47" s="3"/>
      <c r="D47" s="6"/>
      <c r="E47" s="6"/>
      <c r="F47" s="9"/>
      <c r="G47" s="6"/>
      <c r="H47" s="6"/>
    </row>
    <row r="48" spans="1:8" ht="15.95" customHeight="1" x14ac:dyDescent="0.2">
      <c r="B48" s="3"/>
      <c r="C48" s="3"/>
    </row>
    <row r="49" spans="1:8" ht="15.95" customHeight="1" x14ac:dyDescent="0.2">
      <c r="B49" s="3"/>
      <c r="C49" s="3"/>
      <c r="D49" s="6"/>
      <c r="E49" s="6"/>
      <c r="H49" s="6"/>
    </row>
    <row r="50" spans="1:8" ht="15.95" customHeight="1" x14ac:dyDescent="0.2">
      <c r="B50" s="3"/>
      <c r="C50" s="3"/>
      <c r="D50" s="6"/>
      <c r="E50" s="6"/>
      <c r="H50" s="6"/>
    </row>
    <row r="51" spans="1:8" ht="15.95" customHeight="1" x14ac:dyDescent="0.2">
      <c r="A51" s="3"/>
      <c r="B51" s="3"/>
      <c r="C51" s="3"/>
      <c r="D51" s="6"/>
      <c r="E51" s="6"/>
      <c r="F51" s="9"/>
      <c r="G51" s="6"/>
      <c r="H51" s="6"/>
    </row>
    <row r="52" spans="1:8" ht="15.95" customHeight="1" x14ac:dyDescent="0.2">
      <c r="B52" s="3"/>
      <c r="C52" s="3"/>
      <c r="D52" s="6"/>
      <c r="E52" s="6"/>
      <c r="F52" s="9"/>
      <c r="G52" s="6"/>
      <c r="H52" s="6"/>
    </row>
    <row r="53" spans="1:8" ht="15.95" customHeight="1" x14ac:dyDescent="0.2">
      <c r="B53" s="3"/>
      <c r="C53" s="3"/>
      <c r="D53" s="6"/>
      <c r="E53" s="6"/>
      <c r="F53" s="9"/>
      <c r="G53" s="6"/>
      <c r="H53" s="6"/>
    </row>
    <row r="54" spans="1:8" ht="15.95" customHeight="1" x14ac:dyDescent="0.2">
      <c r="A54" s="3"/>
      <c r="B54" s="3"/>
      <c r="C54" s="3"/>
      <c r="D54" s="6"/>
      <c r="E54" s="6"/>
      <c r="F54" s="9"/>
      <c r="G54" s="6"/>
      <c r="H54" s="6"/>
    </row>
    <row r="55" spans="1:8" ht="15.95" customHeight="1" x14ac:dyDescent="0.2">
      <c r="B55" s="3"/>
      <c r="C55" s="3"/>
      <c r="D55" s="6"/>
      <c r="E55" s="6"/>
      <c r="F55" s="9"/>
      <c r="G55" s="6"/>
      <c r="H55" s="6"/>
    </row>
    <row r="56" spans="1:8" ht="15.95" customHeight="1" x14ac:dyDescent="0.2">
      <c r="B56" s="3"/>
      <c r="C56" s="3"/>
      <c r="D56" s="6"/>
      <c r="E56" s="6"/>
      <c r="F56" s="9"/>
      <c r="G56" s="6"/>
      <c r="H56" s="6"/>
    </row>
    <row r="57" spans="1:8" ht="15.95" customHeight="1" x14ac:dyDescent="0.2">
      <c r="B57" s="3"/>
      <c r="C57" s="3"/>
      <c r="D57" s="6"/>
      <c r="E57" s="6"/>
      <c r="F57" s="9"/>
      <c r="G57" s="6"/>
      <c r="H57" s="6"/>
    </row>
    <row r="58" spans="1:8" ht="15.95" customHeight="1" x14ac:dyDescent="0.2">
      <c r="B58" s="3"/>
      <c r="C58" s="3"/>
      <c r="D58" s="6"/>
      <c r="E58" s="6"/>
      <c r="F58" s="9"/>
      <c r="G58" s="6"/>
      <c r="H58" s="6"/>
    </row>
    <row r="59" spans="1:8" ht="15.95" customHeight="1" x14ac:dyDescent="0.2">
      <c r="B59" s="3"/>
      <c r="C59" s="3"/>
      <c r="D59" s="6"/>
      <c r="E59" s="6"/>
      <c r="F59" s="9"/>
      <c r="G59" s="6"/>
      <c r="H59" s="6"/>
    </row>
    <row r="60" spans="1:8" ht="15.95" customHeight="1" x14ac:dyDescent="0.2">
      <c r="B60" s="3"/>
      <c r="C60" s="3"/>
      <c r="D60" s="6"/>
      <c r="E60" s="6"/>
      <c r="F60" s="9"/>
      <c r="G60" s="6"/>
      <c r="H60" s="6"/>
    </row>
    <row r="61" spans="1:8" ht="15.95" customHeight="1" x14ac:dyDescent="0.2">
      <c r="B61" s="3"/>
      <c r="C61" s="3"/>
    </row>
    <row r="62" spans="1:8" ht="15.95" customHeight="1" x14ac:dyDescent="0.2">
      <c r="B62" s="3"/>
      <c r="C62" s="3"/>
      <c r="D62" s="6"/>
      <c r="E62" s="6"/>
      <c r="H62" s="6"/>
    </row>
    <row r="63" spans="1:8" ht="15.95" customHeight="1" x14ac:dyDescent="0.2">
      <c r="B63" s="3"/>
      <c r="C63" s="3"/>
      <c r="D63" s="6"/>
      <c r="E63" s="6"/>
      <c r="H63" s="6"/>
    </row>
    <row r="64" spans="1:8" ht="15.95" customHeight="1" x14ac:dyDescent="0.2">
      <c r="B64" s="3"/>
      <c r="C64" s="3"/>
      <c r="D64" s="6"/>
      <c r="E64" s="6"/>
      <c r="F64" s="9"/>
      <c r="G64" s="6"/>
      <c r="H64" s="6"/>
    </row>
    <row r="65" spans="1:8" ht="15.95" customHeight="1" x14ac:dyDescent="0.2">
      <c r="A65" s="3"/>
      <c r="B65" s="3"/>
      <c r="C65" s="3"/>
      <c r="D65" s="6"/>
      <c r="E65" s="6"/>
      <c r="F65" s="9"/>
      <c r="G65" s="6"/>
      <c r="H65" s="6"/>
    </row>
    <row r="66" spans="1:8" ht="15.95" customHeight="1" x14ac:dyDescent="0.2">
      <c r="B66" s="3"/>
      <c r="C66" s="3"/>
      <c r="D66" s="6"/>
      <c r="E66" s="6"/>
      <c r="F66" s="9"/>
      <c r="G66" s="6"/>
      <c r="H66" s="6"/>
    </row>
    <row r="67" spans="1:8" ht="15.95" customHeight="1" x14ac:dyDescent="0.2">
      <c r="B67" s="3"/>
      <c r="C67" s="3"/>
      <c r="D67" s="6"/>
      <c r="E67" s="6"/>
      <c r="F67" s="9"/>
      <c r="G67" s="6"/>
      <c r="H67" s="6"/>
    </row>
    <row r="68" spans="1:8" ht="15.95" customHeight="1" x14ac:dyDescent="0.2">
      <c r="A68" s="3"/>
      <c r="B68" s="3"/>
      <c r="C68" s="3"/>
      <c r="D68" s="6"/>
      <c r="E68" s="6"/>
      <c r="F68" s="9"/>
      <c r="G68" s="6"/>
      <c r="H68" s="6"/>
    </row>
    <row r="69" spans="1:8" ht="15.95" customHeight="1" x14ac:dyDescent="0.2">
      <c r="A69" s="3"/>
      <c r="B69" s="3"/>
      <c r="C69" s="3"/>
      <c r="D69" s="6"/>
      <c r="E69" s="6"/>
      <c r="F69" s="9"/>
      <c r="G69" s="6"/>
      <c r="H69" s="6"/>
    </row>
    <row r="70" spans="1:8" ht="15.95" customHeight="1" x14ac:dyDescent="0.2">
      <c r="B70" s="3"/>
      <c r="C70" s="3"/>
      <c r="D70" s="6"/>
      <c r="E70" s="6"/>
      <c r="F70" s="9"/>
      <c r="G70" s="6"/>
      <c r="H70" s="6"/>
    </row>
    <row r="71" spans="1:8" ht="15.95" customHeight="1" x14ac:dyDescent="0.2">
      <c r="B71" s="3"/>
      <c r="C71" s="3"/>
      <c r="D71" s="6"/>
      <c r="E71" s="6"/>
      <c r="F71" s="9"/>
      <c r="G71" s="6"/>
      <c r="H71" s="6"/>
    </row>
    <row r="72" spans="1:8" ht="15.95" customHeight="1" x14ac:dyDescent="0.2">
      <c r="B72" s="3"/>
      <c r="C72" s="3"/>
      <c r="D72" s="6"/>
      <c r="E72" s="6"/>
      <c r="F72" s="9"/>
      <c r="G72" s="6"/>
      <c r="H72" s="6"/>
    </row>
    <row r="73" spans="1:8" ht="15.95" customHeight="1" x14ac:dyDescent="0.2">
      <c r="A73" s="3"/>
      <c r="B73" s="3"/>
      <c r="C73" s="3"/>
      <c r="D73" s="6"/>
      <c r="E73" s="6"/>
      <c r="F73" s="9"/>
      <c r="G73" s="6"/>
      <c r="H73" s="6"/>
    </row>
    <row r="75" spans="1:8" ht="15.95" customHeight="1" x14ac:dyDescent="0.2">
      <c r="B75" s="3"/>
      <c r="C75" s="3"/>
      <c r="D75" s="6"/>
      <c r="E75" s="6"/>
      <c r="H75" s="6"/>
    </row>
    <row r="76" spans="1:8" ht="15.95" customHeight="1" x14ac:dyDescent="0.2">
      <c r="B76" s="3"/>
      <c r="C76" s="3"/>
      <c r="D76" s="6"/>
      <c r="E76" s="6"/>
      <c r="H76" s="6"/>
    </row>
    <row r="77" spans="1:8" ht="15.95" customHeight="1" x14ac:dyDescent="0.2">
      <c r="B77" s="3"/>
      <c r="C77" s="3"/>
      <c r="D77" s="6"/>
      <c r="E77" s="6"/>
      <c r="F77" s="9"/>
      <c r="G77" s="6"/>
      <c r="H77" s="6"/>
    </row>
    <row r="78" spans="1:8" ht="15.95" customHeight="1" x14ac:dyDescent="0.2">
      <c r="B78" s="3"/>
      <c r="C78" s="3"/>
      <c r="D78" s="6"/>
      <c r="E78" s="6"/>
      <c r="F78" s="9"/>
      <c r="G78" s="6"/>
      <c r="H78" s="6"/>
    </row>
    <row r="79" spans="1:8" ht="15.95" customHeight="1" x14ac:dyDescent="0.2">
      <c r="B79" s="3"/>
      <c r="C79" s="3"/>
      <c r="D79" s="6"/>
      <c r="E79" s="6"/>
      <c r="F79" s="9"/>
      <c r="G79" s="6"/>
      <c r="H79" s="6"/>
    </row>
    <row r="80" spans="1:8" ht="15.95" customHeight="1" x14ac:dyDescent="0.2">
      <c r="B80" s="3"/>
      <c r="C80" s="3"/>
      <c r="D80" s="6"/>
      <c r="E80" s="6"/>
      <c r="F80" s="9"/>
      <c r="G80" s="6"/>
      <c r="H80" s="6"/>
    </row>
    <row r="81" spans="2:8" ht="15.95" customHeight="1" x14ac:dyDescent="0.2">
      <c r="B81" s="3"/>
      <c r="C81" s="3"/>
      <c r="D81" s="6"/>
      <c r="E81" s="6"/>
      <c r="F81" s="9"/>
      <c r="G81" s="6"/>
      <c r="H81" s="6"/>
    </row>
    <row r="82" spans="2:8" ht="15.95" customHeight="1" x14ac:dyDescent="0.2">
      <c r="B82" s="3"/>
      <c r="C82" s="3"/>
      <c r="D82" s="6"/>
      <c r="E82" s="6"/>
      <c r="F82" s="9"/>
      <c r="G82" s="6"/>
      <c r="H82" s="6"/>
    </row>
    <row r="83" spans="2:8" ht="15.95" customHeight="1" x14ac:dyDescent="0.2">
      <c r="B83" s="3"/>
      <c r="C83" s="3"/>
      <c r="D83" s="6"/>
      <c r="E83" s="6"/>
      <c r="F83" s="9"/>
      <c r="G83" s="6"/>
      <c r="H83" s="6"/>
    </row>
    <row r="84" spans="2:8" ht="15.95" customHeight="1" x14ac:dyDescent="0.2">
      <c r="B84" s="3"/>
      <c r="C84" s="3"/>
      <c r="D84" s="6"/>
      <c r="E84" s="6"/>
      <c r="F84" s="9"/>
      <c r="G84" s="6"/>
      <c r="H84" s="6"/>
    </row>
    <row r="85" spans="2:8" ht="15.95" customHeight="1" x14ac:dyDescent="0.2">
      <c r="B85" s="3"/>
      <c r="C85" s="3"/>
      <c r="D85" s="6"/>
      <c r="E85" s="6"/>
      <c r="F85" s="9"/>
      <c r="G85" s="6"/>
      <c r="H85" s="6"/>
    </row>
    <row r="86" spans="2:8" ht="15.95" customHeight="1" x14ac:dyDescent="0.2">
      <c r="B86" s="3"/>
      <c r="C86" s="3"/>
      <c r="D86" s="6"/>
      <c r="E86" s="6"/>
      <c r="F86" s="9"/>
      <c r="G86" s="6"/>
      <c r="H86" s="6"/>
    </row>
    <row r="87" spans="2:8" ht="15.95" customHeight="1" x14ac:dyDescent="0.2">
      <c r="B87" s="3"/>
      <c r="C87" s="3"/>
    </row>
    <row r="88" spans="2:8" ht="15.95" customHeight="1" x14ac:dyDescent="0.2">
      <c r="B88" s="3"/>
      <c r="C88" s="3"/>
      <c r="D88" s="6"/>
      <c r="E88" s="6"/>
      <c r="H88" s="6"/>
    </row>
    <row r="89" spans="2:8" ht="15.95" customHeight="1" x14ac:dyDescent="0.2">
      <c r="B89" s="3"/>
      <c r="C89" s="3"/>
      <c r="D89" s="6"/>
      <c r="E89" s="6"/>
      <c r="H89" s="6"/>
    </row>
    <row r="90" spans="2:8" ht="15.95" customHeight="1" x14ac:dyDescent="0.2">
      <c r="B90" s="3"/>
      <c r="C90" s="3"/>
      <c r="D90" s="6"/>
      <c r="E90" s="6"/>
      <c r="F90" s="9"/>
      <c r="G90" s="6"/>
      <c r="H90" s="6"/>
    </row>
    <row r="91" spans="2:8" ht="15.95" customHeight="1" x14ac:dyDescent="0.2">
      <c r="B91" s="3"/>
      <c r="C91" s="3"/>
      <c r="D91" s="6"/>
      <c r="E91" s="6"/>
      <c r="F91" s="9"/>
      <c r="G91" s="6"/>
      <c r="H91" s="6"/>
    </row>
    <row r="92" spans="2:8" ht="15.95" customHeight="1" x14ac:dyDescent="0.2">
      <c r="B92" s="3"/>
      <c r="C92" s="3"/>
      <c r="D92" s="6"/>
      <c r="E92" s="6"/>
      <c r="F92" s="9"/>
      <c r="G92" s="6"/>
      <c r="H92" s="6"/>
    </row>
    <row r="93" spans="2:8" ht="15.95" customHeight="1" x14ac:dyDescent="0.2">
      <c r="B93" s="3"/>
      <c r="C93" s="3"/>
      <c r="D93" s="6"/>
      <c r="E93" s="6"/>
      <c r="F93" s="9"/>
      <c r="G93" s="6"/>
      <c r="H93" s="6"/>
    </row>
    <row r="94" spans="2:8" ht="15.95" customHeight="1" x14ac:dyDescent="0.2">
      <c r="B94" s="3"/>
      <c r="C94" s="3"/>
      <c r="D94" s="6"/>
      <c r="E94" s="6"/>
      <c r="F94" s="9"/>
      <c r="G94" s="6"/>
      <c r="H94" s="6"/>
    </row>
    <row r="95" spans="2:8" ht="15.95" customHeight="1" x14ac:dyDescent="0.2">
      <c r="B95" s="3"/>
      <c r="C95" s="3"/>
      <c r="D95" s="6"/>
      <c r="E95" s="6"/>
      <c r="F95" s="9"/>
      <c r="G95" s="6"/>
      <c r="H95" s="6"/>
    </row>
    <row r="96" spans="2:8" ht="15.95" customHeight="1" x14ac:dyDescent="0.2">
      <c r="B96" s="3"/>
      <c r="C96" s="3"/>
      <c r="D96" s="6"/>
      <c r="E96" s="6"/>
      <c r="F96" s="9"/>
      <c r="G96" s="6"/>
      <c r="H96" s="6"/>
    </row>
    <row r="97" spans="1:8" ht="15.95" customHeight="1" x14ac:dyDescent="0.2">
      <c r="B97" s="3"/>
      <c r="C97" s="3"/>
      <c r="D97" s="6"/>
      <c r="E97" s="6"/>
      <c r="F97" s="9"/>
      <c r="G97" s="6"/>
      <c r="H97" s="6"/>
    </row>
    <row r="98" spans="1:8" ht="15.95" customHeight="1" x14ac:dyDescent="0.2">
      <c r="B98" s="3"/>
      <c r="C98" s="3"/>
      <c r="D98" s="6"/>
      <c r="E98" s="6"/>
      <c r="F98" s="9"/>
      <c r="G98" s="6"/>
      <c r="H98" s="6"/>
    </row>
    <row r="99" spans="1:8" ht="15.95" customHeight="1" x14ac:dyDescent="0.2">
      <c r="B99" s="3"/>
      <c r="C99" s="3"/>
      <c r="D99" s="6"/>
      <c r="E99" s="6"/>
      <c r="F99" s="9"/>
      <c r="G99" s="6"/>
      <c r="H99" s="6"/>
    </row>
    <row r="100" spans="1:8" ht="15.95" customHeight="1" x14ac:dyDescent="0.2">
      <c r="B100" s="3"/>
      <c r="C100" s="3"/>
    </row>
    <row r="101" spans="1:8" ht="15.95" customHeight="1" x14ac:dyDescent="0.2">
      <c r="B101" s="3"/>
      <c r="C101" s="3"/>
      <c r="D101" s="6"/>
      <c r="E101" s="6"/>
      <c r="H101" s="6"/>
    </row>
    <row r="102" spans="1:8" ht="15.95" customHeight="1" x14ac:dyDescent="0.2">
      <c r="B102" s="3"/>
      <c r="C102" s="3"/>
      <c r="D102" s="6"/>
      <c r="E102" s="6"/>
      <c r="H102" s="6"/>
    </row>
    <row r="103" spans="1:8" ht="15.95" customHeight="1" x14ac:dyDescent="0.2">
      <c r="B103" s="3"/>
      <c r="C103" s="3"/>
      <c r="D103" s="6"/>
      <c r="E103" s="6"/>
      <c r="F103" s="9"/>
      <c r="G103" s="6"/>
      <c r="H103" s="6"/>
    </row>
    <row r="104" spans="1:8" ht="15.95" customHeight="1" x14ac:dyDescent="0.2">
      <c r="B104" s="3"/>
      <c r="C104" s="3"/>
      <c r="D104" s="6"/>
      <c r="E104" s="6"/>
      <c r="F104" s="9"/>
      <c r="G104" s="6"/>
      <c r="H104" s="6"/>
    </row>
    <row r="105" spans="1:8" ht="15.95" customHeight="1" x14ac:dyDescent="0.2">
      <c r="B105" s="3"/>
      <c r="C105" s="3"/>
      <c r="D105" s="6"/>
      <c r="E105" s="6"/>
      <c r="F105" s="9"/>
      <c r="G105" s="6"/>
      <c r="H105" s="6"/>
    </row>
    <row r="106" spans="1:8" ht="15.95" customHeight="1" x14ac:dyDescent="0.2">
      <c r="A106" s="3"/>
      <c r="B106" s="3"/>
      <c r="C106" s="3"/>
      <c r="D106" s="6"/>
      <c r="E106" s="6"/>
      <c r="F106" s="9"/>
      <c r="G106" s="6"/>
      <c r="H106" s="6"/>
    </row>
    <row r="107" spans="1:8" ht="15.95" customHeight="1" x14ac:dyDescent="0.2">
      <c r="B107" s="3"/>
      <c r="C107" s="3"/>
      <c r="D107" s="6"/>
      <c r="E107" s="6"/>
      <c r="F107" s="9"/>
      <c r="G107" s="6"/>
      <c r="H107" s="6"/>
    </row>
    <row r="108" spans="1:8" ht="15.95" customHeight="1" x14ac:dyDescent="0.2">
      <c r="B108" s="3"/>
      <c r="C108" s="3"/>
      <c r="D108" s="6"/>
      <c r="E108" s="6"/>
      <c r="F108" s="9"/>
      <c r="G108" s="6"/>
      <c r="H108" s="6"/>
    </row>
    <row r="109" spans="1:8" ht="15.95" customHeight="1" x14ac:dyDescent="0.2">
      <c r="B109" s="3"/>
      <c r="C109" s="3"/>
      <c r="D109" s="6"/>
      <c r="E109" s="6"/>
      <c r="F109" s="9"/>
      <c r="G109" s="6"/>
      <c r="H109" s="6"/>
    </row>
    <row r="110" spans="1:8" ht="15.95" customHeight="1" x14ac:dyDescent="0.2">
      <c r="B110" s="3"/>
      <c r="C110" s="3"/>
      <c r="D110" s="6"/>
      <c r="E110" s="6"/>
      <c r="F110" s="9"/>
      <c r="G110" s="6"/>
      <c r="H110" s="6"/>
    </row>
    <row r="111" spans="1:8" ht="15.95" customHeight="1" x14ac:dyDescent="0.2">
      <c r="B111" s="3"/>
      <c r="C111" s="3"/>
      <c r="D111" s="6"/>
      <c r="E111" s="6"/>
      <c r="F111" s="9"/>
      <c r="G111" s="6"/>
      <c r="H111" s="6"/>
    </row>
    <row r="112" spans="1:8" ht="15.95" customHeight="1" x14ac:dyDescent="0.2">
      <c r="B112" s="3"/>
      <c r="C112" s="3"/>
      <c r="D112" s="6"/>
      <c r="E112" s="6"/>
      <c r="F112" s="9"/>
      <c r="G112" s="6"/>
      <c r="H112" s="6"/>
    </row>
    <row r="113" spans="1:8" ht="15.95" customHeight="1" x14ac:dyDescent="0.2">
      <c r="B113" s="3"/>
      <c r="C113" s="3"/>
    </row>
    <row r="114" spans="1:8" ht="15.95" customHeight="1" x14ac:dyDescent="0.2">
      <c r="B114" s="3"/>
      <c r="C114" s="3"/>
      <c r="D114" s="6"/>
      <c r="E114" s="6"/>
      <c r="H114" s="6"/>
    </row>
    <row r="115" spans="1:8" ht="15.95" customHeight="1" x14ac:dyDescent="0.2">
      <c r="B115" s="3"/>
      <c r="C115" s="3"/>
      <c r="D115" s="6"/>
      <c r="E115" s="6"/>
      <c r="H115" s="6"/>
    </row>
    <row r="116" spans="1:8" ht="15.95" customHeight="1" x14ac:dyDescent="0.2">
      <c r="B116" s="3"/>
      <c r="C116" s="3"/>
      <c r="D116" s="6"/>
      <c r="E116" s="6"/>
      <c r="F116" s="9"/>
      <c r="G116" s="6"/>
      <c r="H116" s="6"/>
    </row>
    <row r="117" spans="1:8" ht="15.95" customHeight="1" x14ac:dyDescent="0.2">
      <c r="B117" s="3"/>
      <c r="C117" s="3"/>
      <c r="D117" s="6"/>
      <c r="E117" s="6"/>
      <c r="F117" s="9"/>
      <c r="G117" s="6"/>
      <c r="H117" s="6"/>
    </row>
    <row r="118" spans="1:8" ht="15.95" customHeight="1" x14ac:dyDescent="0.2">
      <c r="B118" s="3"/>
      <c r="C118" s="3"/>
      <c r="D118" s="6"/>
      <c r="E118" s="6"/>
      <c r="F118" s="9"/>
      <c r="G118" s="6"/>
      <c r="H118" s="6"/>
    </row>
    <row r="119" spans="1:8" ht="15.95" customHeight="1" x14ac:dyDescent="0.2">
      <c r="B119" s="3"/>
      <c r="C119" s="3"/>
      <c r="D119" s="6"/>
      <c r="E119" s="6"/>
      <c r="F119" s="9"/>
      <c r="G119" s="6"/>
      <c r="H119" s="6"/>
    </row>
    <row r="120" spans="1:8" ht="15.95" customHeight="1" x14ac:dyDescent="0.2">
      <c r="B120" s="3"/>
      <c r="C120" s="3"/>
      <c r="D120" s="6"/>
      <c r="E120" s="6"/>
      <c r="F120" s="9"/>
      <c r="G120" s="6"/>
      <c r="H120" s="6"/>
    </row>
    <row r="121" spans="1:8" ht="15.95" customHeight="1" x14ac:dyDescent="0.2">
      <c r="B121" s="3"/>
      <c r="C121" s="3"/>
      <c r="D121" s="6"/>
      <c r="E121" s="6"/>
      <c r="F121" s="9"/>
      <c r="G121" s="6"/>
      <c r="H121" s="6"/>
    </row>
    <row r="122" spans="1:8" ht="15.95" customHeight="1" x14ac:dyDescent="0.2">
      <c r="B122" s="3"/>
      <c r="C122" s="3"/>
      <c r="D122" s="6"/>
      <c r="E122" s="6"/>
      <c r="F122" s="9"/>
      <c r="G122" s="6"/>
      <c r="H122" s="6"/>
    </row>
    <row r="123" spans="1:8" ht="15.95" customHeight="1" x14ac:dyDescent="0.2">
      <c r="B123" s="3"/>
      <c r="C123" s="3"/>
      <c r="D123" s="6"/>
      <c r="E123" s="6"/>
      <c r="F123" s="9"/>
      <c r="G123" s="6"/>
      <c r="H123" s="6"/>
    </row>
    <row r="124" spans="1:8" ht="15.95" customHeight="1" x14ac:dyDescent="0.2">
      <c r="B124" s="3"/>
      <c r="C124" s="3"/>
      <c r="D124" s="6"/>
      <c r="E124" s="6"/>
      <c r="F124" s="9"/>
      <c r="G124" s="6"/>
      <c r="H124" s="6"/>
    </row>
    <row r="125" spans="1:8" ht="15.95" customHeight="1" x14ac:dyDescent="0.2">
      <c r="A125" s="3"/>
      <c r="B125" s="3"/>
      <c r="C125" s="3"/>
      <c r="D125" s="6"/>
      <c r="E125" s="6"/>
      <c r="F125" s="9"/>
      <c r="G125" s="6"/>
      <c r="H125" s="6"/>
    </row>
    <row r="126" spans="1:8" ht="15.95" customHeight="1" x14ac:dyDescent="0.2">
      <c r="H126" s="16"/>
    </row>
    <row r="127" spans="1:8" ht="15.95" customHeight="1" x14ac:dyDescent="0.2">
      <c r="D127" s="6"/>
      <c r="E127" s="6"/>
      <c r="H127" s="6"/>
    </row>
    <row r="128" spans="1:8" ht="15.95" customHeight="1" x14ac:dyDescent="0.2">
      <c r="D128" s="6"/>
      <c r="E128" s="6"/>
      <c r="H128" s="6"/>
    </row>
    <row r="129" spans="4:8" ht="15.95" customHeight="1" x14ac:dyDescent="0.2">
      <c r="D129" s="6"/>
      <c r="E129" s="6"/>
      <c r="F129" s="9"/>
      <c r="G129" s="6"/>
      <c r="H129" s="6"/>
    </row>
    <row r="130" spans="4:8" ht="15.95" customHeight="1" x14ac:dyDescent="0.2">
      <c r="D130" s="6"/>
      <c r="E130" s="6"/>
      <c r="F130" s="9"/>
      <c r="G130" s="6"/>
      <c r="H130" s="6"/>
    </row>
    <row r="131" spans="4:8" ht="15.95" customHeight="1" x14ac:dyDescent="0.2">
      <c r="D131" s="6"/>
      <c r="E131" s="6"/>
      <c r="F131" s="9"/>
      <c r="G131" s="6"/>
      <c r="H131" s="6"/>
    </row>
    <row r="132" spans="4:8" ht="15.95" customHeight="1" x14ac:dyDescent="0.2">
      <c r="D132" s="6"/>
      <c r="E132" s="6"/>
      <c r="F132" s="9"/>
      <c r="G132" s="6"/>
      <c r="H132" s="6"/>
    </row>
    <row r="133" spans="4:8" ht="15.95" customHeight="1" x14ac:dyDescent="0.2">
      <c r="D133" s="6"/>
      <c r="E133" s="6"/>
      <c r="F133" s="9"/>
      <c r="G133" s="6"/>
      <c r="H133" s="6"/>
    </row>
    <row r="134" spans="4:8" ht="15.95" customHeight="1" x14ac:dyDescent="0.2">
      <c r="D134" s="6"/>
      <c r="E134" s="6"/>
      <c r="F134" s="9"/>
      <c r="G134" s="6"/>
      <c r="H134" s="6"/>
    </row>
    <row r="135" spans="4:8" ht="15.95" customHeight="1" x14ac:dyDescent="0.2">
      <c r="D135" s="6"/>
      <c r="E135" s="6"/>
      <c r="F135" s="9"/>
      <c r="G135" s="6"/>
      <c r="H135" s="6"/>
    </row>
    <row r="136" spans="4:8" ht="15.95" customHeight="1" x14ac:dyDescent="0.2">
      <c r="D136" s="6"/>
      <c r="E136" s="6"/>
      <c r="F136" s="9"/>
      <c r="G136" s="6"/>
      <c r="H136" s="6"/>
    </row>
    <row r="137" spans="4:8" ht="15.95" customHeight="1" x14ac:dyDescent="0.2">
      <c r="D137" s="6"/>
      <c r="E137" s="6"/>
      <c r="F137" s="9"/>
      <c r="G137" s="6"/>
      <c r="H137" s="6"/>
    </row>
    <row r="138" spans="4:8" ht="15.95" customHeight="1" x14ac:dyDescent="0.2">
      <c r="D138" s="6"/>
      <c r="E138" s="6"/>
      <c r="F138" s="9"/>
      <c r="G138" s="6"/>
      <c r="H138" s="6"/>
    </row>
    <row r="139" spans="4:8" ht="15.95" customHeight="1" x14ac:dyDescent="0.2">
      <c r="H139" s="16"/>
    </row>
    <row r="140" spans="4:8" ht="15.95" customHeight="1" x14ac:dyDescent="0.2">
      <c r="D140" s="6"/>
      <c r="E140" s="6"/>
      <c r="H140" s="6"/>
    </row>
    <row r="141" spans="4:8" ht="15.95" customHeight="1" x14ac:dyDescent="0.2">
      <c r="D141" s="6"/>
      <c r="E141" s="6"/>
      <c r="H141" s="6"/>
    </row>
    <row r="142" spans="4:8" ht="15.95" customHeight="1" x14ac:dyDescent="0.2">
      <c r="D142" s="6"/>
      <c r="E142" s="6"/>
      <c r="F142" s="9"/>
      <c r="G142" s="6"/>
      <c r="H142" s="6"/>
    </row>
    <row r="143" spans="4:8" ht="15.95" customHeight="1" x14ac:dyDescent="0.2">
      <c r="D143" s="6"/>
      <c r="E143" s="6"/>
      <c r="F143" s="9"/>
      <c r="G143" s="6"/>
      <c r="H143" s="6"/>
    </row>
    <row r="144" spans="4:8" ht="15.95" customHeight="1" x14ac:dyDescent="0.2">
      <c r="D144" s="6"/>
      <c r="E144" s="6"/>
      <c r="F144" s="9"/>
      <c r="G144" s="6"/>
      <c r="H144" s="6"/>
    </row>
    <row r="145" spans="4:8" ht="15.95" customHeight="1" x14ac:dyDescent="0.2">
      <c r="D145" s="6"/>
      <c r="E145" s="6"/>
      <c r="F145" s="9"/>
      <c r="G145" s="6"/>
      <c r="H145" s="6"/>
    </row>
    <row r="146" spans="4:8" ht="15.95" customHeight="1" x14ac:dyDescent="0.2">
      <c r="D146" s="6"/>
      <c r="E146" s="6"/>
      <c r="F146" s="9"/>
      <c r="G146" s="6"/>
      <c r="H146" s="6"/>
    </row>
    <row r="147" spans="4:8" ht="15.95" customHeight="1" x14ac:dyDescent="0.2">
      <c r="D147" s="6"/>
      <c r="E147" s="6"/>
      <c r="F147" s="9"/>
      <c r="G147" s="6"/>
      <c r="H147" s="6"/>
    </row>
    <row r="148" spans="4:8" ht="15.95" customHeight="1" x14ac:dyDescent="0.2">
      <c r="D148" s="6"/>
      <c r="E148" s="6"/>
      <c r="F148" s="9"/>
      <c r="G148" s="6"/>
      <c r="H148" s="6"/>
    </row>
    <row r="149" spans="4:8" ht="15.95" customHeight="1" x14ac:dyDescent="0.2">
      <c r="D149" s="6"/>
      <c r="E149" s="6"/>
      <c r="F149" s="9"/>
      <c r="G149" s="6"/>
      <c r="H149" s="6"/>
    </row>
    <row r="150" spans="4:8" ht="15.95" customHeight="1" x14ac:dyDescent="0.2">
      <c r="D150" s="6"/>
      <c r="E150" s="6"/>
      <c r="F150" s="9"/>
      <c r="G150" s="6"/>
      <c r="H150" s="6"/>
    </row>
    <row r="151" spans="4:8" ht="15.95" customHeight="1" x14ac:dyDescent="0.2">
      <c r="D151" s="6"/>
      <c r="E151" s="6"/>
      <c r="F151" s="9"/>
      <c r="G151" s="6"/>
      <c r="H151" s="6"/>
    </row>
    <row r="152" spans="4:8" ht="15.95" customHeight="1" x14ac:dyDescent="0.2">
      <c r="H152" s="16"/>
    </row>
    <row r="153" spans="4:8" ht="15.95" customHeight="1" x14ac:dyDescent="0.2">
      <c r="D153" s="6"/>
      <c r="E153" s="6"/>
      <c r="H153" s="6"/>
    </row>
    <row r="154" spans="4:8" ht="15.95" customHeight="1" x14ac:dyDescent="0.2">
      <c r="D154" s="6"/>
      <c r="E154" s="6"/>
      <c r="H154" s="6"/>
    </row>
    <row r="155" spans="4:8" ht="15.95" customHeight="1" x14ac:dyDescent="0.2">
      <c r="D155" s="6"/>
      <c r="E155" s="6"/>
      <c r="F155" s="9"/>
      <c r="G155" s="6"/>
      <c r="H155" s="6"/>
    </row>
    <row r="156" spans="4:8" ht="15.95" customHeight="1" x14ac:dyDescent="0.2">
      <c r="D156" s="6"/>
      <c r="E156" s="6"/>
      <c r="F156" s="9"/>
      <c r="G156" s="6"/>
      <c r="H156" s="6"/>
    </row>
    <row r="157" spans="4:8" ht="15.95" customHeight="1" x14ac:dyDescent="0.2">
      <c r="D157" s="6"/>
      <c r="E157" s="6"/>
      <c r="F157" s="9"/>
      <c r="G157" s="6"/>
      <c r="H157" s="6"/>
    </row>
    <row r="158" spans="4:8" ht="15.95" customHeight="1" x14ac:dyDescent="0.2">
      <c r="D158" s="6"/>
      <c r="E158" s="6"/>
      <c r="F158" s="9"/>
      <c r="G158" s="6"/>
      <c r="H158" s="6"/>
    </row>
    <row r="159" spans="4:8" ht="15.95" customHeight="1" x14ac:dyDescent="0.2">
      <c r="D159" s="6"/>
      <c r="E159" s="6"/>
      <c r="F159" s="9"/>
      <c r="G159" s="6"/>
      <c r="H159" s="6"/>
    </row>
    <row r="160" spans="4:8" ht="15.95" customHeight="1" x14ac:dyDescent="0.2">
      <c r="D160" s="6"/>
      <c r="E160" s="6"/>
      <c r="F160" s="9"/>
      <c r="G160" s="6"/>
      <c r="H160" s="6"/>
    </row>
    <row r="161" spans="4:8" ht="15.95" customHeight="1" x14ac:dyDescent="0.2">
      <c r="D161" s="6"/>
      <c r="E161" s="6"/>
      <c r="F161" s="9"/>
      <c r="G161" s="6"/>
      <c r="H161" s="6"/>
    </row>
    <row r="162" spans="4:8" ht="15.95" customHeight="1" x14ac:dyDescent="0.2">
      <c r="D162" s="6"/>
      <c r="E162" s="6"/>
      <c r="F162" s="9"/>
      <c r="G162" s="6"/>
      <c r="H162" s="6"/>
    </row>
    <row r="163" spans="4:8" ht="15.95" customHeight="1" x14ac:dyDescent="0.2">
      <c r="D163" s="6"/>
      <c r="E163" s="6"/>
      <c r="F163" s="9"/>
      <c r="G163" s="6"/>
      <c r="H163" s="6"/>
    </row>
    <row r="164" spans="4:8" ht="15.95" customHeight="1" x14ac:dyDescent="0.2">
      <c r="D164" s="6"/>
      <c r="E164" s="6"/>
      <c r="F164" s="9"/>
      <c r="G164" s="6"/>
      <c r="H164" s="6"/>
    </row>
    <row r="165" spans="4:8" ht="15.95" customHeight="1" x14ac:dyDescent="0.2">
      <c r="H165" s="16"/>
    </row>
    <row r="166" spans="4:8" ht="15.95" customHeight="1" x14ac:dyDescent="0.2">
      <c r="D166" s="6"/>
      <c r="E166" s="6"/>
      <c r="H166" s="6"/>
    </row>
    <row r="167" spans="4:8" ht="15.95" customHeight="1" x14ac:dyDescent="0.2">
      <c r="D167" s="6"/>
      <c r="E167" s="6"/>
      <c r="H167" s="6"/>
    </row>
    <row r="168" spans="4:8" ht="15.95" customHeight="1" x14ac:dyDescent="0.2">
      <c r="D168" s="6"/>
      <c r="E168" s="6"/>
      <c r="F168" s="9"/>
      <c r="G168" s="6"/>
      <c r="H168" s="6"/>
    </row>
    <row r="169" spans="4:8" ht="15.95" customHeight="1" x14ac:dyDescent="0.2">
      <c r="D169" s="6"/>
      <c r="E169" s="6"/>
      <c r="F169" s="9"/>
      <c r="G169" s="6"/>
      <c r="H169" s="6"/>
    </row>
    <row r="170" spans="4:8" ht="15.95" customHeight="1" x14ac:dyDescent="0.2">
      <c r="D170" s="6"/>
      <c r="E170" s="6"/>
      <c r="F170" s="9"/>
      <c r="G170" s="6"/>
      <c r="H170" s="6"/>
    </row>
    <row r="171" spans="4:8" ht="15.95" customHeight="1" x14ac:dyDescent="0.2">
      <c r="D171" s="6"/>
      <c r="E171" s="6"/>
      <c r="F171" s="9"/>
      <c r="G171" s="6"/>
      <c r="H171" s="6"/>
    </row>
    <row r="172" spans="4:8" ht="15.95" customHeight="1" x14ac:dyDescent="0.2">
      <c r="D172" s="6"/>
      <c r="E172" s="6"/>
      <c r="F172" s="9"/>
      <c r="G172" s="6"/>
      <c r="H172" s="6"/>
    </row>
    <row r="173" spans="4:8" ht="15.95" customHeight="1" x14ac:dyDescent="0.2">
      <c r="D173" s="6"/>
      <c r="E173" s="6"/>
      <c r="F173" s="9"/>
      <c r="G173" s="6"/>
      <c r="H173" s="6"/>
    </row>
    <row r="174" spans="4:8" ht="15.95" customHeight="1" x14ac:dyDescent="0.2">
      <c r="D174" s="6"/>
      <c r="E174" s="6"/>
      <c r="F174" s="9"/>
      <c r="G174" s="6"/>
      <c r="H174" s="6"/>
    </row>
    <row r="175" spans="4:8" ht="15.95" customHeight="1" x14ac:dyDescent="0.2">
      <c r="D175" s="6"/>
      <c r="E175" s="6"/>
      <c r="F175" s="9"/>
      <c r="G175" s="6"/>
      <c r="H175" s="6"/>
    </row>
    <row r="176" spans="4:8" ht="15.95" customHeight="1" x14ac:dyDescent="0.2">
      <c r="D176" s="6"/>
      <c r="E176" s="6"/>
      <c r="F176" s="9"/>
      <c r="G176" s="6"/>
      <c r="H176" s="6"/>
    </row>
    <row r="177" spans="4:8" ht="15.95" customHeight="1" x14ac:dyDescent="0.2">
      <c r="D177" s="6"/>
      <c r="E177" s="6"/>
      <c r="F177" s="9"/>
      <c r="G177" s="6"/>
      <c r="H177" s="6"/>
    </row>
  </sheetData>
  <mergeCells count="1">
    <mergeCell ref="B8: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3479-B106-0B4F-8591-E2E63E21BCA5}">
  <sheetPr>
    <tabColor rgb="FFFFFF00"/>
  </sheetPr>
  <dimension ref="A1:M215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" customWidth="1"/>
    <col min="2" max="15" width="10.28515625" style="1" customWidth="1"/>
    <col min="16" max="256" width="10.140625" style="1" customWidth="1"/>
    <col min="257" max="257" width="14.7109375" style="1" customWidth="1"/>
    <col min="258" max="258" width="11.42578125" style="1" bestFit="1" customWidth="1"/>
    <col min="259" max="512" width="10.140625" style="1" customWidth="1"/>
    <col min="513" max="513" width="14.7109375" style="1" customWidth="1"/>
    <col min="514" max="514" width="11.42578125" style="1" bestFit="1" customWidth="1"/>
    <col min="515" max="768" width="10.140625" style="1" customWidth="1"/>
    <col min="769" max="769" width="14.7109375" style="1" customWidth="1"/>
    <col min="770" max="770" width="11.42578125" style="1" bestFit="1" customWidth="1"/>
    <col min="771" max="1024" width="10.140625" style="1" customWidth="1"/>
    <col min="1025" max="1025" width="14.7109375" style="1" customWidth="1"/>
    <col min="1026" max="1026" width="11.42578125" style="1" bestFit="1" customWidth="1"/>
    <col min="1027" max="1280" width="10.140625" style="1" customWidth="1"/>
    <col min="1281" max="1281" width="14.7109375" style="1" customWidth="1"/>
    <col min="1282" max="1282" width="11.42578125" style="1" bestFit="1" customWidth="1"/>
    <col min="1283" max="1536" width="10.140625" style="1" customWidth="1"/>
    <col min="1537" max="1537" width="14.7109375" style="1" customWidth="1"/>
    <col min="1538" max="1538" width="11.42578125" style="1" bestFit="1" customWidth="1"/>
    <col min="1539" max="1792" width="10.140625" style="1" customWidth="1"/>
    <col min="1793" max="1793" width="14.7109375" style="1" customWidth="1"/>
    <col min="1794" max="1794" width="11.42578125" style="1" bestFit="1" customWidth="1"/>
    <col min="1795" max="2048" width="10.140625" style="1" customWidth="1"/>
    <col min="2049" max="2049" width="14.7109375" style="1" customWidth="1"/>
    <col min="2050" max="2050" width="11.42578125" style="1" bestFit="1" customWidth="1"/>
    <col min="2051" max="2304" width="10.140625" style="1" customWidth="1"/>
    <col min="2305" max="2305" width="14.7109375" style="1" customWidth="1"/>
    <col min="2306" max="2306" width="11.42578125" style="1" bestFit="1" customWidth="1"/>
    <col min="2307" max="2560" width="10.140625" style="1" customWidth="1"/>
    <col min="2561" max="2561" width="14.7109375" style="1" customWidth="1"/>
    <col min="2562" max="2562" width="11.42578125" style="1" bestFit="1" customWidth="1"/>
    <col min="2563" max="2816" width="10.140625" style="1" customWidth="1"/>
    <col min="2817" max="2817" width="14.7109375" style="1" customWidth="1"/>
    <col min="2818" max="2818" width="11.42578125" style="1" bestFit="1" customWidth="1"/>
    <col min="2819" max="3072" width="10.140625" style="1" customWidth="1"/>
    <col min="3073" max="3073" width="14.7109375" style="1" customWidth="1"/>
    <col min="3074" max="3074" width="11.42578125" style="1" bestFit="1" customWidth="1"/>
    <col min="3075" max="3328" width="10.140625" style="1" customWidth="1"/>
    <col min="3329" max="3329" width="14.7109375" style="1" customWidth="1"/>
    <col min="3330" max="3330" width="11.42578125" style="1" bestFit="1" customWidth="1"/>
    <col min="3331" max="3584" width="10.140625" style="1" customWidth="1"/>
    <col min="3585" max="3585" width="14.7109375" style="1" customWidth="1"/>
    <col min="3586" max="3586" width="11.42578125" style="1" bestFit="1" customWidth="1"/>
    <col min="3587" max="3840" width="10.140625" style="1" customWidth="1"/>
    <col min="3841" max="3841" width="14.7109375" style="1" customWidth="1"/>
    <col min="3842" max="3842" width="11.42578125" style="1" bestFit="1" customWidth="1"/>
    <col min="3843" max="4096" width="10.140625" style="1" customWidth="1"/>
    <col min="4097" max="4097" width="14.7109375" style="1" customWidth="1"/>
    <col min="4098" max="4098" width="11.42578125" style="1" bestFit="1" customWidth="1"/>
    <col min="4099" max="4352" width="10.140625" style="1" customWidth="1"/>
    <col min="4353" max="4353" width="14.7109375" style="1" customWidth="1"/>
    <col min="4354" max="4354" width="11.42578125" style="1" bestFit="1" customWidth="1"/>
    <col min="4355" max="4608" width="10.140625" style="1" customWidth="1"/>
    <col min="4609" max="4609" width="14.7109375" style="1" customWidth="1"/>
    <col min="4610" max="4610" width="11.42578125" style="1" bestFit="1" customWidth="1"/>
    <col min="4611" max="4864" width="10.140625" style="1" customWidth="1"/>
    <col min="4865" max="4865" width="14.7109375" style="1" customWidth="1"/>
    <col min="4866" max="4866" width="11.42578125" style="1" bestFit="1" customWidth="1"/>
    <col min="4867" max="5120" width="10.140625" style="1" customWidth="1"/>
    <col min="5121" max="5121" width="14.7109375" style="1" customWidth="1"/>
    <col min="5122" max="5122" width="11.42578125" style="1" bestFit="1" customWidth="1"/>
    <col min="5123" max="5376" width="10.140625" style="1" customWidth="1"/>
    <col min="5377" max="5377" width="14.7109375" style="1" customWidth="1"/>
    <col min="5378" max="5378" width="11.42578125" style="1" bestFit="1" customWidth="1"/>
    <col min="5379" max="5632" width="10.140625" style="1" customWidth="1"/>
    <col min="5633" max="5633" width="14.7109375" style="1" customWidth="1"/>
    <col min="5634" max="5634" width="11.42578125" style="1" bestFit="1" customWidth="1"/>
    <col min="5635" max="5888" width="10.140625" style="1" customWidth="1"/>
    <col min="5889" max="5889" width="14.7109375" style="1" customWidth="1"/>
    <col min="5890" max="5890" width="11.42578125" style="1" bestFit="1" customWidth="1"/>
    <col min="5891" max="6144" width="10.140625" style="1" customWidth="1"/>
    <col min="6145" max="6145" width="14.7109375" style="1" customWidth="1"/>
    <col min="6146" max="6146" width="11.42578125" style="1" bestFit="1" customWidth="1"/>
    <col min="6147" max="6400" width="10.140625" style="1" customWidth="1"/>
    <col min="6401" max="6401" width="14.7109375" style="1" customWidth="1"/>
    <col min="6402" max="6402" width="11.42578125" style="1" bestFit="1" customWidth="1"/>
    <col min="6403" max="6656" width="10.140625" style="1" customWidth="1"/>
    <col min="6657" max="6657" width="14.7109375" style="1" customWidth="1"/>
    <col min="6658" max="6658" width="11.42578125" style="1" bestFit="1" customWidth="1"/>
    <col min="6659" max="6912" width="10.140625" style="1" customWidth="1"/>
    <col min="6913" max="6913" width="14.7109375" style="1" customWidth="1"/>
    <col min="6914" max="6914" width="11.42578125" style="1" bestFit="1" customWidth="1"/>
    <col min="6915" max="7168" width="10.140625" style="1" customWidth="1"/>
    <col min="7169" max="7169" width="14.7109375" style="1" customWidth="1"/>
    <col min="7170" max="7170" width="11.42578125" style="1" bestFit="1" customWidth="1"/>
    <col min="7171" max="7424" width="10.140625" style="1" customWidth="1"/>
    <col min="7425" max="7425" width="14.7109375" style="1" customWidth="1"/>
    <col min="7426" max="7426" width="11.42578125" style="1" bestFit="1" customWidth="1"/>
    <col min="7427" max="7680" width="10.140625" style="1" customWidth="1"/>
    <col min="7681" max="7681" width="14.7109375" style="1" customWidth="1"/>
    <col min="7682" max="7682" width="11.42578125" style="1" bestFit="1" customWidth="1"/>
    <col min="7683" max="7936" width="10.140625" style="1" customWidth="1"/>
    <col min="7937" max="7937" width="14.7109375" style="1" customWidth="1"/>
    <col min="7938" max="7938" width="11.42578125" style="1" bestFit="1" customWidth="1"/>
    <col min="7939" max="8192" width="10.140625" style="1" customWidth="1"/>
    <col min="8193" max="8193" width="14.7109375" style="1" customWidth="1"/>
    <col min="8194" max="8194" width="11.42578125" style="1" bestFit="1" customWidth="1"/>
    <col min="8195" max="8448" width="10.140625" style="1" customWidth="1"/>
    <col min="8449" max="8449" width="14.7109375" style="1" customWidth="1"/>
    <col min="8450" max="8450" width="11.42578125" style="1" bestFit="1" customWidth="1"/>
    <col min="8451" max="8704" width="10.140625" style="1" customWidth="1"/>
    <col min="8705" max="8705" width="14.7109375" style="1" customWidth="1"/>
    <col min="8706" max="8706" width="11.42578125" style="1" bestFit="1" customWidth="1"/>
    <col min="8707" max="8960" width="10.140625" style="1" customWidth="1"/>
    <col min="8961" max="8961" width="14.7109375" style="1" customWidth="1"/>
    <col min="8962" max="8962" width="11.42578125" style="1" bestFit="1" customWidth="1"/>
    <col min="8963" max="9216" width="10.140625" style="1" customWidth="1"/>
    <col min="9217" max="9217" width="14.7109375" style="1" customWidth="1"/>
    <col min="9218" max="9218" width="11.42578125" style="1" bestFit="1" customWidth="1"/>
    <col min="9219" max="9472" width="10.140625" style="1" customWidth="1"/>
    <col min="9473" max="9473" width="14.7109375" style="1" customWidth="1"/>
    <col min="9474" max="9474" width="11.42578125" style="1" bestFit="1" customWidth="1"/>
    <col min="9475" max="9728" width="10.140625" style="1" customWidth="1"/>
    <col min="9729" max="9729" width="14.7109375" style="1" customWidth="1"/>
    <col min="9730" max="9730" width="11.42578125" style="1" bestFit="1" customWidth="1"/>
    <col min="9731" max="9984" width="10.140625" style="1" customWidth="1"/>
    <col min="9985" max="9985" width="14.7109375" style="1" customWidth="1"/>
    <col min="9986" max="9986" width="11.42578125" style="1" bestFit="1" customWidth="1"/>
    <col min="9987" max="10240" width="10.140625" style="1" customWidth="1"/>
    <col min="10241" max="10241" width="14.7109375" style="1" customWidth="1"/>
    <col min="10242" max="10242" width="11.42578125" style="1" bestFit="1" customWidth="1"/>
    <col min="10243" max="10496" width="10.140625" style="1" customWidth="1"/>
    <col min="10497" max="10497" width="14.7109375" style="1" customWidth="1"/>
    <col min="10498" max="10498" width="11.42578125" style="1" bestFit="1" customWidth="1"/>
    <col min="10499" max="10752" width="10.140625" style="1" customWidth="1"/>
    <col min="10753" max="10753" width="14.7109375" style="1" customWidth="1"/>
    <col min="10754" max="10754" width="11.42578125" style="1" bestFit="1" customWidth="1"/>
    <col min="10755" max="11008" width="10.140625" style="1" customWidth="1"/>
    <col min="11009" max="11009" width="14.7109375" style="1" customWidth="1"/>
    <col min="11010" max="11010" width="11.42578125" style="1" bestFit="1" customWidth="1"/>
    <col min="11011" max="11264" width="10.140625" style="1" customWidth="1"/>
    <col min="11265" max="11265" width="14.7109375" style="1" customWidth="1"/>
    <col min="11266" max="11266" width="11.42578125" style="1" bestFit="1" customWidth="1"/>
    <col min="11267" max="11520" width="10.140625" style="1" customWidth="1"/>
    <col min="11521" max="11521" width="14.7109375" style="1" customWidth="1"/>
    <col min="11522" max="11522" width="11.42578125" style="1" bestFit="1" customWidth="1"/>
    <col min="11523" max="11776" width="10.140625" style="1" customWidth="1"/>
    <col min="11777" max="11777" width="14.7109375" style="1" customWidth="1"/>
    <col min="11778" max="11778" width="11.42578125" style="1" bestFit="1" customWidth="1"/>
    <col min="11779" max="12032" width="10.140625" style="1" customWidth="1"/>
    <col min="12033" max="12033" width="14.7109375" style="1" customWidth="1"/>
    <col min="12034" max="12034" width="11.42578125" style="1" bestFit="1" customWidth="1"/>
    <col min="12035" max="12288" width="10.140625" style="1" customWidth="1"/>
    <col min="12289" max="12289" width="14.7109375" style="1" customWidth="1"/>
    <col min="12290" max="12290" width="11.42578125" style="1" bestFit="1" customWidth="1"/>
    <col min="12291" max="12544" width="10.140625" style="1" customWidth="1"/>
    <col min="12545" max="12545" width="14.7109375" style="1" customWidth="1"/>
    <col min="12546" max="12546" width="11.42578125" style="1" bestFit="1" customWidth="1"/>
    <col min="12547" max="12800" width="10.140625" style="1" customWidth="1"/>
    <col min="12801" max="12801" width="14.7109375" style="1" customWidth="1"/>
    <col min="12802" max="12802" width="11.42578125" style="1" bestFit="1" customWidth="1"/>
    <col min="12803" max="13056" width="10.140625" style="1" customWidth="1"/>
    <col min="13057" max="13057" width="14.7109375" style="1" customWidth="1"/>
    <col min="13058" max="13058" width="11.42578125" style="1" bestFit="1" customWidth="1"/>
    <col min="13059" max="13312" width="10.140625" style="1" customWidth="1"/>
    <col min="13313" max="13313" width="14.7109375" style="1" customWidth="1"/>
    <col min="13314" max="13314" width="11.42578125" style="1" bestFit="1" customWidth="1"/>
    <col min="13315" max="13568" width="10.140625" style="1" customWidth="1"/>
    <col min="13569" max="13569" width="14.7109375" style="1" customWidth="1"/>
    <col min="13570" max="13570" width="11.42578125" style="1" bestFit="1" customWidth="1"/>
    <col min="13571" max="13824" width="10.140625" style="1" customWidth="1"/>
    <col min="13825" max="13825" width="14.7109375" style="1" customWidth="1"/>
    <col min="13826" max="13826" width="11.42578125" style="1" bestFit="1" customWidth="1"/>
    <col min="13827" max="14080" width="10.140625" style="1" customWidth="1"/>
    <col min="14081" max="14081" width="14.7109375" style="1" customWidth="1"/>
    <col min="14082" max="14082" width="11.42578125" style="1" bestFit="1" customWidth="1"/>
    <col min="14083" max="14336" width="10.140625" style="1" customWidth="1"/>
    <col min="14337" max="14337" width="14.7109375" style="1" customWidth="1"/>
    <col min="14338" max="14338" width="11.42578125" style="1" bestFit="1" customWidth="1"/>
    <col min="14339" max="14592" width="10.140625" style="1" customWidth="1"/>
    <col min="14593" max="14593" width="14.7109375" style="1" customWidth="1"/>
    <col min="14594" max="14594" width="11.42578125" style="1" bestFit="1" customWidth="1"/>
    <col min="14595" max="14848" width="10.140625" style="1" customWidth="1"/>
    <col min="14849" max="14849" width="14.7109375" style="1" customWidth="1"/>
    <col min="14850" max="14850" width="11.42578125" style="1" bestFit="1" customWidth="1"/>
    <col min="14851" max="15104" width="10.140625" style="1" customWidth="1"/>
    <col min="15105" max="15105" width="14.7109375" style="1" customWidth="1"/>
    <col min="15106" max="15106" width="11.42578125" style="1" bestFit="1" customWidth="1"/>
    <col min="15107" max="15360" width="10.140625" style="1" customWidth="1"/>
    <col min="15361" max="15361" width="14.7109375" style="1" customWidth="1"/>
    <col min="15362" max="15362" width="11.42578125" style="1" bestFit="1" customWidth="1"/>
    <col min="15363" max="15616" width="10.140625" style="1" customWidth="1"/>
    <col min="15617" max="15617" width="14.7109375" style="1" customWidth="1"/>
    <col min="15618" max="15618" width="11.42578125" style="1" bestFit="1" customWidth="1"/>
    <col min="15619" max="15872" width="10.140625" style="1" customWidth="1"/>
    <col min="15873" max="15873" width="14.7109375" style="1" customWidth="1"/>
    <col min="15874" max="15874" width="11.42578125" style="1" bestFit="1" customWidth="1"/>
    <col min="15875" max="16128" width="10.140625" style="1" customWidth="1"/>
    <col min="16129" max="16129" width="14.7109375" style="1" customWidth="1"/>
    <col min="16130" max="16130" width="11.42578125" style="1" bestFit="1" customWidth="1"/>
    <col min="16131" max="16384" width="10.140625" style="1" customWidth="1"/>
  </cols>
  <sheetData>
    <row r="1" spans="1:13" ht="15.95" customHeight="1" x14ac:dyDescent="0.2">
      <c r="A1" s="1" t="s">
        <v>0</v>
      </c>
      <c r="B1" s="2">
        <v>45324</v>
      </c>
      <c r="E1" s="1">
        <v>108.5</v>
      </c>
      <c r="F1" s="1" t="s">
        <v>1</v>
      </c>
      <c r="G1" s="1">
        <v>4734</v>
      </c>
      <c r="H1" s="3">
        <v>5352</v>
      </c>
      <c r="I1" s="1" t="s">
        <v>2</v>
      </c>
      <c r="M1" s="3"/>
    </row>
    <row r="2" spans="1:13" ht="15.95" customHeight="1" x14ac:dyDescent="0.2">
      <c r="A2" s="1" t="s">
        <v>3</v>
      </c>
      <c r="B2" s="1" t="s">
        <v>27</v>
      </c>
      <c r="E2" s="1">
        <f>E1*2200*0.53</f>
        <v>126511</v>
      </c>
      <c r="F2" s="1" t="s">
        <v>4</v>
      </c>
      <c r="G2" s="1">
        <v>4728</v>
      </c>
      <c r="H2" s="3">
        <v>5187</v>
      </c>
      <c r="K2" s="4"/>
      <c r="M2" s="3"/>
    </row>
    <row r="3" spans="1:13" ht="15.95" customHeight="1" x14ac:dyDescent="0.25">
      <c r="A3" s="1" t="s">
        <v>5</v>
      </c>
      <c r="B3" s="5"/>
      <c r="E3" s="1">
        <v>0.5</v>
      </c>
      <c r="F3" s="1" t="s">
        <v>6</v>
      </c>
      <c r="G3" s="1">
        <v>5096</v>
      </c>
      <c r="H3" s="3">
        <v>4629</v>
      </c>
      <c r="K3" s="4"/>
      <c r="M3" s="3"/>
    </row>
    <row r="4" spans="1:13" ht="15.95" customHeight="1" x14ac:dyDescent="0.25">
      <c r="A4" s="12" t="s">
        <v>29</v>
      </c>
      <c r="B4" s="5"/>
      <c r="E4" s="1">
        <f>AVERAGE(G1:H5)*10</f>
        <v>49953.75</v>
      </c>
      <c r="F4" s="1" t="s">
        <v>7</v>
      </c>
      <c r="G4" s="1">
        <v>5174</v>
      </c>
      <c r="H4" s="3">
        <v>5063</v>
      </c>
      <c r="K4" s="4"/>
      <c r="M4" s="3"/>
    </row>
    <row r="5" spans="1:13" ht="15.95" customHeight="1" x14ac:dyDescent="0.2">
      <c r="D5" s="6"/>
      <c r="E5" s="6">
        <f>E4/(E3*E2)</f>
        <v>0.78971393791844191</v>
      </c>
      <c r="F5" s="7" t="s">
        <v>8</v>
      </c>
      <c r="H5" s="3"/>
      <c r="I5" s="1" t="s">
        <v>21</v>
      </c>
      <c r="K5" s="4"/>
      <c r="M5" s="3"/>
    </row>
    <row r="6" spans="1:13" ht="15.95" customHeight="1" x14ac:dyDescent="0.2">
      <c r="D6" s="6"/>
      <c r="E6" s="6"/>
      <c r="F6" s="7"/>
      <c r="H6" s="3"/>
      <c r="K6" s="4"/>
      <c r="M6" s="3"/>
    </row>
    <row r="7" spans="1:13" ht="15.95" customHeight="1" x14ac:dyDescent="0.25">
      <c r="A7" s="5" t="s">
        <v>17</v>
      </c>
      <c r="E7" s="7"/>
      <c r="H7" s="3"/>
      <c r="K7" s="4"/>
    </row>
    <row r="8" spans="1:13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ht="15.95" customHeight="1" x14ac:dyDescent="0.25">
      <c r="A9" s="5" t="s">
        <v>28</v>
      </c>
      <c r="B9" s="3">
        <v>2199</v>
      </c>
      <c r="C9" s="3">
        <v>2443</v>
      </c>
      <c r="D9" s="6">
        <f>AVERAGE(B9:C9,B20:C20)</f>
        <v>2211.25</v>
      </c>
      <c r="E9" s="6"/>
      <c r="H9" s="6">
        <f>J14*100/$J$14</f>
        <v>100</v>
      </c>
      <c r="L9" s="5" t="s">
        <v>15</v>
      </c>
      <c r="M9" s="5" t="s">
        <v>16</v>
      </c>
    </row>
    <row r="10" spans="1:13" ht="15.95" customHeight="1" x14ac:dyDescent="0.25">
      <c r="B10" s="3">
        <v>1015</v>
      </c>
      <c r="C10" s="3">
        <v>835</v>
      </c>
      <c r="D10" s="6"/>
      <c r="E10" s="6"/>
      <c r="H10" s="6"/>
      <c r="J10" s="10" t="s">
        <v>17</v>
      </c>
      <c r="L10" s="1">
        <v>2503</v>
      </c>
      <c r="M10" s="1">
        <v>775</v>
      </c>
    </row>
    <row r="11" spans="1:13" ht="15.95" customHeight="1" x14ac:dyDescent="0.2">
      <c r="A11" s="3"/>
      <c r="B11" s="3">
        <v>823</v>
      </c>
      <c r="C11" s="3">
        <v>1359</v>
      </c>
      <c r="D11" s="6">
        <f t="shared" ref="D11:D20" si="0">AVERAGE(B11:C11)</f>
        <v>1091</v>
      </c>
      <c r="E11" s="6">
        <f>D11-$J$16</f>
        <v>342.125</v>
      </c>
      <c r="F11" s="9">
        <v>9.9999999999999995E-7</v>
      </c>
      <c r="G11" s="6">
        <f>LOG(F11)</f>
        <v>-6</v>
      </c>
      <c r="H11" s="6">
        <f>E11*100/$J$14</f>
        <v>20.831113478955782</v>
      </c>
      <c r="J11" s="11" t="s">
        <v>18</v>
      </c>
      <c r="L11" s="1">
        <v>2556</v>
      </c>
      <c r="M11" s="1">
        <v>592</v>
      </c>
    </row>
    <row r="12" spans="1:13" ht="15.95" customHeight="1" x14ac:dyDescent="0.25">
      <c r="A12" s="8"/>
      <c r="B12" s="3">
        <v>1167</v>
      </c>
      <c r="C12" s="3">
        <v>1801</v>
      </c>
      <c r="D12" s="6">
        <f t="shared" si="0"/>
        <v>1484</v>
      </c>
      <c r="E12" s="6">
        <f t="shared" ref="E12:E19" si="1">D12-$J$16</f>
        <v>735.125</v>
      </c>
      <c r="F12" s="9">
        <f t="shared" ref="F12:F19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44.759875180759572</v>
      </c>
      <c r="J12" s="11">
        <f>AVERAGE(L10:L25)</f>
        <v>2391.25</v>
      </c>
      <c r="L12" s="1">
        <v>2689</v>
      </c>
      <c r="M12" s="1">
        <v>670</v>
      </c>
    </row>
    <row r="13" spans="1:13" ht="15.95" customHeight="1" x14ac:dyDescent="0.2">
      <c r="A13" s="3"/>
      <c r="B13" s="3">
        <v>2095</v>
      </c>
      <c r="C13" s="3">
        <v>1630</v>
      </c>
      <c r="D13" s="6">
        <f t="shared" si="0"/>
        <v>1862.5</v>
      </c>
      <c r="E13" s="6">
        <f>D13-$J$16</f>
        <v>1113.625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67.805769084405199</v>
      </c>
      <c r="J13" s="11" t="s">
        <v>19</v>
      </c>
      <c r="L13" s="1">
        <v>3103</v>
      </c>
      <c r="M13" s="1">
        <v>697</v>
      </c>
    </row>
    <row r="14" spans="1:13" ht="15.95" customHeight="1" x14ac:dyDescent="0.2">
      <c r="A14" s="3"/>
      <c r="B14" s="3">
        <v>1913</v>
      </c>
      <c r="C14" s="3">
        <v>2071</v>
      </c>
      <c r="D14" s="6">
        <f t="shared" si="0"/>
        <v>1992</v>
      </c>
      <c r="E14" s="6">
        <f t="shared" si="1"/>
        <v>1243.125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75.690691833472869</v>
      </c>
      <c r="J14" s="11">
        <f>J12-J16</f>
        <v>1642.375</v>
      </c>
      <c r="L14" s="1">
        <v>2746</v>
      </c>
      <c r="M14" s="1">
        <v>683</v>
      </c>
    </row>
    <row r="15" spans="1:13" ht="15.95" customHeight="1" x14ac:dyDescent="0.2">
      <c r="A15" s="3"/>
      <c r="B15" s="3">
        <v>1908</v>
      </c>
      <c r="C15" s="3">
        <v>2790</v>
      </c>
      <c r="D15" s="6">
        <f t="shared" si="0"/>
        <v>2349</v>
      </c>
      <c r="E15" s="6">
        <f t="shared" si="1"/>
        <v>1600.125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97.427505898470201</v>
      </c>
      <c r="J15" s="11" t="s">
        <v>20</v>
      </c>
      <c r="L15" s="1">
        <v>2447</v>
      </c>
      <c r="M15" s="1">
        <v>724</v>
      </c>
    </row>
    <row r="16" spans="1:13" ht="15.95" customHeight="1" x14ac:dyDescent="0.2">
      <c r="B16" s="3">
        <v>2344</v>
      </c>
      <c r="C16" s="3">
        <v>2572</v>
      </c>
      <c r="D16" s="6">
        <f t="shared" si="0"/>
        <v>2458</v>
      </c>
      <c r="E16" s="6">
        <f t="shared" si="1"/>
        <v>1709.125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104.0642362432453</v>
      </c>
      <c r="J16" s="11">
        <f>AVERAGE(M10:M17)</f>
        <v>748.875</v>
      </c>
      <c r="L16" s="1">
        <v>2199</v>
      </c>
      <c r="M16" s="1">
        <v>1015</v>
      </c>
    </row>
    <row r="17" spans="1:13" ht="15.95" customHeight="1" x14ac:dyDescent="0.2">
      <c r="A17" s="3"/>
      <c r="B17" s="3">
        <v>2343</v>
      </c>
      <c r="C17" s="3">
        <v>2210</v>
      </c>
      <c r="D17" s="6">
        <f t="shared" si="0"/>
        <v>2276.5</v>
      </c>
      <c r="E17" s="6">
        <f t="shared" si="1"/>
        <v>1527.625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93.013166907679434</v>
      </c>
      <c r="L17" s="1">
        <v>2443</v>
      </c>
      <c r="M17" s="1">
        <v>835</v>
      </c>
    </row>
    <row r="18" spans="1:13" ht="15.95" customHeight="1" x14ac:dyDescent="0.2">
      <c r="B18" s="3">
        <v>2250</v>
      </c>
      <c r="C18" s="3">
        <v>2802</v>
      </c>
      <c r="D18" s="6">
        <f t="shared" si="0"/>
        <v>2526</v>
      </c>
      <c r="E18" s="6">
        <f t="shared" si="1"/>
        <v>1777.125</v>
      </c>
      <c r="F18" s="9">
        <f t="shared" si="2"/>
        <v>3.1603345508871019E-10</v>
      </c>
      <c r="G18" s="6">
        <f t="shared" si="3"/>
        <v>-9.500266940826668</v>
      </c>
      <c r="H18" s="6">
        <f t="shared" si="4"/>
        <v>108.20458177943527</v>
      </c>
      <c r="L18" s="3">
        <v>2177</v>
      </c>
    </row>
    <row r="19" spans="1:13" ht="15.95" customHeight="1" x14ac:dyDescent="0.2">
      <c r="A19" s="3"/>
      <c r="B19" s="3">
        <v>2420</v>
      </c>
      <c r="C19" s="3">
        <v>2272</v>
      </c>
      <c r="D19" s="6">
        <f t="shared" si="0"/>
        <v>2346</v>
      </c>
      <c r="E19" s="6">
        <f t="shared" si="1"/>
        <v>1597.125</v>
      </c>
      <c r="F19" s="9">
        <f t="shared" si="2"/>
        <v>9.992977849905016E-11</v>
      </c>
      <c r="G19" s="6">
        <f t="shared" si="3"/>
        <v>-10.000305075230479</v>
      </c>
      <c r="H19" s="6">
        <f t="shared" si="4"/>
        <v>97.244843595402997</v>
      </c>
      <c r="L19" s="3">
        <v>2145</v>
      </c>
    </row>
    <row r="20" spans="1:13" ht="15.95" customHeight="1" x14ac:dyDescent="0.2">
      <c r="B20" s="3">
        <v>2114</v>
      </c>
      <c r="C20" s="3">
        <v>2089</v>
      </c>
      <c r="D20" s="6">
        <f t="shared" si="0"/>
        <v>2101.5</v>
      </c>
      <c r="E20" s="6"/>
      <c r="F20" s="9"/>
      <c r="G20" s="6"/>
      <c r="H20" s="6"/>
      <c r="L20" s="3">
        <v>1841</v>
      </c>
    </row>
    <row r="21" spans="1:13" ht="15.95" customHeight="1" x14ac:dyDescent="0.2">
      <c r="B21" s="3"/>
      <c r="C21" s="3"/>
      <c r="L21" s="3">
        <v>2923</v>
      </c>
    </row>
    <row r="22" spans="1:13" ht="15.95" customHeight="1" x14ac:dyDescent="0.2">
      <c r="B22" s="3"/>
      <c r="C22" s="3"/>
      <c r="D22" s="6"/>
      <c r="E22" s="6"/>
      <c r="H22" s="6"/>
      <c r="L22" s="3">
        <v>2320</v>
      </c>
    </row>
    <row r="23" spans="1:13" ht="15.95" customHeight="1" x14ac:dyDescent="0.2">
      <c r="B23" s="3"/>
      <c r="C23" s="3"/>
      <c r="D23" s="6"/>
      <c r="E23" s="6"/>
      <c r="H23" s="6"/>
      <c r="L23" s="3">
        <v>1965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2114</v>
      </c>
    </row>
    <row r="25" spans="1:13" ht="15.95" customHeight="1" x14ac:dyDescent="0.2">
      <c r="A25" s="3"/>
      <c r="B25" s="3"/>
      <c r="C25" s="3"/>
      <c r="D25" s="6"/>
      <c r="E25" s="6"/>
      <c r="F25" s="9"/>
      <c r="G25" s="6"/>
      <c r="H25" s="6"/>
      <c r="L25" s="3">
        <v>2089</v>
      </c>
    </row>
    <row r="26" spans="1:13" ht="15.95" customHeight="1" x14ac:dyDescent="0.2">
      <c r="A26" s="3"/>
      <c r="B26" s="3"/>
      <c r="C26" s="3"/>
      <c r="D26" s="6"/>
      <c r="E26" s="6"/>
      <c r="F26" s="9"/>
      <c r="G26" s="6"/>
      <c r="H26" s="6"/>
    </row>
    <row r="27" spans="1:13" ht="15.95" customHeight="1" x14ac:dyDescent="0.25">
      <c r="A27" s="5" t="s">
        <v>25</v>
      </c>
      <c r="E27" s="7"/>
      <c r="H27" s="3"/>
      <c r="K27" s="4"/>
    </row>
    <row r="28" spans="1:13" ht="15.95" customHeight="1" x14ac:dyDescent="0.25">
      <c r="B28" s="20" t="s">
        <v>9</v>
      </c>
      <c r="C28" s="20"/>
      <c r="D28" s="10" t="s">
        <v>10</v>
      </c>
      <c r="E28" s="10" t="s">
        <v>11</v>
      </c>
      <c r="F28" s="5" t="s">
        <v>12</v>
      </c>
      <c r="G28" s="5" t="s">
        <v>13</v>
      </c>
      <c r="H28" s="5" t="s">
        <v>14</v>
      </c>
      <c r="I28" s="5"/>
    </row>
    <row r="29" spans="1:13" ht="15.95" customHeight="1" x14ac:dyDescent="0.25">
      <c r="A29" s="5" t="s">
        <v>28</v>
      </c>
      <c r="B29" s="3">
        <v>1500</v>
      </c>
      <c r="C29" s="3">
        <v>1553</v>
      </c>
      <c r="D29" s="6">
        <f>AVERAGE(B29:C29,B40:C40)</f>
        <v>1598.5</v>
      </c>
      <c r="E29" s="6"/>
      <c r="H29" s="6">
        <f>J34*100/$J$34</f>
        <v>100</v>
      </c>
      <c r="L29" s="5" t="s">
        <v>15</v>
      </c>
      <c r="M29" s="5" t="s">
        <v>16</v>
      </c>
    </row>
    <row r="30" spans="1:13" ht="15.95" customHeight="1" x14ac:dyDescent="0.25">
      <c r="B30" s="3">
        <v>829</v>
      </c>
      <c r="C30" s="3">
        <v>544</v>
      </c>
      <c r="D30" s="6"/>
      <c r="E30" s="6"/>
      <c r="H30" s="6"/>
      <c r="J30" s="10" t="s">
        <v>17</v>
      </c>
      <c r="L30" s="1">
        <v>1500</v>
      </c>
      <c r="M30" s="1">
        <v>829</v>
      </c>
    </row>
    <row r="31" spans="1:13" ht="15.95" customHeight="1" x14ac:dyDescent="0.2">
      <c r="A31" s="3"/>
      <c r="B31" s="3">
        <v>678</v>
      </c>
      <c r="C31" s="3">
        <v>592</v>
      </c>
      <c r="D31" s="6">
        <f t="shared" ref="D31:D40" si="5">AVERAGE(B31:C31)</f>
        <v>635</v>
      </c>
      <c r="E31" s="6">
        <f>D31-$J$16</f>
        <v>-113.875</v>
      </c>
      <c r="F31" s="9">
        <v>9.9999999999999995E-7</v>
      </c>
      <c r="G31" s="6">
        <f>LOG(F31)</f>
        <v>-6</v>
      </c>
      <c r="H31" s="6">
        <f>E31*100/$J$34</f>
        <v>-15.682561542434154</v>
      </c>
      <c r="J31" s="11" t="s">
        <v>18</v>
      </c>
      <c r="L31" s="1">
        <v>1553</v>
      </c>
      <c r="M31" s="1">
        <v>544</v>
      </c>
    </row>
    <row r="32" spans="1:13" ht="15.95" customHeight="1" x14ac:dyDescent="0.25">
      <c r="A32" s="8"/>
      <c r="B32" s="3">
        <v>919</v>
      </c>
      <c r="C32" s="3">
        <v>814</v>
      </c>
      <c r="D32" s="6">
        <f t="shared" si="5"/>
        <v>866.5</v>
      </c>
      <c r="E32" s="6">
        <f t="shared" ref="E32" si="6">D32-$J$16</f>
        <v>117.625</v>
      </c>
      <c r="F32" s="9">
        <f t="shared" ref="F32:F39" si="7">F31*0.3162</f>
        <v>3.1619999999999999E-7</v>
      </c>
      <c r="G32" s="6">
        <f t="shared" ref="G32:G39" si="8">LOG(F32)</f>
        <v>-6.5000381344038098</v>
      </c>
      <c r="H32" s="6">
        <f t="shared" ref="H32:H39" si="9">E32*100/$J$34</f>
        <v>16.19900154932002</v>
      </c>
      <c r="J32" s="11">
        <f>AVERAGE(L30:L45)</f>
        <v>1567.75</v>
      </c>
      <c r="L32" s="1">
        <v>1394</v>
      </c>
      <c r="M32" s="1">
        <v>836</v>
      </c>
    </row>
    <row r="33" spans="1:13" ht="15.95" customHeight="1" x14ac:dyDescent="0.2">
      <c r="A33" s="3"/>
      <c r="B33" s="3">
        <v>942</v>
      </c>
      <c r="C33" s="3">
        <v>707</v>
      </c>
      <c r="D33" s="6">
        <f t="shared" si="5"/>
        <v>824.5</v>
      </c>
      <c r="E33" s="6">
        <f>D33-$J$16</f>
        <v>75.625</v>
      </c>
      <c r="F33" s="9">
        <f t="shared" si="7"/>
        <v>9.9982439999999983E-8</v>
      </c>
      <c r="G33" s="6">
        <f t="shared" si="8"/>
        <v>-7.0000762688076197</v>
      </c>
      <c r="H33" s="6">
        <f t="shared" si="9"/>
        <v>10.414873472198312</v>
      </c>
      <c r="J33" s="11" t="s">
        <v>19</v>
      </c>
      <c r="L33" s="1">
        <v>2545</v>
      </c>
      <c r="M33" s="1">
        <v>515</v>
      </c>
    </row>
    <row r="34" spans="1:13" ht="15.95" customHeight="1" x14ac:dyDescent="0.2">
      <c r="A34" s="3"/>
      <c r="B34" s="3">
        <v>1151</v>
      </c>
      <c r="C34" s="3">
        <v>1409</v>
      </c>
      <c r="D34" s="6">
        <f t="shared" si="5"/>
        <v>1280</v>
      </c>
      <c r="E34" s="6">
        <f t="shared" ref="E34:E39" si="10">D34-$J$16</f>
        <v>531.125</v>
      </c>
      <c r="F34" s="9">
        <f t="shared" si="7"/>
        <v>3.1614447527999994E-8</v>
      </c>
      <c r="G34" s="6">
        <f t="shared" si="8"/>
        <v>-7.5001144032114295</v>
      </c>
      <c r="H34" s="6">
        <f t="shared" si="9"/>
        <v>73.145119641934926</v>
      </c>
      <c r="J34" s="11">
        <f>J32-J36</f>
        <v>726.125</v>
      </c>
      <c r="L34" s="1">
        <v>1344</v>
      </c>
      <c r="M34" s="1">
        <v>1402</v>
      </c>
    </row>
    <row r="35" spans="1:13" ht="15.95" customHeight="1" x14ac:dyDescent="0.2">
      <c r="A35" s="3"/>
      <c r="B35" s="3">
        <v>1500</v>
      </c>
      <c r="C35" s="3">
        <v>1144</v>
      </c>
      <c r="D35" s="6">
        <f t="shared" si="5"/>
        <v>1322</v>
      </c>
      <c r="E35" s="6">
        <f t="shared" si="10"/>
        <v>573.125</v>
      </c>
      <c r="F35" s="9">
        <f t="shared" si="7"/>
        <v>9.9964883083535969E-9</v>
      </c>
      <c r="G35" s="6">
        <f t="shared" si="8"/>
        <v>-8.0001525376152394</v>
      </c>
      <c r="H35" s="6">
        <f t="shared" si="9"/>
        <v>78.929247719056633</v>
      </c>
      <c r="J35" s="11" t="s">
        <v>20</v>
      </c>
      <c r="L35" s="1">
        <v>1842</v>
      </c>
      <c r="M35" s="1">
        <v>810</v>
      </c>
    </row>
    <row r="36" spans="1:13" ht="15.95" customHeight="1" x14ac:dyDescent="0.2">
      <c r="B36" s="3">
        <v>1469</v>
      </c>
      <c r="C36" s="3">
        <v>1445</v>
      </c>
      <c r="D36" s="6">
        <f t="shared" si="5"/>
        <v>1457</v>
      </c>
      <c r="E36" s="6">
        <f t="shared" si="10"/>
        <v>708.125</v>
      </c>
      <c r="F36" s="9">
        <f t="shared" si="7"/>
        <v>3.1608896031014071E-9</v>
      </c>
      <c r="G36" s="6">
        <f t="shared" si="8"/>
        <v>-8.5001906720190483</v>
      </c>
      <c r="H36" s="6">
        <f t="shared" si="9"/>
        <v>97.521087966947846</v>
      </c>
      <c r="J36" s="11">
        <f>AVERAGE(M30:M37)</f>
        <v>841.625</v>
      </c>
      <c r="L36" s="1">
        <v>1458</v>
      </c>
      <c r="M36" s="1">
        <v>900</v>
      </c>
    </row>
    <row r="37" spans="1:13" ht="15.95" customHeight="1" x14ac:dyDescent="0.2">
      <c r="A37" s="3"/>
      <c r="B37" s="3">
        <v>1748</v>
      </c>
      <c r="C37" s="3">
        <v>1493</v>
      </c>
      <c r="D37" s="6">
        <f t="shared" si="5"/>
        <v>1620.5</v>
      </c>
      <c r="E37" s="6">
        <f t="shared" si="10"/>
        <v>871.625</v>
      </c>
      <c r="F37" s="9">
        <f t="shared" si="7"/>
        <v>9.9947329250066484E-10</v>
      </c>
      <c r="G37" s="6">
        <f t="shared" si="8"/>
        <v>-9.0002288064228591</v>
      </c>
      <c r="H37" s="6">
        <f t="shared" si="9"/>
        <v>120.03787226717164</v>
      </c>
      <c r="L37" s="1">
        <v>1216</v>
      </c>
      <c r="M37" s="1">
        <v>897</v>
      </c>
    </row>
    <row r="38" spans="1:13" ht="15.95" customHeight="1" x14ac:dyDescent="0.2">
      <c r="B38" s="3">
        <v>1508</v>
      </c>
      <c r="C38" s="3">
        <v>1324</v>
      </c>
      <c r="D38" s="6">
        <f t="shared" si="5"/>
        <v>1416</v>
      </c>
      <c r="E38" s="6">
        <f t="shared" si="10"/>
        <v>667.125</v>
      </c>
      <c r="F38" s="9">
        <f t="shared" si="7"/>
        <v>3.1603345508871019E-10</v>
      </c>
      <c r="G38" s="6">
        <f t="shared" si="8"/>
        <v>-9.500266940826668</v>
      </c>
      <c r="H38" s="6">
        <f t="shared" si="9"/>
        <v>91.874677224995693</v>
      </c>
      <c r="L38" s="3">
        <v>1743</v>
      </c>
    </row>
    <row r="39" spans="1:13" ht="15.95" customHeight="1" x14ac:dyDescent="0.2">
      <c r="A39" s="3"/>
      <c r="B39" s="3">
        <v>1783</v>
      </c>
      <c r="C39" s="3">
        <v>1279</v>
      </c>
      <c r="D39" s="6">
        <f t="shared" si="5"/>
        <v>1531</v>
      </c>
      <c r="E39" s="6">
        <f t="shared" si="10"/>
        <v>782.125</v>
      </c>
      <c r="F39" s="9">
        <f t="shared" si="7"/>
        <v>9.992977849905016E-11</v>
      </c>
      <c r="G39" s="6">
        <f t="shared" si="8"/>
        <v>-10.000305075230479</v>
      </c>
      <c r="H39" s="6">
        <f t="shared" si="9"/>
        <v>107.71217076949561</v>
      </c>
      <c r="L39" s="3">
        <v>1598</v>
      </c>
    </row>
    <row r="40" spans="1:13" ht="15.95" customHeight="1" x14ac:dyDescent="0.2">
      <c r="B40" s="3">
        <v>1743</v>
      </c>
      <c r="C40" s="3">
        <v>1598</v>
      </c>
      <c r="D40" s="6">
        <f t="shared" si="5"/>
        <v>1670.5</v>
      </c>
      <c r="E40" s="6"/>
      <c r="F40" s="9"/>
      <c r="G40" s="6"/>
      <c r="H40" s="6"/>
      <c r="L40" s="3">
        <v>1591</v>
      </c>
    </row>
    <row r="41" spans="1:13" ht="15.95" customHeight="1" x14ac:dyDescent="0.2">
      <c r="B41" s="3"/>
      <c r="C41" s="3"/>
      <c r="L41" s="3">
        <v>1624</v>
      </c>
    </row>
    <row r="42" spans="1:13" ht="15.95" customHeight="1" x14ac:dyDescent="0.2">
      <c r="B42" s="3"/>
      <c r="C42" s="3"/>
      <c r="D42" s="6"/>
      <c r="E42" s="6"/>
      <c r="H42" s="6"/>
      <c r="L42" s="3">
        <v>1804</v>
      </c>
    </row>
    <row r="43" spans="1:13" ht="15.95" customHeight="1" x14ac:dyDescent="0.2">
      <c r="B43" s="3"/>
      <c r="C43" s="3"/>
      <c r="D43" s="6"/>
      <c r="E43" s="6"/>
      <c r="H43" s="6"/>
      <c r="L43" s="3">
        <v>1438</v>
      </c>
    </row>
    <row r="44" spans="1:13" ht="15.95" customHeight="1" x14ac:dyDescent="0.2">
      <c r="A44" s="3"/>
      <c r="B44" s="3"/>
      <c r="C44" s="3"/>
      <c r="D44" s="6"/>
      <c r="E44" s="6"/>
      <c r="F44" s="9"/>
      <c r="G44" s="6"/>
      <c r="H44" s="6"/>
      <c r="L44" s="3">
        <v>1130</v>
      </c>
    </row>
    <row r="45" spans="1:13" ht="15.95" customHeight="1" x14ac:dyDescent="0.25">
      <c r="A45" s="8"/>
      <c r="B45" s="3"/>
      <c r="C45" s="3"/>
      <c r="D45" s="6"/>
      <c r="E45" s="6"/>
      <c r="F45" s="9"/>
      <c r="G45" s="6"/>
      <c r="H45" s="6"/>
      <c r="L45" s="3">
        <v>1304</v>
      </c>
    </row>
    <row r="46" spans="1:13" ht="15.95" customHeight="1" x14ac:dyDescent="0.25">
      <c r="A46" s="5" t="s">
        <v>25</v>
      </c>
      <c r="E46" s="7"/>
      <c r="H46" s="3"/>
      <c r="K46" s="4"/>
    </row>
    <row r="47" spans="1:13" ht="15.95" customHeight="1" x14ac:dyDescent="0.25">
      <c r="B47" s="20" t="s">
        <v>9</v>
      </c>
      <c r="C47" s="20"/>
      <c r="D47" s="10" t="s">
        <v>10</v>
      </c>
      <c r="E47" s="10" t="s">
        <v>11</v>
      </c>
      <c r="F47" s="5" t="s">
        <v>12</v>
      </c>
      <c r="G47" s="5" t="s">
        <v>13</v>
      </c>
      <c r="H47" s="5" t="s">
        <v>14</v>
      </c>
      <c r="I47" s="5"/>
    </row>
    <row r="48" spans="1:13" ht="15.95" customHeight="1" x14ac:dyDescent="0.25">
      <c r="A48" s="5" t="s">
        <v>28</v>
      </c>
      <c r="B48" s="3">
        <v>1344</v>
      </c>
      <c r="C48" s="3">
        <v>1842</v>
      </c>
      <c r="D48" s="6">
        <f>AVERAGE(B48:C48,B59:C59)</f>
        <v>1607</v>
      </c>
      <c r="E48" s="6"/>
      <c r="H48" s="6">
        <f>J53*100/$J$53</f>
        <v>100</v>
      </c>
      <c r="L48" s="5" t="s">
        <v>15</v>
      </c>
      <c r="M48" s="5" t="s">
        <v>16</v>
      </c>
    </row>
    <row r="49" spans="1:13" ht="15.95" customHeight="1" x14ac:dyDescent="0.25">
      <c r="B49" s="3">
        <v>1402</v>
      </c>
      <c r="C49" s="3">
        <v>810</v>
      </c>
      <c r="D49" s="6"/>
      <c r="E49" s="6"/>
      <c r="H49" s="6"/>
      <c r="J49" s="10" t="s">
        <v>17</v>
      </c>
      <c r="L49" s="1">
        <v>1500</v>
      </c>
      <c r="M49" s="1">
        <v>829</v>
      </c>
    </row>
    <row r="50" spans="1:13" ht="15.95" customHeight="1" x14ac:dyDescent="0.2">
      <c r="A50" s="3"/>
      <c r="B50" s="3">
        <v>540</v>
      </c>
      <c r="C50" s="3">
        <v>526</v>
      </c>
      <c r="D50" s="6">
        <f t="shared" ref="D50:D59" si="11">AVERAGE(B50:C50)</f>
        <v>533</v>
      </c>
      <c r="E50" s="6">
        <f>D50-$J$16</f>
        <v>-215.875</v>
      </c>
      <c r="F50" s="9">
        <v>9.9999999999999995E-7</v>
      </c>
      <c r="G50" s="6">
        <f>LOG(F50)</f>
        <v>-6</v>
      </c>
      <c r="H50" s="6">
        <f>E50*100/$J$53</f>
        <v>-29.72972972972973</v>
      </c>
      <c r="J50" s="11" t="s">
        <v>18</v>
      </c>
      <c r="L50" s="1">
        <v>1553</v>
      </c>
      <c r="M50" s="1">
        <v>544</v>
      </c>
    </row>
    <row r="51" spans="1:13" ht="15.95" customHeight="1" x14ac:dyDescent="0.25">
      <c r="A51" s="8"/>
      <c r="B51" s="3">
        <v>648</v>
      </c>
      <c r="C51" s="3">
        <v>809</v>
      </c>
      <c r="D51" s="6">
        <f t="shared" si="11"/>
        <v>728.5</v>
      </c>
      <c r="E51" s="6">
        <f t="shared" ref="E51" si="12">D51-$J$16</f>
        <v>-20.375</v>
      </c>
      <c r="F51" s="9">
        <f t="shared" ref="F51:F58" si="13">F50*0.3162</f>
        <v>3.1619999999999999E-7</v>
      </c>
      <c r="G51" s="6">
        <f t="shared" ref="G51:G58" si="14">LOG(F51)</f>
        <v>-6.5000381344038098</v>
      </c>
      <c r="H51" s="6">
        <f t="shared" ref="H51:H58" si="15">E51*100/$J$53</f>
        <v>-2.8059907040798762</v>
      </c>
      <c r="J51" s="11">
        <f>AVERAGE(L49:L64)</f>
        <v>1567.75</v>
      </c>
      <c r="L51" s="1">
        <v>1394</v>
      </c>
      <c r="M51" s="1">
        <v>836</v>
      </c>
    </row>
    <row r="52" spans="1:13" ht="15.95" customHeight="1" x14ac:dyDescent="0.2">
      <c r="A52" s="3"/>
      <c r="B52" s="3">
        <v>1210</v>
      </c>
      <c r="C52" s="3">
        <v>1525</v>
      </c>
      <c r="D52" s="6">
        <f t="shared" si="11"/>
        <v>1367.5</v>
      </c>
      <c r="E52" s="6">
        <f>D52-$J$16</f>
        <v>618.625</v>
      </c>
      <c r="F52" s="9">
        <f t="shared" si="13"/>
        <v>9.9982439999999983E-8</v>
      </c>
      <c r="G52" s="6">
        <f t="shared" si="14"/>
        <v>-7.0000762688076197</v>
      </c>
      <c r="H52" s="6">
        <f t="shared" si="15"/>
        <v>85.195386469271824</v>
      </c>
      <c r="J52" s="11" t="s">
        <v>19</v>
      </c>
      <c r="L52" s="1">
        <v>2545</v>
      </c>
      <c r="M52" s="1">
        <v>515</v>
      </c>
    </row>
    <row r="53" spans="1:13" ht="15.95" customHeight="1" x14ac:dyDescent="0.2">
      <c r="A53" s="3"/>
      <c r="B53" s="3">
        <v>1252</v>
      </c>
      <c r="C53" s="3">
        <v>1203</v>
      </c>
      <c r="D53" s="6">
        <f t="shared" si="11"/>
        <v>1227.5</v>
      </c>
      <c r="E53" s="6">
        <f t="shared" ref="E53:E58" si="16">D53-$J$16</f>
        <v>478.625</v>
      </c>
      <c r="F53" s="9">
        <f t="shared" si="13"/>
        <v>3.1614447527999994E-8</v>
      </c>
      <c r="G53" s="6">
        <f t="shared" si="14"/>
        <v>-7.5001144032114295</v>
      </c>
      <c r="H53" s="6">
        <f t="shared" si="15"/>
        <v>65.914959545532795</v>
      </c>
      <c r="J53" s="11">
        <f>J51-J55</f>
        <v>726.125</v>
      </c>
      <c r="L53" s="1">
        <v>1344</v>
      </c>
      <c r="M53" s="1">
        <v>1402</v>
      </c>
    </row>
    <row r="54" spans="1:13" ht="15.95" customHeight="1" x14ac:dyDescent="0.2">
      <c r="A54" s="3"/>
      <c r="B54" s="3">
        <v>1077</v>
      </c>
      <c r="C54" s="3">
        <v>1118</v>
      </c>
      <c r="D54" s="6">
        <f t="shared" si="11"/>
        <v>1097.5</v>
      </c>
      <c r="E54" s="6">
        <f t="shared" si="16"/>
        <v>348.625</v>
      </c>
      <c r="F54" s="9">
        <f t="shared" si="13"/>
        <v>9.9964883083535969E-9</v>
      </c>
      <c r="G54" s="6">
        <f t="shared" si="14"/>
        <v>-8.0001525376152394</v>
      </c>
      <c r="H54" s="6">
        <f t="shared" si="15"/>
        <v>48.011705973489413</v>
      </c>
      <c r="J54" s="11" t="s">
        <v>20</v>
      </c>
      <c r="L54" s="1">
        <v>1842</v>
      </c>
      <c r="M54" s="1">
        <v>810</v>
      </c>
    </row>
    <row r="55" spans="1:13" ht="15.95" customHeight="1" x14ac:dyDescent="0.2">
      <c r="B55" s="3">
        <v>1333</v>
      </c>
      <c r="C55" s="3">
        <v>1515</v>
      </c>
      <c r="D55" s="6">
        <f t="shared" si="11"/>
        <v>1424</v>
      </c>
      <c r="E55" s="6">
        <f t="shared" si="16"/>
        <v>675.125</v>
      </c>
      <c r="F55" s="9">
        <f t="shared" si="13"/>
        <v>3.1608896031014071E-9</v>
      </c>
      <c r="G55" s="6">
        <f t="shared" si="14"/>
        <v>-8.5001906720190483</v>
      </c>
      <c r="H55" s="6">
        <f t="shared" si="15"/>
        <v>92.976415906352216</v>
      </c>
      <c r="J55" s="11">
        <f>AVERAGE(M49:M56)</f>
        <v>841.625</v>
      </c>
      <c r="L55" s="1">
        <v>1458</v>
      </c>
      <c r="M55" s="1">
        <v>900</v>
      </c>
    </row>
    <row r="56" spans="1:13" ht="15.95" customHeight="1" x14ac:dyDescent="0.2">
      <c r="A56" s="3"/>
      <c r="B56" s="3">
        <v>1153</v>
      </c>
      <c r="C56" s="3">
        <v>2103</v>
      </c>
      <c r="D56" s="6">
        <f t="shared" si="11"/>
        <v>1628</v>
      </c>
      <c r="E56" s="6">
        <f t="shared" si="16"/>
        <v>879.125</v>
      </c>
      <c r="F56" s="9">
        <f t="shared" si="13"/>
        <v>9.9947329250066484E-10</v>
      </c>
      <c r="G56" s="6">
        <f t="shared" si="14"/>
        <v>-9.0002288064228591</v>
      </c>
      <c r="H56" s="6">
        <f t="shared" si="15"/>
        <v>121.07075228094337</v>
      </c>
      <c r="L56" s="1">
        <v>1216</v>
      </c>
      <c r="M56" s="1">
        <v>897</v>
      </c>
    </row>
    <row r="57" spans="1:13" ht="15.95" customHeight="1" x14ac:dyDescent="0.2">
      <c r="B57" s="3">
        <v>1511</v>
      </c>
      <c r="C57" s="3">
        <v>1566</v>
      </c>
      <c r="D57" s="6">
        <f t="shared" si="11"/>
        <v>1538.5</v>
      </c>
      <c r="E57" s="6">
        <f t="shared" si="16"/>
        <v>789.625</v>
      </c>
      <c r="F57" s="9">
        <f t="shared" si="13"/>
        <v>3.1603345508871019E-10</v>
      </c>
      <c r="G57" s="6">
        <f t="shared" si="14"/>
        <v>-9.500266940826668</v>
      </c>
      <c r="H57" s="6">
        <f t="shared" si="15"/>
        <v>108.74505078326735</v>
      </c>
      <c r="L57" s="3">
        <v>1743</v>
      </c>
    </row>
    <row r="58" spans="1:13" ht="15.95" customHeight="1" x14ac:dyDescent="0.2">
      <c r="A58" s="3"/>
      <c r="B58" s="3">
        <v>1393</v>
      </c>
      <c r="C58" s="3">
        <v>1293</v>
      </c>
      <c r="D58" s="6">
        <f t="shared" si="11"/>
        <v>1343</v>
      </c>
      <c r="E58" s="6">
        <f t="shared" si="16"/>
        <v>594.125</v>
      </c>
      <c r="F58" s="9">
        <f t="shared" si="13"/>
        <v>9.992977849905016E-11</v>
      </c>
      <c r="G58" s="6">
        <f t="shared" si="14"/>
        <v>-10.000305075230479</v>
      </c>
      <c r="H58" s="6">
        <f t="shared" si="15"/>
        <v>81.821311757617494</v>
      </c>
      <c r="L58" s="3">
        <v>1598</v>
      </c>
    </row>
    <row r="59" spans="1:13" ht="15.95" customHeight="1" x14ac:dyDescent="0.2">
      <c r="B59" s="3">
        <v>1804</v>
      </c>
      <c r="C59" s="3">
        <v>1438</v>
      </c>
      <c r="D59" s="6">
        <f t="shared" si="11"/>
        <v>1621</v>
      </c>
      <c r="E59" s="6"/>
      <c r="F59" s="9"/>
      <c r="G59" s="6"/>
      <c r="H59" s="6"/>
      <c r="L59" s="3">
        <v>1591</v>
      </c>
    </row>
    <row r="60" spans="1:13" ht="15.95" customHeight="1" x14ac:dyDescent="0.2">
      <c r="B60" s="3"/>
      <c r="C60" s="3"/>
      <c r="L60" s="3">
        <v>1624</v>
      </c>
    </row>
    <row r="61" spans="1:13" ht="15.95" customHeight="1" x14ac:dyDescent="0.2">
      <c r="B61" s="3"/>
      <c r="C61" s="3"/>
      <c r="D61" s="6"/>
      <c r="E61" s="6"/>
      <c r="H61" s="6"/>
      <c r="L61" s="3">
        <v>1804</v>
      </c>
    </row>
    <row r="62" spans="1:13" ht="15.95" customHeight="1" x14ac:dyDescent="0.2">
      <c r="B62" s="3"/>
      <c r="C62" s="3"/>
      <c r="D62" s="6"/>
      <c r="E62" s="6"/>
      <c r="H62" s="6"/>
      <c r="L62" s="3">
        <v>1438</v>
      </c>
    </row>
    <row r="63" spans="1:13" ht="15.95" customHeight="1" x14ac:dyDescent="0.2">
      <c r="A63" s="3"/>
      <c r="B63" s="3"/>
      <c r="C63" s="3"/>
      <c r="D63" s="6"/>
      <c r="E63" s="6"/>
      <c r="F63" s="9"/>
      <c r="G63" s="6"/>
      <c r="H63" s="6"/>
      <c r="L63" s="3">
        <v>1130</v>
      </c>
    </row>
    <row r="64" spans="1:13" ht="15.95" customHeight="1" x14ac:dyDescent="0.25">
      <c r="A64" s="8"/>
      <c r="B64" s="3"/>
      <c r="C64" s="3"/>
      <c r="D64" s="6"/>
      <c r="E64" s="6"/>
      <c r="F64" s="9"/>
      <c r="G64" s="6"/>
      <c r="H64" s="6"/>
      <c r="L64" s="3">
        <v>1304</v>
      </c>
    </row>
    <row r="65" spans="1:8" ht="15.95" customHeight="1" x14ac:dyDescent="0.2">
      <c r="B65" s="3"/>
      <c r="C65" s="3"/>
      <c r="D65" s="6"/>
      <c r="E65" s="6"/>
      <c r="F65" s="9"/>
      <c r="G65" s="6"/>
      <c r="H65" s="6"/>
    </row>
    <row r="66" spans="1:8" ht="15.95" customHeight="1" x14ac:dyDescent="0.2">
      <c r="B66" s="3"/>
      <c r="C66" s="3"/>
      <c r="D66" s="6"/>
      <c r="E66" s="6"/>
      <c r="F66" s="9"/>
      <c r="G66" s="6"/>
      <c r="H66" s="6"/>
    </row>
    <row r="67" spans="1:8" ht="15.95" customHeight="1" x14ac:dyDescent="0.2">
      <c r="B67" s="3"/>
      <c r="C67" s="3"/>
      <c r="D67" s="6"/>
      <c r="E67" s="6"/>
      <c r="F67" s="9"/>
      <c r="G67" s="6"/>
      <c r="H67" s="6"/>
    </row>
    <row r="68" spans="1:8" ht="15.95" customHeight="1" x14ac:dyDescent="0.2">
      <c r="B68" s="3"/>
      <c r="C68" s="3"/>
      <c r="D68" s="6"/>
      <c r="E68" s="6"/>
      <c r="F68" s="9"/>
      <c r="G68" s="6"/>
      <c r="H68" s="6"/>
    </row>
    <row r="69" spans="1:8" ht="15.95" customHeight="1" x14ac:dyDescent="0.2">
      <c r="B69" s="3"/>
      <c r="C69" s="3"/>
      <c r="D69" s="6"/>
      <c r="E69" s="6"/>
      <c r="F69" s="9"/>
      <c r="G69" s="6"/>
      <c r="H69" s="6"/>
    </row>
    <row r="70" spans="1:8" ht="15.95" customHeight="1" x14ac:dyDescent="0.2">
      <c r="B70" s="3"/>
      <c r="C70" s="3"/>
      <c r="D70" s="6"/>
      <c r="E70" s="6"/>
      <c r="F70" s="9"/>
      <c r="G70" s="6"/>
      <c r="H70" s="6"/>
    </row>
    <row r="71" spans="1:8" ht="15.95" customHeight="1" x14ac:dyDescent="0.2">
      <c r="B71" s="3"/>
      <c r="C71" s="3"/>
      <c r="D71" s="6"/>
      <c r="E71" s="6"/>
      <c r="F71" s="9"/>
      <c r="G71" s="6"/>
      <c r="H71" s="6"/>
    </row>
    <row r="72" spans="1:8" ht="15.95" customHeight="1" x14ac:dyDescent="0.2">
      <c r="B72" s="3"/>
      <c r="C72" s="3"/>
      <c r="D72" s="6"/>
      <c r="E72" s="6"/>
      <c r="F72" s="9"/>
      <c r="G72" s="6"/>
      <c r="H72" s="6"/>
    </row>
    <row r="73" spans="1:8" ht="15.95" customHeight="1" x14ac:dyDescent="0.2">
      <c r="B73" s="3"/>
      <c r="C73" s="3"/>
    </row>
    <row r="74" spans="1:8" ht="15.95" customHeight="1" x14ac:dyDescent="0.2">
      <c r="B74" s="3"/>
      <c r="C74" s="3"/>
      <c r="D74" s="6"/>
      <c r="E74" s="6"/>
      <c r="H74" s="6"/>
    </row>
    <row r="75" spans="1:8" ht="15.95" customHeight="1" x14ac:dyDescent="0.2">
      <c r="B75" s="3"/>
      <c r="C75" s="3"/>
      <c r="D75" s="6"/>
      <c r="E75" s="6"/>
      <c r="H75" s="6"/>
    </row>
    <row r="76" spans="1:8" ht="15.95" customHeight="1" x14ac:dyDescent="0.2">
      <c r="A76" s="3"/>
      <c r="B76" s="3"/>
      <c r="C76" s="3"/>
      <c r="D76" s="6"/>
      <c r="E76" s="6"/>
      <c r="F76" s="9"/>
      <c r="G76" s="6"/>
      <c r="H76" s="6"/>
    </row>
    <row r="77" spans="1:8" ht="15.95" customHeight="1" x14ac:dyDescent="0.2">
      <c r="B77" s="3"/>
      <c r="C77" s="3"/>
      <c r="D77" s="6"/>
      <c r="E77" s="6"/>
      <c r="F77" s="9"/>
      <c r="G77" s="6"/>
      <c r="H77" s="6"/>
    </row>
    <row r="78" spans="1:8" ht="15.95" customHeight="1" x14ac:dyDescent="0.2">
      <c r="A78" s="3"/>
      <c r="B78" s="3"/>
      <c r="C78" s="3"/>
      <c r="D78" s="6"/>
      <c r="E78" s="6"/>
      <c r="F78" s="9"/>
      <c r="G78" s="6"/>
      <c r="H78" s="6"/>
    </row>
    <row r="79" spans="1:8" ht="15.95" customHeight="1" x14ac:dyDescent="0.2">
      <c r="B79" s="3"/>
      <c r="C79" s="3"/>
      <c r="D79" s="6"/>
      <c r="E79" s="6"/>
      <c r="F79" s="9"/>
      <c r="G79" s="6"/>
      <c r="H79" s="6"/>
    </row>
    <row r="80" spans="1:8" ht="15.95" customHeight="1" x14ac:dyDescent="0.2">
      <c r="B80" s="3"/>
      <c r="C80" s="3"/>
      <c r="D80" s="6"/>
      <c r="E80" s="6"/>
      <c r="F80" s="9"/>
      <c r="G80" s="6"/>
      <c r="H80" s="6"/>
    </row>
    <row r="81" spans="1:8" ht="15.95" customHeight="1" x14ac:dyDescent="0.2">
      <c r="B81" s="3"/>
      <c r="C81" s="3"/>
      <c r="D81" s="6"/>
      <c r="E81" s="6"/>
      <c r="F81" s="9"/>
      <c r="G81" s="6"/>
      <c r="H81" s="6"/>
    </row>
    <row r="82" spans="1:8" ht="15.95" customHeight="1" x14ac:dyDescent="0.2">
      <c r="B82" s="3"/>
      <c r="C82" s="3"/>
      <c r="D82" s="6"/>
      <c r="E82" s="6"/>
      <c r="F82" s="9"/>
      <c r="G82" s="6"/>
      <c r="H82" s="6"/>
    </row>
    <row r="83" spans="1:8" ht="15.95" customHeight="1" x14ac:dyDescent="0.2">
      <c r="B83" s="3"/>
      <c r="C83" s="3"/>
      <c r="D83" s="6"/>
      <c r="E83" s="6"/>
      <c r="F83" s="9"/>
      <c r="G83" s="6"/>
      <c r="H83" s="6"/>
    </row>
    <row r="84" spans="1:8" ht="15.95" customHeight="1" x14ac:dyDescent="0.2">
      <c r="B84" s="3"/>
      <c r="C84" s="3"/>
      <c r="D84" s="6"/>
      <c r="E84" s="6"/>
      <c r="F84" s="9"/>
      <c r="G84" s="6"/>
      <c r="H84" s="6"/>
    </row>
    <row r="85" spans="1:8" ht="15.95" customHeight="1" x14ac:dyDescent="0.2">
      <c r="B85" s="3"/>
      <c r="C85" s="3"/>
      <c r="D85" s="6"/>
      <c r="E85" s="6"/>
      <c r="F85" s="9"/>
      <c r="G85" s="6"/>
      <c r="H85" s="6"/>
    </row>
    <row r="86" spans="1:8" ht="15.95" customHeight="1" x14ac:dyDescent="0.2">
      <c r="B86" s="3"/>
      <c r="C86" s="3"/>
    </row>
    <row r="87" spans="1:8" ht="15.95" customHeight="1" x14ac:dyDescent="0.2">
      <c r="B87" s="3"/>
      <c r="C87" s="3"/>
      <c r="D87" s="6"/>
      <c r="E87" s="6"/>
      <c r="H87" s="6"/>
    </row>
    <row r="88" spans="1:8" ht="15.95" customHeight="1" x14ac:dyDescent="0.2">
      <c r="B88" s="3"/>
      <c r="C88" s="3"/>
      <c r="D88" s="6"/>
      <c r="E88" s="6"/>
      <c r="H88" s="6"/>
    </row>
    <row r="89" spans="1:8" ht="15.95" customHeight="1" x14ac:dyDescent="0.2">
      <c r="A89" s="3"/>
      <c r="B89" s="3"/>
      <c r="C89" s="3"/>
      <c r="D89" s="6"/>
      <c r="E89" s="6"/>
      <c r="F89" s="9"/>
      <c r="G89" s="6"/>
      <c r="H89" s="6"/>
    </row>
    <row r="90" spans="1:8" ht="15.95" customHeight="1" x14ac:dyDescent="0.2">
      <c r="B90" s="3"/>
      <c r="C90" s="3"/>
      <c r="D90" s="6"/>
      <c r="E90" s="6"/>
      <c r="F90" s="9"/>
      <c r="G90" s="6"/>
      <c r="H90" s="6"/>
    </row>
    <row r="91" spans="1:8" ht="15.95" customHeight="1" x14ac:dyDescent="0.2">
      <c r="B91" s="3"/>
      <c r="C91" s="3"/>
      <c r="D91" s="6"/>
      <c r="E91" s="6"/>
      <c r="F91" s="9"/>
      <c r="G91" s="6"/>
      <c r="H91" s="6"/>
    </row>
    <row r="92" spans="1:8" ht="15.95" customHeight="1" x14ac:dyDescent="0.2">
      <c r="A92" s="3"/>
      <c r="B92" s="3"/>
      <c r="C92" s="3"/>
      <c r="D92" s="6"/>
      <c r="E92" s="6"/>
      <c r="F92" s="9"/>
      <c r="G92" s="6"/>
      <c r="H92" s="6"/>
    </row>
    <row r="93" spans="1:8" ht="15.95" customHeight="1" x14ac:dyDescent="0.2">
      <c r="B93" s="3"/>
      <c r="C93" s="3"/>
      <c r="D93" s="6"/>
      <c r="E93" s="6"/>
      <c r="F93" s="9"/>
      <c r="G93" s="6"/>
      <c r="H93" s="6"/>
    </row>
    <row r="94" spans="1:8" ht="15.95" customHeight="1" x14ac:dyDescent="0.2">
      <c r="B94" s="3"/>
      <c r="C94" s="3"/>
      <c r="D94" s="6"/>
      <c r="E94" s="6"/>
      <c r="F94" s="9"/>
      <c r="G94" s="6"/>
      <c r="H94" s="6"/>
    </row>
    <row r="95" spans="1:8" ht="15.95" customHeight="1" x14ac:dyDescent="0.2">
      <c r="B95" s="3"/>
      <c r="C95" s="3"/>
      <c r="D95" s="6"/>
      <c r="E95" s="6"/>
      <c r="F95" s="9"/>
      <c r="G95" s="6"/>
      <c r="H95" s="6"/>
    </row>
    <row r="96" spans="1:8" ht="15.95" customHeight="1" x14ac:dyDescent="0.2">
      <c r="B96" s="3"/>
      <c r="C96" s="3"/>
      <c r="D96" s="6"/>
      <c r="E96" s="6"/>
      <c r="F96" s="9"/>
      <c r="G96" s="6"/>
      <c r="H96" s="6"/>
    </row>
    <row r="97" spans="1:8" ht="15.95" customHeight="1" x14ac:dyDescent="0.2">
      <c r="B97" s="3"/>
      <c r="C97" s="3"/>
      <c r="D97" s="6"/>
      <c r="E97" s="6"/>
      <c r="F97" s="9"/>
      <c r="G97" s="6"/>
      <c r="H97" s="6"/>
    </row>
    <row r="98" spans="1:8" ht="15.95" customHeight="1" x14ac:dyDescent="0.2">
      <c r="B98" s="3"/>
      <c r="C98" s="3"/>
      <c r="D98" s="6"/>
      <c r="E98" s="6"/>
      <c r="F98" s="9"/>
      <c r="G98" s="6"/>
      <c r="H98" s="6"/>
    </row>
    <row r="99" spans="1:8" ht="15.95" customHeight="1" x14ac:dyDescent="0.2">
      <c r="B99" s="3"/>
      <c r="C99" s="3"/>
    </row>
    <row r="100" spans="1:8" ht="15.95" customHeight="1" x14ac:dyDescent="0.2">
      <c r="B100" s="3"/>
      <c r="C100" s="3"/>
      <c r="D100" s="6"/>
      <c r="E100" s="6"/>
      <c r="H100" s="6"/>
    </row>
    <row r="101" spans="1:8" ht="15.95" customHeight="1" x14ac:dyDescent="0.2">
      <c r="B101" s="3"/>
      <c r="C101" s="3"/>
      <c r="D101" s="6"/>
      <c r="E101" s="6"/>
      <c r="H101" s="6"/>
    </row>
    <row r="102" spans="1:8" ht="15.95" customHeight="1" x14ac:dyDescent="0.2">
      <c r="B102" s="3"/>
      <c r="C102" s="3"/>
      <c r="D102" s="6"/>
      <c r="E102" s="6"/>
      <c r="F102" s="9"/>
      <c r="G102" s="6"/>
      <c r="H102" s="6"/>
    </row>
    <row r="103" spans="1:8" ht="15.95" customHeight="1" x14ac:dyDescent="0.2">
      <c r="A103" s="3"/>
      <c r="B103" s="3"/>
      <c r="C103" s="3"/>
      <c r="D103" s="6"/>
      <c r="E103" s="6"/>
      <c r="F103" s="9"/>
      <c r="G103" s="6"/>
      <c r="H103" s="6"/>
    </row>
    <row r="104" spans="1:8" ht="15.95" customHeight="1" x14ac:dyDescent="0.2">
      <c r="B104" s="3"/>
      <c r="C104" s="3"/>
      <c r="D104" s="6"/>
      <c r="E104" s="6"/>
      <c r="F104" s="9"/>
      <c r="G104" s="6"/>
      <c r="H104" s="6"/>
    </row>
    <row r="105" spans="1:8" ht="15.95" customHeight="1" x14ac:dyDescent="0.2">
      <c r="B105" s="3"/>
      <c r="C105" s="3"/>
      <c r="D105" s="6"/>
      <c r="E105" s="6"/>
      <c r="F105" s="9"/>
      <c r="G105" s="6"/>
      <c r="H105" s="6"/>
    </row>
    <row r="106" spans="1:8" ht="15.95" customHeight="1" x14ac:dyDescent="0.2">
      <c r="A106" s="3"/>
      <c r="B106" s="3"/>
      <c r="C106" s="3"/>
      <c r="D106" s="6"/>
      <c r="E106" s="6"/>
      <c r="F106" s="9"/>
      <c r="G106" s="6"/>
      <c r="H106" s="6"/>
    </row>
    <row r="107" spans="1:8" ht="15.95" customHeight="1" x14ac:dyDescent="0.2">
      <c r="A107" s="3"/>
      <c r="B107" s="3"/>
      <c r="C107" s="3"/>
      <c r="D107" s="6"/>
      <c r="E107" s="6"/>
      <c r="F107" s="9"/>
      <c r="G107" s="6"/>
      <c r="H107" s="6"/>
    </row>
    <row r="108" spans="1:8" ht="15.95" customHeight="1" x14ac:dyDescent="0.2">
      <c r="B108" s="3"/>
      <c r="C108" s="3"/>
      <c r="D108" s="6"/>
      <c r="E108" s="6"/>
      <c r="F108" s="9"/>
      <c r="G108" s="6"/>
      <c r="H108" s="6"/>
    </row>
    <row r="109" spans="1:8" ht="15.95" customHeight="1" x14ac:dyDescent="0.2">
      <c r="B109" s="3"/>
      <c r="C109" s="3"/>
      <c r="D109" s="6"/>
      <c r="E109" s="6"/>
      <c r="F109" s="9"/>
      <c r="G109" s="6"/>
      <c r="H109" s="6"/>
    </row>
    <row r="110" spans="1:8" ht="15.95" customHeight="1" x14ac:dyDescent="0.2">
      <c r="B110" s="3"/>
      <c r="C110" s="3"/>
      <c r="D110" s="6"/>
      <c r="E110" s="6"/>
      <c r="F110" s="9"/>
      <c r="G110" s="6"/>
      <c r="H110" s="6"/>
    </row>
    <row r="111" spans="1:8" ht="15.95" customHeight="1" x14ac:dyDescent="0.2">
      <c r="A111" s="3"/>
      <c r="B111" s="3"/>
      <c r="C111" s="3"/>
      <c r="D111" s="6"/>
      <c r="E111" s="6"/>
      <c r="F111" s="9"/>
      <c r="G111" s="6"/>
      <c r="H111" s="6"/>
    </row>
    <row r="113" spans="2:8" ht="15.95" customHeight="1" x14ac:dyDescent="0.2">
      <c r="B113" s="3"/>
      <c r="C113" s="3"/>
      <c r="D113" s="6"/>
      <c r="E113" s="6"/>
      <c r="H113" s="6"/>
    </row>
    <row r="114" spans="2:8" ht="15.95" customHeight="1" x14ac:dyDescent="0.2">
      <c r="B114" s="3"/>
      <c r="C114" s="3"/>
      <c r="D114" s="6"/>
      <c r="E114" s="6"/>
      <c r="H114" s="6"/>
    </row>
    <row r="115" spans="2:8" ht="15.95" customHeight="1" x14ac:dyDescent="0.2">
      <c r="B115" s="3"/>
      <c r="C115" s="3"/>
      <c r="D115" s="6"/>
      <c r="E115" s="6"/>
      <c r="F115" s="9"/>
      <c r="G115" s="6"/>
      <c r="H115" s="6"/>
    </row>
    <row r="116" spans="2:8" ht="15.95" customHeight="1" x14ac:dyDescent="0.2">
      <c r="B116" s="3"/>
      <c r="C116" s="3"/>
      <c r="D116" s="6"/>
      <c r="E116" s="6"/>
      <c r="F116" s="9"/>
      <c r="G116" s="6"/>
      <c r="H116" s="6"/>
    </row>
    <row r="117" spans="2:8" ht="15.95" customHeight="1" x14ac:dyDescent="0.2">
      <c r="B117" s="3"/>
      <c r="C117" s="3"/>
      <c r="D117" s="6"/>
      <c r="E117" s="6"/>
      <c r="F117" s="9"/>
      <c r="G117" s="6"/>
      <c r="H117" s="6"/>
    </row>
    <row r="118" spans="2:8" ht="15.95" customHeight="1" x14ac:dyDescent="0.2">
      <c r="B118" s="3"/>
      <c r="C118" s="3"/>
      <c r="D118" s="6"/>
      <c r="E118" s="6"/>
      <c r="F118" s="9"/>
      <c r="G118" s="6"/>
      <c r="H118" s="6"/>
    </row>
    <row r="119" spans="2:8" ht="15.95" customHeight="1" x14ac:dyDescent="0.2">
      <c r="B119" s="3"/>
      <c r="C119" s="3"/>
      <c r="D119" s="6"/>
      <c r="E119" s="6"/>
      <c r="F119" s="9"/>
      <c r="G119" s="6"/>
      <c r="H119" s="6"/>
    </row>
    <row r="120" spans="2:8" ht="15.95" customHeight="1" x14ac:dyDescent="0.2">
      <c r="B120" s="3"/>
      <c r="C120" s="3"/>
      <c r="D120" s="6"/>
      <c r="E120" s="6"/>
      <c r="F120" s="9"/>
      <c r="G120" s="6"/>
      <c r="H120" s="6"/>
    </row>
    <row r="121" spans="2:8" ht="15.95" customHeight="1" x14ac:dyDescent="0.2">
      <c r="B121" s="3"/>
      <c r="C121" s="3"/>
      <c r="D121" s="6"/>
      <c r="E121" s="6"/>
      <c r="F121" s="9"/>
      <c r="G121" s="6"/>
      <c r="H121" s="6"/>
    </row>
    <row r="122" spans="2:8" ht="15.95" customHeight="1" x14ac:dyDescent="0.2">
      <c r="B122" s="3"/>
      <c r="C122" s="3"/>
      <c r="D122" s="6"/>
      <c r="E122" s="6"/>
      <c r="F122" s="9"/>
      <c r="G122" s="6"/>
      <c r="H122" s="6"/>
    </row>
    <row r="123" spans="2:8" ht="15.95" customHeight="1" x14ac:dyDescent="0.2">
      <c r="B123" s="3"/>
      <c r="C123" s="3"/>
      <c r="D123" s="6"/>
      <c r="E123" s="6"/>
      <c r="F123" s="9"/>
      <c r="G123" s="6"/>
      <c r="H123" s="6"/>
    </row>
    <row r="124" spans="2:8" ht="15.95" customHeight="1" x14ac:dyDescent="0.2">
      <c r="B124" s="3"/>
      <c r="C124" s="3"/>
      <c r="D124" s="6"/>
      <c r="E124" s="6"/>
      <c r="F124" s="9"/>
      <c r="G124" s="6"/>
      <c r="H124" s="6"/>
    </row>
    <row r="125" spans="2:8" ht="15.95" customHeight="1" x14ac:dyDescent="0.2">
      <c r="B125" s="3"/>
      <c r="C125" s="3"/>
    </row>
    <row r="126" spans="2:8" ht="15.95" customHeight="1" x14ac:dyDescent="0.2">
      <c r="B126" s="3"/>
      <c r="C126" s="3"/>
      <c r="D126" s="6"/>
      <c r="E126" s="6"/>
      <c r="H126" s="6"/>
    </row>
    <row r="127" spans="2:8" ht="15.95" customHeight="1" x14ac:dyDescent="0.2">
      <c r="B127" s="3"/>
      <c r="C127" s="3"/>
      <c r="D127" s="6"/>
      <c r="E127" s="6"/>
      <c r="H127" s="6"/>
    </row>
    <row r="128" spans="2:8" ht="15.95" customHeight="1" x14ac:dyDescent="0.2">
      <c r="B128" s="3"/>
      <c r="C128" s="3"/>
      <c r="D128" s="6"/>
      <c r="E128" s="6"/>
      <c r="F128" s="9"/>
      <c r="G128" s="6"/>
      <c r="H128" s="6"/>
    </row>
    <row r="129" spans="1:8" ht="15.95" customHeight="1" x14ac:dyDescent="0.2">
      <c r="B129" s="3"/>
      <c r="C129" s="3"/>
      <c r="D129" s="6"/>
      <c r="E129" s="6"/>
      <c r="F129" s="9"/>
      <c r="G129" s="6"/>
      <c r="H129" s="6"/>
    </row>
    <row r="130" spans="1:8" ht="15.95" customHeight="1" x14ac:dyDescent="0.2">
      <c r="B130" s="3"/>
      <c r="C130" s="3"/>
      <c r="D130" s="6"/>
      <c r="E130" s="6"/>
      <c r="F130" s="9"/>
      <c r="G130" s="6"/>
      <c r="H130" s="6"/>
    </row>
    <row r="131" spans="1:8" ht="15.95" customHeight="1" x14ac:dyDescent="0.2">
      <c r="B131" s="3"/>
      <c r="C131" s="3"/>
      <c r="D131" s="6"/>
      <c r="E131" s="6"/>
      <c r="F131" s="9"/>
      <c r="G131" s="6"/>
      <c r="H131" s="6"/>
    </row>
    <row r="132" spans="1:8" ht="15.95" customHeight="1" x14ac:dyDescent="0.2">
      <c r="B132" s="3"/>
      <c r="C132" s="3"/>
      <c r="D132" s="6"/>
      <c r="E132" s="6"/>
      <c r="F132" s="9"/>
      <c r="G132" s="6"/>
      <c r="H132" s="6"/>
    </row>
    <row r="133" spans="1:8" ht="15.95" customHeight="1" x14ac:dyDescent="0.2">
      <c r="B133" s="3"/>
      <c r="C133" s="3"/>
      <c r="D133" s="6"/>
      <c r="E133" s="6"/>
      <c r="F133" s="9"/>
      <c r="G133" s="6"/>
      <c r="H133" s="6"/>
    </row>
    <row r="134" spans="1:8" ht="15.95" customHeight="1" x14ac:dyDescent="0.2">
      <c r="B134" s="3"/>
      <c r="C134" s="3"/>
      <c r="D134" s="6"/>
      <c r="E134" s="6"/>
      <c r="F134" s="9"/>
      <c r="G134" s="6"/>
      <c r="H134" s="6"/>
    </row>
    <row r="135" spans="1:8" ht="15.95" customHeight="1" x14ac:dyDescent="0.2">
      <c r="B135" s="3"/>
      <c r="C135" s="3"/>
      <c r="D135" s="6"/>
      <c r="E135" s="6"/>
      <c r="F135" s="9"/>
      <c r="G135" s="6"/>
      <c r="H135" s="6"/>
    </row>
    <row r="136" spans="1:8" ht="15.95" customHeight="1" x14ac:dyDescent="0.2">
      <c r="B136" s="3"/>
      <c r="C136" s="3"/>
      <c r="D136" s="6"/>
      <c r="E136" s="6"/>
      <c r="F136" s="9"/>
      <c r="G136" s="6"/>
      <c r="H136" s="6"/>
    </row>
    <row r="137" spans="1:8" ht="15.95" customHeight="1" x14ac:dyDescent="0.2">
      <c r="B137" s="3"/>
      <c r="C137" s="3"/>
      <c r="D137" s="6"/>
      <c r="E137" s="6"/>
      <c r="F137" s="9"/>
      <c r="G137" s="6"/>
      <c r="H137" s="6"/>
    </row>
    <row r="138" spans="1:8" ht="15.95" customHeight="1" x14ac:dyDescent="0.2">
      <c r="B138" s="3"/>
      <c r="C138" s="3"/>
    </row>
    <row r="139" spans="1:8" ht="15.95" customHeight="1" x14ac:dyDescent="0.2">
      <c r="B139" s="3"/>
      <c r="C139" s="3"/>
      <c r="D139" s="6"/>
      <c r="E139" s="6"/>
      <c r="H139" s="6"/>
    </row>
    <row r="140" spans="1:8" ht="15.95" customHeight="1" x14ac:dyDescent="0.2">
      <c r="B140" s="3"/>
      <c r="C140" s="3"/>
      <c r="D140" s="6"/>
      <c r="E140" s="6"/>
      <c r="H140" s="6"/>
    </row>
    <row r="141" spans="1:8" ht="15.95" customHeight="1" x14ac:dyDescent="0.2">
      <c r="B141" s="3"/>
      <c r="C141" s="3"/>
      <c r="D141" s="6"/>
      <c r="E141" s="6"/>
      <c r="F141" s="9"/>
      <c r="G141" s="6"/>
      <c r="H141" s="6"/>
    </row>
    <row r="142" spans="1:8" ht="15.95" customHeight="1" x14ac:dyDescent="0.2">
      <c r="B142" s="3"/>
      <c r="C142" s="3"/>
      <c r="D142" s="6"/>
      <c r="E142" s="6"/>
      <c r="F142" s="9"/>
      <c r="G142" s="6"/>
      <c r="H142" s="6"/>
    </row>
    <row r="143" spans="1:8" ht="15.95" customHeight="1" x14ac:dyDescent="0.2">
      <c r="B143" s="3"/>
      <c r="C143" s="3"/>
      <c r="D143" s="6"/>
      <c r="E143" s="6"/>
      <c r="F143" s="9"/>
      <c r="G143" s="6"/>
      <c r="H143" s="6"/>
    </row>
    <row r="144" spans="1:8" ht="15.95" customHeight="1" x14ac:dyDescent="0.2">
      <c r="A144" s="3"/>
      <c r="B144" s="3"/>
      <c r="C144" s="3"/>
      <c r="D144" s="6"/>
      <c r="E144" s="6"/>
      <c r="F144" s="9"/>
      <c r="G144" s="6"/>
      <c r="H144" s="6"/>
    </row>
    <row r="145" spans="2:8" ht="15.95" customHeight="1" x14ac:dyDescent="0.2">
      <c r="B145" s="3"/>
      <c r="C145" s="3"/>
      <c r="D145" s="6"/>
      <c r="E145" s="6"/>
      <c r="F145" s="9"/>
      <c r="G145" s="6"/>
      <c r="H145" s="6"/>
    </row>
    <row r="146" spans="2:8" ht="15.95" customHeight="1" x14ac:dyDescent="0.2">
      <c r="B146" s="3"/>
      <c r="C146" s="3"/>
      <c r="D146" s="6"/>
      <c r="E146" s="6"/>
      <c r="F146" s="9"/>
      <c r="G146" s="6"/>
      <c r="H146" s="6"/>
    </row>
    <row r="147" spans="2:8" ht="15.95" customHeight="1" x14ac:dyDescent="0.2">
      <c r="B147" s="3"/>
      <c r="C147" s="3"/>
      <c r="D147" s="6"/>
      <c r="E147" s="6"/>
      <c r="F147" s="9"/>
      <c r="G147" s="6"/>
      <c r="H147" s="6"/>
    </row>
    <row r="148" spans="2:8" ht="15.95" customHeight="1" x14ac:dyDescent="0.2">
      <c r="B148" s="3"/>
      <c r="C148" s="3"/>
      <c r="D148" s="6"/>
      <c r="E148" s="6"/>
      <c r="F148" s="9"/>
      <c r="G148" s="6"/>
      <c r="H148" s="6"/>
    </row>
    <row r="149" spans="2:8" ht="15.95" customHeight="1" x14ac:dyDescent="0.2">
      <c r="B149" s="3"/>
      <c r="C149" s="3"/>
      <c r="D149" s="6"/>
      <c r="E149" s="6"/>
      <c r="F149" s="9"/>
      <c r="G149" s="6"/>
      <c r="H149" s="6"/>
    </row>
    <row r="150" spans="2:8" ht="15.95" customHeight="1" x14ac:dyDescent="0.2">
      <c r="B150" s="3"/>
      <c r="C150" s="3"/>
      <c r="D150" s="6"/>
      <c r="E150" s="6"/>
      <c r="F150" s="9"/>
      <c r="G150" s="6"/>
      <c r="H150" s="6"/>
    </row>
    <row r="151" spans="2:8" ht="15.95" customHeight="1" x14ac:dyDescent="0.2">
      <c r="B151" s="3"/>
      <c r="C151" s="3"/>
    </row>
    <row r="152" spans="2:8" ht="15.95" customHeight="1" x14ac:dyDescent="0.2">
      <c r="B152" s="3"/>
      <c r="C152" s="3"/>
      <c r="D152" s="6"/>
      <c r="E152" s="6"/>
      <c r="H152" s="6"/>
    </row>
    <row r="153" spans="2:8" ht="15.95" customHeight="1" x14ac:dyDescent="0.2">
      <c r="B153" s="3"/>
      <c r="C153" s="3"/>
      <c r="D153" s="6"/>
      <c r="E153" s="6"/>
      <c r="H153" s="6"/>
    </row>
    <row r="154" spans="2:8" ht="15.95" customHeight="1" x14ac:dyDescent="0.2">
      <c r="B154" s="3"/>
      <c r="C154" s="3"/>
      <c r="D154" s="6"/>
      <c r="E154" s="6"/>
      <c r="F154" s="9"/>
      <c r="G154" s="6"/>
      <c r="H154" s="6"/>
    </row>
    <row r="155" spans="2:8" ht="15.95" customHeight="1" x14ac:dyDescent="0.2">
      <c r="B155" s="3"/>
      <c r="C155" s="3"/>
      <c r="D155" s="6"/>
      <c r="E155" s="6"/>
      <c r="F155" s="9"/>
      <c r="G155" s="6"/>
      <c r="H155" s="6"/>
    </row>
    <row r="156" spans="2:8" ht="15.95" customHeight="1" x14ac:dyDescent="0.2">
      <c r="B156" s="3"/>
      <c r="C156" s="3"/>
      <c r="D156" s="6"/>
      <c r="E156" s="6"/>
      <c r="F156" s="9"/>
      <c r="G156" s="6"/>
      <c r="H156" s="6"/>
    </row>
    <row r="157" spans="2:8" ht="15.95" customHeight="1" x14ac:dyDescent="0.2">
      <c r="B157" s="3"/>
      <c r="C157" s="3"/>
      <c r="D157" s="6"/>
      <c r="E157" s="6"/>
      <c r="F157" s="9"/>
      <c r="G157" s="6"/>
      <c r="H157" s="6"/>
    </row>
    <row r="158" spans="2:8" ht="15.95" customHeight="1" x14ac:dyDescent="0.2">
      <c r="B158" s="3"/>
      <c r="C158" s="3"/>
      <c r="D158" s="6"/>
      <c r="E158" s="6"/>
      <c r="F158" s="9"/>
      <c r="G158" s="6"/>
      <c r="H158" s="6"/>
    </row>
    <row r="159" spans="2:8" ht="15.95" customHeight="1" x14ac:dyDescent="0.2">
      <c r="B159" s="3"/>
      <c r="C159" s="3"/>
      <c r="D159" s="6"/>
      <c r="E159" s="6"/>
      <c r="F159" s="9"/>
      <c r="G159" s="6"/>
      <c r="H159" s="6"/>
    </row>
    <row r="160" spans="2:8" ht="15.95" customHeight="1" x14ac:dyDescent="0.2">
      <c r="B160" s="3"/>
      <c r="C160" s="3"/>
      <c r="D160" s="6"/>
      <c r="E160" s="6"/>
      <c r="F160" s="9"/>
      <c r="G160" s="6"/>
      <c r="H160" s="6"/>
    </row>
    <row r="161" spans="1:8" ht="15.95" customHeight="1" x14ac:dyDescent="0.2">
      <c r="B161" s="3"/>
      <c r="C161" s="3"/>
      <c r="D161" s="6"/>
      <c r="E161" s="6"/>
      <c r="F161" s="9"/>
      <c r="G161" s="6"/>
      <c r="H161" s="6"/>
    </row>
    <row r="162" spans="1:8" ht="15.95" customHeight="1" x14ac:dyDescent="0.2">
      <c r="B162" s="3"/>
      <c r="C162" s="3"/>
      <c r="D162" s="6"/>
      <c r="E162" s="6"/>
      <c r="F162" s="9"/>
      <c r="G162" s="6"/>
      <c r="H162" s="6"/>
    </row>
    <row r="163" spans="1:8" ht="15.95" customHeight="1" x14ac:dyDescent="0.2">
      <c r="A163" s="3"/>
      <c r="B163" s="3"/>
      <c r="C163" s="3"/>
      <c r="D163" s="6"/>
      <c r="E163" s="6"/>
      <c r="F163" s="9"/>
      <c r="G163" s="6"/>
      <c r="H163" s="6"/>
    </row>
    <row r="164" spans="1:8" ht="15.95" customHeight="1" x14ac:dyDescent="0.2">
      <c r="H164" s="16"/>
    </row>
    <row r="165" spans="1:8" ht="15.95" customHeight="1" x14ac:dyDescent="0.2">
      <c r="D165" s="6"/>
      <c r="E165" s="6"/>
      <c r="H165" s="6"/>
    </row>
    <row r="166" spans="1:8" ht="15.95" customHeight="1" x14ac:dyDescent="0.2">
      <c r="D166" s="6"/>
      <c r="E166" s="6"/>
      <c r="H166" s="6"/>
    </row>
    <row r="167" spans="1:8" ht="15.95" customHeight="1" x14ac:dyDescent="0.2">
      <c r="D167" s="6"/>
      <c r="E167" s="6"/>
      <c r="F167" s="9"/>
      <c r="G167" s="6"/>
      <c r="H167" s="6"/>
    </row>
    <row r="168" spans="1:8" ht="15.95" customHeight="1" x14ac:dyDescent="0.2">
      <c r="D168" s="6"/>
      <c r="E168" s="6"/>
      <c r="F168" s="9"/>
      <c r="G168" s="6"/>
      <c r="H168" s="6"/>
    </row>
    <row r="169" spans="1:8" ht="15.95" customHeight="1" x14ac:dyDescent="0.2">
      <c r="D169" s="6"/>
      <c r="E169" s="6"/>
      <c r="F169" s="9"/>
      <c r="G169" s="6"/>
      <c r="H169" s="6"/>
    </row>
    <row r="170" spans="1:8" ht="15.95" customHeight="1" x14ac:dyDescent="0.2">
      <c r="D170" s="6"/>
      <c r="E170" s="6"/>
      <c r="F170" s="9"/>
      <c r="G170" s="6"/>
      <c r="H170" s="6"/>
    </row>
    <row r="171" spans="1:8" ht="15.95" customHeight="1" x14ac:dyDescent="0.2">
      <c r="D171" s="6"/>
      <c r="E171" s="6"/>
      <c r="F171" s="9"/>
      <c r="G171" s="6"/>
      <c r="H171" s="6"/>
    </row>
    <row r="172" spans="1:8" ht="15.95" customHeight="1" x14ac:dyDescent="0.2">
      <c r="D172" s="6"/>
      <c r="E172" s="6"/>
      <c r="F172" s="9"/>
      <c r="G172" s="6"/>
      <c r="H172" s="6"/>
    </row>
    <row r="173" spans="1:8" ht="15.95" customHeight="1" x14ac:dyDescent="0.2">
      <c r="D173" s="6"/>
      <c r="E173" s="6"/>
      <c r="F173" s="9"/>
      <c r="G173" s="6"/>
      <c r="H173" s="6"/>
    </row>
    <row r="174" spans="1:8" ht="15.95" customHeight="1" x14ac:dyDescent="0.2">
      <c r="D174" s="6"/>
      <c r="E174" s="6"/>
      <c r="F174" s="9"/>
      <c r="G174" s="6"/>
      <c r="H174" s="6"/>
    </row>
    <row r="175" spans="1:8" ht="15.95" customHeight="1" x14ac:dyDescent="0.2">
      <c r="D175" s="6"/>
      <c r="E175" s="6"/>
      <c r="F175" s="9"/>
      <c r="G175" s="6"/>
      <c r="H175" s="6"/>
    </row>
    <row r="176" spans="1:8" ht="15.95" customHeight="1" x14ac:dyDescent="0.2">
      <c r="D176" s="6"/>
      <c r="E176" s="6"/>
      <c r="F176" s="9"/>
      <c r="G176" s="6"/>
      <c r="H176" s="6"/>
    </row>
    <row r="177" spans="4:8" ht="15.95" customHeight="1" x14ac:dyDescent="0.2">
      <c r="H177" s="16"/>
    </row>
    <row r="178" spans="4:8" ht="15.95" customHeight="1" x14ac:dyDescent="0.2">
      <c r="D178" s="6"/>
      <c r="E178" s="6"/>
      <c r="H178" s="6"/>
    </row>
    <row r="179" spans="4:8" ht="15.95" customHeight="1" x14ac:dyDescent="0.2">
      <c r="D179" s="6"/>
      <c r="E179" s="6"/>
      <c r="H179" s="6"/>
    </row>
    <row r="180" spans="4:8" ht="15.95" customHeight="1" x14ac:dyDescent="0.2">
      <c r="D180" s="6"/>
      <c r="E180" s="6"/>
      <c r="F180" s="9"/>
      <c r="G180" s="6"/>
      <c r="H180" s="6"/>
    </row>
    <row r="181" spans="4:8" ht="15.95" customHeight="1" x14ac:dyDescent="0.2">
      <c r="D181" s="6"/>
      <c r="E181" s="6"/>
      <c r="F181" s="9"/>
      <c r="G181" s="6"/>
      <c r="H181" s="6"/>
    </row>
    <row r="182" spans="4:8" ht="15.95" customHeight="1" x14ac:dyDescent="0.2">
      <c r="D182" s="6"/>
      <c r="E182" s="6"/>
      <c r="F182" s="9"/>
      <c r="G182" s="6"/>
      <c r="H182" s="6"/>
    </row>
    <row r="183" spans="4:8" ht="15.95" customHeight="1" x14ac:dyDescent="0.2">
      <c r="D183" s="6"/>
      <c r="E183" s="6"/>
      <c r="F183" s="9"/>
      <c r="G183" s="6"/>
      <c r="H183" s="6"/>
    </row>
    <row r="184" spans="4:8" ht="15.95" customHeight="1" x14ac:dyDescent="0.2">
      <c r="D184" s="6"/>
      <c r="E184" s="6"/>
      <c r="F184" s="9"/>
      <c r="G184" s="6"/>
      <c r="H184" s="6"/>
    </row>
    <row r="185" spans="4:8" ht="15.95" customHeight="1" x14ac:dyDescent="0.2">
      <c r="D185" s="6"/>
      <c r="E185" s="6"/>
      <c r="F185" s="9"/>
      <c r="G185" s="6"/>
      <c r="H185" s="6"/>
    </row>
    <row r="186" spans="4:8" ht="15.95" customHeight="1" x14ac:dyDescent="0.2">
      <c r="D186" s="6"/>
      <c r="E186" s="6"/>
      <c r="F186" s="9"/>
      <c r="G186" s="6"/>
      <c r="H186" s="6"/>
    </row>
    <row r="187" spans="4:8" ht="15.95" customHeight="1" x14ac:dyDescent="0.2">
      <c r="D187" s="6"/>
      <c r="E187" s="6"/>
      <c r="F187" s="9"/>
      <c r="G187" s="6"/>
      <c r="H187" s="6"/>
    </row>
    <row r="188" spans="4:8" ht="15.95" customHeight="1" x14ac:dyDescent="0.2">
      <c r="D188" s="6"/>
      <c r="E188" s="6"/>
      <c r="F188" s="9"/>
      <c r="G188" s="6"/>
      <c r="H188" s="6"/>
    </row>
    <row r="189" spans="4:8" ht="15.95" customHeight="1" x14ac:dyDescent="0.2">
      <c r="D189" s="6"/>
      <c r="E189" s="6"/>
      <c r="F189" s="9"/>
      <c r="G189" s="6"/>
      <c r="H189" s="6"/>
    </row>
    <row r="190" spans="4:8" ht="15.95" customHeight="1" x14ac:dyDescent="0.2">
      <c r="H190" s="16"/>
    </row>
    <row r="191" spans="4:8" ht="15.95" customHeight="1" x14ac:dyDescent="0.2">
      <c r="D191" s="6"/>
      <c r="E191" s="6"/>
      <c r="H191" s="6"/>
    </row>
    <row r="192" spans="4:8" ht="15.95" customHeight="1" x14ac:dyDescent="0.2">
      <c r="D192" s="6"/>
      <c r="E192" s="6"/>
      <c r="H192" s="6"/>
    </row>
    <row r="193" spans="4:8" ht="15.95" customHeight="1" x14ac:dyDescent="0.2">
      <c r="D193" s="6"/>
      <c r="E193" s="6"/>
      <c r="F193" s="9"/>
      <c r="G193" s="6"/>
      <c r="H193" s="6"/>
    </row>
    <row r="194" spans="4:8" ht="15.95" customHeight="1" x14ac:dyDescent="0.2">
      <c r="D194" s="6"/>
      <c r="E194" s="6"/>
      <c r="F194" s="9"/>
      <c r="G194" s="6"/>
      <c r="H194" s="6"/>
    </row>
    <row r="195" spans="4:8" ht="15.95" customHeight="1" x14ac:dyDescent="0.2">
      <c r="D195" s="6"/>
      <c r="E195" s="6"/>
      <c r="F195" s="9"/>
      <c r="G195" s="6"/>
      <c r="H195" s="6"/>
    </row>
    <row r="196" spans="4:8" ht="15.95" customHeight="1" x14ac:dyDescent="0.2">
      <c r="D196" s="6"/>
      <c r="E196" s="6"/>
      <c r="F196" s="9"/>
      <c r="G196" s="6"/>
      <c r="H196" s="6"/>
    </row>
    <row r="197" spans="4:8" ht="15.95" customHeight="1" x14ac:dyDescent="0.2">
      <c r="D197" s="6"/>
      <c r="E197" s="6"/>
      <c r="F197" s="9"/>
      <c r="G197" s="6"/>
      <c r="H197" s="6"/>
    </row>
    <row r="198" spans="4:8" ht="15.95" customHeight="1" x14ac:dyDescent="0.2">
      <c r="D198" s="6"/>
      <c r="E198" s="6"/>
      <c r="F198" s="9"/>
      <c r="G198" s="6"/>
      <c r="H198" s="6"/>
    </row>
    <row r="199" spans="4:8" ht="15.95" customHeight="1" x14ac:dyDescent="0.2">
      <c r="D199" s="6"/>
      <c r="E199" s="6"/>
      <c r="F199" s="9"/>
      <c r="G199" s="6"/>
      <c r="H199" s="6"/>
    </row>
    <row r="200" spans="4:8" ht="15.95" customHeight="1" x14ac:dyDescent="0.2">
      <c r="D200" s="6"/>
      <c r="E200" s="6"/>
      <c r="F200" s="9"/>
      <c r="G200" s="6"/>
      <c r="H200" s="6"/>
    </row>
    <row r="201" spans="4:8" ht="15.95" customHeight="1" x14ac:dyDescent="0.2">
      <c r="D201" s="6"/>
      <c r="E201" s="6"/>
      <c r="F201" s="9"/>
      <c r="G201" s="6"/>
      <c r="H201" s="6"/>
    </row>
    <row r="202" spans="4:8" ht="15.95" customHeight="1" x14ac:dyDescent="0.2">
      <c r="D202" s="6"/>
      <c r="E202" s="6"/>
      <c r="F202" s="9"/>
      <c r="G202" s="6"/>
      <c r="H202" s="6"/>
    </row>
    <row r="203" spans="4:8" ht="15.95" customHeight="1" x14ac:dyDescent="0.2">
      <c r="H203" s="16"/>
    </row>
    <row r="204" spans="4:8" ht="15.95" customHeight="1" x14ac:dyDescent="0.2">
      <c r="D204" s="6"/>
      <c r="E204" s="6"/>
      <c r="H204" s="6"/>
    </row>
    <row r="205" spans="4:8" ht="15.95" customHeight="1" x14ac:dyDescent="0.2">
      <c r="D205" s="6"/>
      <c r="E205" s="6"/>
      <c r="H205" s="6"/>
    </row>
    <row r="206" spans="4:8" ht="15.95" customHeight="1" x14ac:dyDescent="0.2">
      <c r="D206" s="6"/>
      <c r="E206" s="6"/>
      <c r="F206" s="9"/>
      <c r="G206" s="6"/>
      <c r="H206" s="6"/>
    </row>
    <row r="207" spans="4:8" ht="15.95" customHeight="1" x14ac:dyDescent="0.2">
      <c r="D207" s="6"/>
      <c r="E207" s="6"/>
      <c r="F207" s="9"/>
      <c r="G207" s="6"/>
      <c r="H207" s="6"/>
    </row>
    <row r="208" spans="4:8" ht="15.95" customHeight="1" x14ac:dyDescent="0.2">
      <c r="D208" s="6"/>
      <c r="E208" s="6"/>
      <c r="F208" s="9"/>
      <c r="G208" s="6"/>
      <c r="H208" s="6"/>
    </row>
    <row r="209" spans="4:8" ht="15.95" customHeight="1" x14ac:dyDescent="0.2">
      <c r="D209" s="6"/>
      <c r="E209" s="6"/>
      <c r="F209" s="9"/>
      <c r="G209" s="6"/>
      <c r="H209" s="6"/>
    </row>
    <row r="210" spans="4:8" ht="15.95" customHeight="1" x14ac:dyDescent="0.2">
      <c r="D210" s="6"/>
      <c r="E210" s="6"/>
      <c r="F210" s="9"/>
      <c r="G210" s="6"/>
      <c r="H210" s="6"/>
    </row>
    <row r="211" spans="4:8" ht="15.95" customHeight="1" x14ac:dyDescent="0.2">
      <c r="D211" s="6"/>
      <c r="E211" s="6"/>
      <c r="F211" s="9"/>
      <c r="G211" s="6"/>
      <c r="H211" s="6"/>
    </row>
    <row r="212" spans="4:8" ht="15.95" customHeight="1" x14ac:dyDescent="0.2">
      <c r="D212" s="6"/>
      <c r="E212" s="6"/>
      <c r="F212" s="9"/>
      <c r="G212" s="6"/>
      <c r="H212" s="6"/>
    </row>
    <row r="213" spans="4:8" ht="15.95" customHeight="1" x14ac:dyDescent="0.2">
      <c r="D213" s="6"/>
      <c r="E213" s="6"/>
      <c r="F213" s="9"/>
      <c r="G213" s="6"/>
      <c r="H213" s="6"/>
    </row>
    <row r="214" spans="4:8" ht="15.95" customHeight="1" x14ac:dyDescent="0.2">
      <c r="D214" s="6"/>
      <c r="E214" s="6"/>
      <c r="F214" s="9"/>
      <c r="G214" s="6"/>
      <c r="H214" s="6"/>
    </row>
    <row r="215" spans="4:8" ht="15.95" customHeight="1" x14ac:dyDescent="0.2">
      <c r="D215" s="6"/>
      <c r="E215" s="6"/>
      <c r="F215" s="9"/>
      <c r="G215" s="6"/>
      <c r="H215" s="6"/>
    </row>
  </sheetData>
  <mergeCells count="3">
    <mergeCell ref="B8:C8"/>
    <mergeCell ref="B28:C28"/>
    <mergeCell ref="B47:C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FC9A-BDB2-E047-AC10-61C6D5C1E723}">
  <sheetPr>
    <tabColor rgb="FFFFFF00"/>
  </sheetPr>
  <dimension ref="A1:O150"/>
  <sheetViews>
    <sheetView tabSelected="1" workbookViewId="0">
      <selection activeCell="N27" sqref="N27"/>
    </sheetView>
  </sheetViews>
  <sheetFormatPr defaultColWidth="12.42578125" defaultRowHeight="15.95" customHeight="1" x14ac:dyDescent="0.2"/>
  <cols>
    <col min="1" max="1" width="32.42578125" style="13" customWidth="1"/>
    <col min="2" max="15" width="10.28515625" style="1" customWidth="1"/>
    <col min="16" max="256" width="10.140625" style="13" customWidth="1"/>
    <col min="257" max="257" width="14.7109375" style="13" customWidth="1"/>
    <col min="258" max="258" width="11.42578125" style="13" bestFit="1" customWidth="1"/>
    <col min="259" max="512" width="10.140625" style="13" customWidth="1"/>
    <col min="513" max="513" width="14.7109375" style="13" customWidth="1"/>
    <col min="514" max="514" width="11.42578125" style="13" bestFit="1" customWidth="1"/>
    <col min="515" max="768" width="10.140625" style="13" customWidth="1"/>
    <col min="769" max="769" width="14.7109375" style="13" customWidth="1"/>
    <col min="770" max="770" width="11.42578125" style="13" bestFit="1" customWidth="1"/>
    <col min="771" max="1024" width="10.140625" style="13" customWidth="1"/>
    <col min="1025" max="1025" width="14.7109375" style="13" customWidth="1"/>
    <col min="1026" max="1026" width="11.42578125" style="13" bestFit="1" customWidth="1"/>
    <col min="1027" max="1280" width="10.140625" style="13" customWidth="1"/>
    <col min="1281" max="1281" width="14.7109375" style="13" customWidth="1"/>
    <col min="1282" max="1282" width="11.42578125" style="13" bestFit="1" customWidth="1"/>
    <col min="1283" max="1536" width="10.140625" style="13" customWidth="1"/>
    <col min="1537" max="1537" width="14.7109375" style="13" customWidth="1"/>
    <col min="1538" max="1538" width="11.42578125" style="13" bestFit="1" customWidth="1"/>
    <col min="1539" max="1792" width="10.140625" style="13" customWidth="1"/>
    <col min="1793" max="1793" width="14.7109375" style="13" customWidth="1"/>
    <col min="1794" max="1794" width="11.42578125" style="13" bestFit="1" customWidth="1"/>
    <col min="1795" max="2048" width="10.140625" style="13" customWidth="1"/>
    <col min="2049" max="2049" width="14.7109375" style="13" customWidth="1"/>
    <col min="2050" max="2050" width="11.42578125" style="13" bestFit="1" customWidth="1"/>
    <col min="2051" max="2304" width="10.140625" style="13" customWidth="1"/>
    <col min="2305" max="2305" width="14.7109375" style="13" customWidth="1"/>
    <col min="2306" max="2306" width="11.42578125" style="13" bestFit="1" customWidth="1"/>
    <col min="2307" max="2560" width="10.140625" style="13" customWidth="1"/>
    <col min="2561" max="2561" width="14.7109375" style="13" customWidth="1"/>
    <col min="2562" max="2562" width="11.42578125" style="13" bestFit="1" customWidth="1"/>
    <col min="2563" max="2816" width="10.140625" style="13" customWidth="1"/>
    <col min="2817" max="2817" width="14.7109375" style="13" customWidth="1"/>
    <col min="2818" max="2818" width="11.42578125" style="13" bestFit="1" customWidth="1"/>
    <col min="2819" max="3072" width="10.140625" style="13" customWidth="1"/>
    <col min="3073" max="3073" width="14.7109375" style="13" customWidth="1"/>
    <col min="3074" max="3074" width="11.42578125" style="13" bestFit="1" customWidth="1"/>
    <col min="3075" max="3328" width="10.140625" style="13" customWidth="1"/>
    <col min="3329" max="3329" width="14.7109375" style="13" customWidth="1"/>
    <col min="3330" max="3330" width="11.42578125" style="13" bestFit="1" customWidth="1"/>
    <col min="3331" max="3584" width="10.140625" style="13" customWidth="1"/>
    <col min="3585" max="3585" width="14.7109375" style="13" customWidth="1"/>
    <col min="3586" max="3586" width="11.42578125" style="13" bestFit="1" customWidth="1"/>
    <col min="3587" max="3840" width="10.140625" style="13" customWidth="1"/>
    <col min="3841" max="3841" width="14.7109375" style="13" customWidth="1"/>
    <col min="3842" max="3842" width="11.42578125" style="13" bestFit="1" customWidth="1"/>
    <col min="3843" max="4096" width="10.140625" style="13" customWidth="1"/>
    <col min="4097" max="4097" width="14.7109375" style="13" customWidth="1"/>
    <col min="4098" max="4098" width="11.42578125" style="13" bestFit="1" customWidth="1"/>
    <col min="4099" max="4352" width="10.140625" style="13" customWidth="1"/>
    <col min="4353" max="4353" width="14.7109375" style="13" customWidth="1"/>
    <col min="4354" max="4354" width="11.42578125" style="13" bestFit="1" customWidth="1"/>
    <col min="4355" max="4608" width="10.140625" style="13" customWidth="1"/>
    <col min="4609" max="4609" width="14.7109375" style="13" customWidth="1"/>
    <col min="4610" max="4610" width="11.42578125" style="13" bestFit="1" customWidth="1"/>
    <col min="4611" max="4864" width="10.140625" style="13" customWidth="1"/>
    <col min="4865" max="4865" width="14.7109375" style="13" customWidth="1"/>
    <col min="4866" max="4866" width="11.42578125" style="13" bestFit="1" customWidth="1"/>
    <col min="4867" max="5120" width="10.140625" style="13" customWidth="1"/>
    <col min="5121" max="5121" width="14.7109375" style="13" customWidth="1"/>
    <col min="5122" max="5122" width="11.42578125" style="13" bestFit="1" customWidth="1"/>
    <col min="5123" max="5376" width="10.140625" style="13" customWidth="1"/>
    <col min="5377" max="5377" width="14.7109375" style="13" customWidth="1"/>
    <col min="5378" max="5378" width="11.42578125" style="13" bestFit="1" customWidth="1"/>
    <col min="5379" max="5632" width="10.140625" style="13" customWidth="1"/>
    <col min="5633" max="5633" width="14.7109375" style="13" customWidth="1"/>
    <col min="5634" max="5634" width="11.42578125" style="13" bestFit="1" customWidth="1"/>
    <col min="5635" max="5888" width="10.140625" style="13" customWidth="1"/>
    <col min="5889" max="5889" width="14.7109375" style="13" customWidth="1"/>
    <col min="5890" max="5890" width="11.42578125" style="13" bestFit="1" customWidth="1"/>
    <col min="5891" max="6144" width="10.140625" style="13" customWidth="1"/>
    <col min="6145" max="6145" width="14.7109375" style="13" customWidth="1"/>
    <col min="6146" max="6146" width="11.42578125" style="13" bestFit="1" customWidth="1"/>
    <col min="6147" max="6400" width="10.140625" style="13" customWidth="1"/>
    <col min="6401" max="6401" width="14.7109375" style="13" customWidth="1"/>
    <col min="6402" max="6402" width="11.42578125" style="13" bestFit="1" customWidth="1"/>
    <col min="6403" max="6656" width="10.140625" style="13" customWidth="1"/>
    <col min="6657" max="6657" width="14.7109375" style="13" customWidth="1"/>
    <col min="6658" max="6658" width="11.42578125" style="13" bestFit="1" customWidth="1"/>
    <col min="6659" max="6912" width="10.140625" style="13" customWidth="1"/>
    <col min="6913" max="6913" width="14.7109375" style="13" customWidth="1"/>
    <col min="6914" max="6914" width="11.42578125" style="13" bestFit="1" customWidth="1"/>
    <col min="6915" max="7168" width="10.140625" style="13" customWidth="1"/>
    <col min="7169" max="7169" width="14.7109375" style="13" customWidth="1"/>
    <col min="7170" max="7170" width="11.42578125" style="13" bestFit="1" customWidth="1"/>
    <col min="7171" max="7424" width="10.140625" style="13" customWidth="1"/>
    <col min="7425" max="7425" width="14.7109375" style="13" customWidth="1"/>
    <col min="7426" max="7426" width="11.42578125" style="13" bestFit="1" customWidth="1"/>
    <col min="7427" max="7680" width="10.140625" style="13" customWidth="1"/>
    <col min="7681" max="7681" width="14.7109375" style="13" customWidth="1"/>
    <col min="7682" max="7682" width="11.42578125" style="13" bestFit="1" customWidth="1"/>
    <col min="7683" max="7936" width="10.140625" style="13" customWidth="1"/>
    <col min="7937" max="7937" width="14.7109375" style="13" customWidth="1"/>
    <col min="7938" max="7938" width="11.42578125" style="13" bestFit="1" customWidth="1"/>
    <col min="7939" max="8192" width="10.140625" style="13" customWidth="1"/>
    <col min="8193" max="8193" width="14.7109375" style="13" customWidth="1"/>
    <col min="8194" max="8194" width="11.42578125" style="13" bestFit="1" customWidth="1"/>
    <col min="8195" max="8448" width="10.140625" style="13" customWidth="1"/>
    <col min="8449" max="8449" width="14.7109375" style="13" customWidth="1"/>
    <col min="8450" max="8450" width="11.42578125" style="13" bestFit="1" customWidth="1"/>
    <col min="8451" max="8704" width="10.140625" style="13" customWidth="1"/>
    <col min="8705" max="8705" width="14.7109375" style="13" customWidth="1"/>
    <col min="8706" max="8706" width="11.42578125" style="13" bestFit="1" customWidth="1"/>
    <col min="8707" max="8960" width="10.140625" style="13" customWidth="1"/>
    <col min="8961" max="8961" width="14.7109375" style="13" customWidth="1"/>
    <col min="8962" max="8962" width="11.42578125" style="13" bestFit="1" customWidth="1"/>
    <col min="8963" max="9216" width="10.140625" style="13" customWidth="1"/>
    <col min="9217" max="9217" width="14.7109375" style="13" customWidth="1"/>
    <col min="9218" max="9218" width="11.42578125" style="13" bestFit="1" customWidth="1"/>
    <col min="9219" max="9472" width="10.140625" style="13" customWidth="1"/>
    <col min="9473" max="9473" width="14.7109375" style="13" customWidth="1"/>
    <col min="9474" max="9474" width="11.42578125" style="13" bestFit="1" customWidth="1"/>
    <col min="9475" max="9728" width="10.140625" style="13" customWidth="1"/>
    <col min="9729" max="9729" width="14.7109375" style="13" customWidth="1"/>
    <col min="9730" max="9730" width="11.42578125" style="13" bestFit="1" customWidth="1"/>
    <col min="9731" max="9984" width="10.140625" style="13" customWidth="1"/>
    <col min="9985" max="9985" width="14.7109375" style="13" customWidth="1"/>
    <col min="9986" max="9986" width="11.42578125" style="13" bestFit="1" customWidth="1"/>
    <col min="9987" max="10240" width="10.140625" style="13" customWidth="1"/>
    <col min="10241" max="10241" width="14.7109375" style="13" customWidth="1"/>
    <col min="10242" max="10242" width="11.42578125" style="13" bestFit="1" customWidth="1"/>
    <col min="10243" max="10496" width="10.140625" style="13" customWidth="1"/>
    <col min="10497" max="10497" width="14.7109375" style="13" customWidth="1"/>
    <col min="10498" max="10498" width="11.42578125" style="13" bestFit="1" customWidth="1"/>
    <col min="10499" max="10752" width="10.140625" style="13" customWidth="1"/>
    <col min="10753" max="10753" width="14.7109375" style="13" customWidth="1"/>
    <col min="10754" max="10754" width="11.42578125" style="13" bestFit="1" customWidth="1"/>
    <col min="10755" max="11008" width="10.140625" style="13" customWidth="1"/>
    <col min="11009" max="11009" width="14.7109375" style="13" customWidth="1"/>
    <col min="11010" max="11010" width="11.42578125" style="13" bestFit="1" customWidth="1"/>
    <col min="11011" max="11264" width="10.140625" style="13" customWidth="1"/>
    <col min="11265" max="11265" width="14.7109375" style="13" customWidth="1"/>
    <col min="11266" max="11266" width="11.42578125" style="13" bestFit="1" customWidth="1"/>
    <col min="11267" max="11520" width="10.140625" style="13" customWidth="1"/>
    <col min="11521" max="11521" width="14.7109375" style="13" customWidth="1"/>
    <col min="11522" max="11522" width="11.42578125" style="13" bestFit="1" customWidth="1"/>
    <col min="11523" max="11776" width="10.140625" style="13" customWidth="1"/>
    <col min="11777" max="11777" width="14.7109375" style="13" customWidth="1"/>
    <col min="11778" max="11778" width="11.42578125" style="13" bestFit="1" customWidth="1"/>
    <col min="11779" max="12032" width="10.140625" style="13" customWidth="1"/>
    <col min="12033" max="12033" width="14.7109375" style="13" customWidth="1"/>
    <col min="12034" max="12034" width="11.42578125" style="13" bestFit="1" customWidth="1"/>
    <col min="12035" max="12288" width="10.140625" style="13" customWidth="1"/>
    <col min="12289" max="12289" width="14.7109375" style="13" customWidth="1"/>
    <col min="12290" max="12290" width="11.42578125" style="13" bestFit="1" customWidth="1"/>
    <col min="12291" max="12544" width="10.140625" style="13" customWidth="1"/>
    <col min="12545" max="12545" width="14.7109375" style="13" customWidth="1"/>
    <col min="12546" max="12546" width="11.42578125" style="13" bestFit="1" customWidth="1"/>
    <col min="12547" max="12800" width="10.140625" style="13" customWidth="1"/>
    <col min="12801" max="12801" width="14.7109375" style="13" customWidth="1"/>
    <col min="12802" max="12802" width="11.42578125" style="13" bestFit="1" customWidth="1"/>
    <col min="12803" max="13056" width="10.140625" style="13" customWidth="1"/>
    <col min="13057" max="13057" width="14.7109375" style="13" customWidth="1"/>
    <col min="13058" max="13058" width="11.42578125" style="13" bestFit="1" customWidth="1"/>
    <col min="13059" max="13312" width="10.140625" style="13" customWidth="1"/>
    <col min="13313" max="13313" width="14.7109375" style="13" customWidth="1"/>
    <col min="13314" max="13314" width="11.42578125" style="13" bestFit="1" customWidth="1"/>
    <col min="13315" max="13568" width="10.140625" style="13" customWidth="1"/>
    <col min="13569" max="13569" width="14.7109375" style="13" customWidth="1"/>
    <col min="13570" max="13570" width="11.42578125" style="13" bestFit="1" customWidth="1"/>
    <col min="13571" max="13824" width="10.140625" style="13" customWidth="1"/>
    <col min="13825" max="13825" width="14.7109375" style="13" customWidth="1"/>
    <col min="13826" max="13826" width="11.42578125" style="13" bestFit="1" customWidth="1"/>
    <col min="13827" max="14080" width="10.140625" style="13" customWidth="1"/>
    <col min="14081" max="14081" width="14.7109375" style="13" customWidth="1"/>
    <col min="14082" max="14082" width="11.42578125" style="13" bestFit="1" customWidth="1"/>
    <col min="14083" max="14336" width="10.140625" style="13" customWidth="1"/>
    <col min="14337" max="14337" width="14.7109375" style="13" customWidth="1"/>
    <col min="14338" max="14338" width="11.42578125" style="13" bestFit="1" customWidth="1"/>
    <col min="14339" max="14592" width="10.140625" style="13" customWidth="1"/>
    <col min="14593" max="14593" width="14.7109375" style="13" customWidth="1"/>
    <col min="14594" max="14594" width="11.42578125" style="13" bestFit="1" customWidth="1"/>
    <col min="14595" max="14848" width="10.140625" style="13" customWidth="1"/>
    <col min="14849" max="14849" width="14.7109375" style="13" customWidth="1"/>
    <col min="14850" max="14850" width="11.42578125" style="13" bestFit="1" customWidth="1"/>
    <col min="14851" max="15104" width="10.140625" style="13" customWidth="1"/>
    <col min="15105" max="15105" width="14.7109375" style="13" customWidth="1"/>
    <col min="15106" max="15106" width="11.42578125" style="13" bestFit="1" customWidth="1"/>
    <col min="15107" max="15360" width="10.140625" style="13" customWidth="1"/>
    <col min="15361" max="15361" width="14.7109375" style="13" customWidth="1"/>
    <col min="15362" max="15362" width="11.42578125" style="13" bestFit="1" customWidth="1"/>
    <col min="15363" max="15616" width="10.140625" style="13" customWidth="1"/>
    <col min="15617" max="15617" width="14.7109375" style="13" customWidth="1"/>
    <col min="15618" max="15618" width="11.42578125" style="13" bestFit="1" customWidth="1"/>
    <col min="15619" max="15872" width="10.140625" style="13" customWidth="1"/>
    <col min="15873" max="15873" width="14.7109375" style="13" customWidth="1"/>
    <col min="15874" max="15874" width="11.42578125" style="13" bestFit="1" customWidth="1"/>
    <col min="15875" max="16128" width="10.140625" style="13" customWidth="1"/>
    <col min="16129" max="16129" width="14.7109375" style="13" customWidth="1"/>
    <col min="16130" max="16130" width="11.42578125" style="13" bestFit="1" customWidth="1"/>
    <col min="16131" max="16384" width="10.140625" style="13" customWidth="1"/>
  </cols>
  <sheetData>
    <row r="1" spans="1:13" ht="15.95" customHeight="1" x14ac:dyDescent="0.2">
      <c r="A1" s="13" t="s">
        <v>0</v>
      </c>
      <c r="B1" s="2">
        <v>45349</v>
      </c>
      <c r="E1" s="1">
        <v>108.5</v>
      </c>
      <c r="F1" s="1" t="s">
        <v>1</v>
      </c>
      <c r="G1" s="1">
        <v>5141</v>
      </c>
      <c r="H1" s="3">
        <v>5062</v>
      </c>
      <c r="I1" s="1" t="s">
        <v>2</v>
      </c>
      <c r="M1" s="3"/>
    </row>
    <row r="2" spans="1:13" ht="15.95" customHeight="1" x14ac:dyDescent="0.2">
      <c r="A2" s="13" t="s">
        <v>3</v>
      </c>
      <c r="E2" s="1">
        <f>E1*2200*0.53</f>
        <v>126511</v>
      </c>
      <c r="F2" s="1" t="s">
        <v>4</v>
      </c>
      <c r="G2" s="1">
        <v>4842</v>
      </c>
      <c r="H2" s="3">
        <v>4956</v>
      </c>
      <c r="K2" s="4"/>
      <c r="M2" s="3"/>
    </row>
    <row r="3" spans="1:13" ht="15.95" customHeight="1" x14ac:dyDescent="0.25">
      <c r="A3" s="13" t="s">
        <v>5</v>
      </c>
      <c r="B3" s="5"/>
      <c r="E3" s="1">
        <v>0.5</v>
      </c>
      <c r="F3" s="1" t="s">
        <v>6</v>
      </c>
      <c r="G3" s="1">
        <v>4847</v>
      </c>
      <c r="H3" s="3">
        <v>5019</v>
      </c>
      <c r="K3" s="4"/>
      <c r="M3" s="3"/>
    </row>
    <row r="4" spans="1:13" ht="15.95" customHeight="1" x14ac:dyDescent="0.25">
      <c r="B4" s="5"/>
      <c r="E4" s="1">
        <f>AVERAGE(G1:H6)*10</f>
        <v>49350</v>
      </c>
      <c r="F4" s="1" t="s">
        <v>7</v>
      </c>
      <c r="G4" s="1">
        <v>4212</v>
      </c>
      <c r="H4" s="3">
        <v>5401</v>
      </c>
      <c r="K4" s="4"/>
      <c r="M4" s="3"/>
    </row>
    <row r="5" spans="1:13" ht="15.95" customHeight="1" x14ac:dyDescent="0.2">
      <c r="D5" s="6"/>
      <c r="E5" s="6">
        <f>E4/(E3*E2)</f>
        <v>0.7801693133403419</v>
      </c>
      <c r="F5" s="7" t="s">
        <v>8</v>
      </c>
      <c r="H5" s="3"/>
      <c r="I5" s="1" t="s">
        <v>21</v>
      </c>
      <c r="K5" s="4"/>
      <c r="M5" s="3"/>
    </row>
    <row r="6" spans="1:13" ht="15.95" customHeight="1" x14ac:dyDescent="0.2">
      <c r="E6" s="7"/>
      <c r="H6" s="3"/>
      <c r="K6" s="4"/>
    </row>
    <row r="7" spans="1:13" s="1" customFormat="1" ht="15.95" customHeight="1" x14ac:dyDescent="0.25">
      <c r="A7" s="8" t="s">
        <v>25</v>
      </c>
      <c r="B7" s="3"/>
      <c r="C7" s="3"/>
      <c r="D7" s="6"/>
      <c r="E7" s="6"/>
      <c r="F7" s="9"/>
      <c r="G7" s="6"/>
      <c r="H7" s="6"/>
    </row>
    <row r="8" spans="1:13" s="1" customFormat="1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s="1" customFormat="1" ht="15.95" customHeight="1" x14ac:dyDescent="0.25">
      <c r="A9" s="5" t="s">
        <v>28</v>
      </c>
      <c r="B9" s="3">
        <v>1192</v>
      </c>
      <c r="C9" s="3">
        <v>1030</v>
      </c>
      <c r="D9" s="6">
        <f>AVERAGE(B9:C9,B20:C20)</f>
        <v>1062.75</v>
      </c>
      <c r="E9" s="6"/>
      <c r="H9" s="6">
        <f>J14*100/$J$14</f>
        <v>100</v>
      </c>
      <c r="L9" s="5" t="s">
        <v>15</v>
      </c>
      <c r="M9" s="5" t="s">
        <v>16</v>
      </c>
    </row>
    <row r="10" spans="1:13" s="1" customFormat="1" ht="15.95" customHeight="1" x14ac:dyDescent="0.25">
      <c r="A10" s="13"/>
      <c r="B10" s="3">
        <v>779</v>
      </c>
      <c r="C10" s="3">
        <v>670</v>
      </c>
      <c r="D10" s="6"/>
      <c r="E10" s="6"/>
      <c r="H10" s="6"/>
      <c r="J10" s="10" t="s">
        <v>25</v>
      </c>
      <c r="L10" s="1">
        <v>1132</v>
      </c>
      <c r="M10" s="1">
        <v>747</v>
      </c>
    </row>
    <row r="11" spans="1:13" s="1" customFormat="1" ht="15.95" customHeight="1" x14ac:dyDescent="0.2">
      <c r="A11" s="3"/>
      <c r="B11" s="3">
        <v>773</v>
      </c>
      <c r="C11" s="3">
        <v>772</v>
      </c>
      <c r="D11" s="6">
        <f t="shared" ref="D11:D20" si="0">AVERAGE(B11:C11)</f>
        <v>772.5</v>
      </c>
      <c r="E11" s="6">
        <f>D11-$J$16</f>
        <v>7.625</v>
      </c>
      <c r="F11" s="9">
        <v>9.9999999999999995E-7</v>
      </c>
      <c r="G11" s="6">
        <f>LOG(F11)</f>
        <v>-6</v>
      </c>
      <c r="H11" s="6">
        <f>E11*100/$J$14</f>
        <v>2.7775248155905645</v>
      </c>
      <c r="J11" s="11" t="s">
        <v>18</v>
      </c>
      <c r="L11" s="1">
        <v>1088</v>
      </c>
      <c r="M11" s="1">
        <v>792</v>
      </c>
    </row>
    <row r="12" spans="1:13" s="1" customFormat="1" ht="15.95" customHeight="1" x14ac:dyDescent="0.25">
      <c r="A12" s="8"/>
      <c r="B12" s="3">
        <v>714</v>
      </c>
      <c r="C12" s="3">
        <v>965</v>
      </c>
      <c r="D12" s="6">
        <f t="shared" si="0"/>
        <v>839.5</v>
      </c>
      <c r="E12" s="6">
        <f t="shared" ref="E12:E19" si="1">D12-$J$16</f>
        <v>74.625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27.18331663782897</v>
      </c>
      <c r="J12" s="11">
        <f>AVERAGE(L10:L25)</f>
        <v>1039.4000000000001</v>
      </c>
      <c r="L12" s="1">
        <v>1095</v>
      </c>
      <c r="M12" s="1">
        <v>737</v>
      </c>
    </row>
    <row r="13" spans="1:13" s="1" customFormat="1" ht="15.95" customHeight="1" x14ac:dyDescent="0.2">
      <c r="A13" s="3"/>
      <c r="B13" s="3">
        <v>836</v>
      </c>
      <c r="C13" s="3">
        <v>882</v>
      </c>
      <c r="D13" s="6">
        <f t="shared" si="0"/>
        <v>859</v>
      </c>
      <c r="E13" s="6">
        <f t="shared" si="1"/>
        <v>94.125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34.286494854749101</v>
      </c>
      <c r="J13" s="11" t="s">
        <v>19</v>
      </c>
      <c r="L13" s="1">
        <v>1161</v>
      </c>
      <c r="M13" s="1">
        <v>848</v>
      </c>
    </row>
    <row r="14" spans="1:13" s="1" customFormat="1" ht="15.95" customHeight="1" x14ac:dyDescent="0.2">
      <c r="A14" s="3"/>
      <c r="B14" s="3">
        <v>929</v>
      </c>
      <c r="C14" s="3">
        <v>1093</v>
      </c>
      <c r="D14" s="6">
        <f t="shared" si="0"/>
        <v>1011</v>
      </c>
      <c r="E14" s="6">
        <f t="shared" si="1"/>
        <v>246.125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89.654858391767576</v>
      </c>
      <c r="J14" s="11">
        <f>J12-J16</f>
        <v>274.52500000000009</v>
      </c>
      <c r="L14" s="1">
        <v>412</v>
      </c>
      <c r="M14" s="1">
        <v>822</v>
      </c>
    </row>
    <row r="15" spans="1:13" s="1" customFormat="1" ht="15.95" customHeight="1" x14ac:dyDescent="0.2">
      <c r="A15" s="3"/>
      <c r="B15" s="3">
        <v>1052</v>
      </c>
      <c r="C15" s="3">
        <v>1068</v>
      </c>
      <c r="D15" s="6">
        <f t="shared" si="0"/>
        <v>1060</v>
      </c>
      <c r="E15" s="6">
        <f t="shared" si="1"/>
        <v>295.125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107.5038703214643</v>
      </c>
      <c r="J15" s="11" t="s">
        <v>20</v>
      </c>
      <c r="L15" s="1">
        <v>1097</v>
      </c>
      <c r="M15" s="1">
        <v>724</v>
      </c>
    </row>
    <row r="16" spans="1:13" s="1" customFormat="1" ht="15.95" customHeight="1" x14ac:dyDescent="0.2">
      <c r="A16" s="13"/>
      <c r="B16" s="3">
        <v>1192</v>
      </c>
      <c r="C16" s="3">
        <v>1261</v>
      </c>
      <c r="D16" s="6">
        <f t="shared" si="0"/>
        <v>1226.5</v>
      </c>
      <c r="E16" s="6">
        <f t="shared" si="1"/>
        <v>461.625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168.15408432747466</v>
      </c>
      <c r="J16" s="11">
        <f>AVERAGE(M10:M17)</f>
        <v>764.875</v>
      </c>
      <c r="L16" s="1">
        <v>1192</v>
      </c>
      <c r="M16" s="1">
        <v>779</v>
      </c>
    </row>
    <row r="17" spans="1:13" s="1" customFormat="1" ht="15.95" customHeight="1" x14ac:dyDescent="0.2">
      <c r="A17" s="3"/>
      <c r="B17" s="3">
        <v>1127</v>
      </c>
      <c r="C17" s="3">
        <v>1227</v>
      </c>
      <c r="D17" s="6">
        <f t="shared" si="0"/>
        <v>1177</v>
      </c>
      <c r="E17" s="6">
        <f t="shared" si="1"/>
        <v>412.125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150.12293962298511</v>
      </c>
      <c r="L17" s="1">
        <v>1030</v>
      </c>
      <c r="M17" s="1">
        <v>670</v>
      </c>
    </row>
    <row r="18" spans="1:13" s="1" customFormat="1" ht="15.95" customHeight="1" x14ac:dyDescent="0.2">
      <c r="A18" s="13"/>
      <c r="B18" s="3">
        <v>1100</v>
      </c>
      <c r="C18" s="3">
        <v>1160</v>
      </c>
      <c r="D18" s="6">
        <f t="shared" si="0"/>
        <v>1130</v>
      </c>
      <c r="E18" s="6">
        <f t="shared" si="1"/>
        <v>365.125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133.00245879245966</v>
      </c>
      <c r="L18" s="3">
        <v>1027</v>
      </c>
    </row>
    <row r="19" spans="1:13" s="1" customFormat="1" ht="15.95" customHeight="1" x14ac:dyDescent="0.2">
      <c r="A19" s="3"/>
      <c r="B19" s="3">
        <v>1026</v>
      </c>
      <c r="C19" s="3">
        <v>1087</v>
      </c>
      <c r="D19" s="6">
        <f t="shared" si="0"/>
        <v>1056.5</v>
      </c>
      <c r="E19" s="6">
        <f t="shared" si="1"/>
        <v>291.625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106.22894089791454</v>
      </c>
      <c r="L19" s="3">
        <v>1019</v>
      </c>
    </row>
    <row r="20" spans="1:13" s="1" customFormat="1" ht="15.95" customHeight="1" x14ac:dyDescent="0.2">
      <c r="A20" s="13"/>
      <c r="B20" s="3">
        <v>1029</v>
      </c>
      <c r="C20" s="3">
        <v>1000</v>
      </c>
      <c r="D20" s="6">
        <f t="shared" si="0"/>
        <v>1014.5</v>
      </c>
      <c r="E20" s="6"/>
      <c r="F20" s="9"/>
      <c r="G20" s="6"/>
      <c r="H20" s="6"/>
      <c r="L20" s="3">
        <v>1014</v>
      </c>
    </row>
    <row r="21" spans="1:13" s="1" customFormat="1" ht="15.95" customHeight="1" x14ac:dyDescent="0.25">
      <c r="A21" s="5"/>
      <c r="B21" s="3"/>
      <c r="C21" s="3"/>
      <c r="L21" s="3">
        <v>1124</v>
      </c>
    </row>
    <row r="22" spans="1:13" s="1" customFormat="1" ht="15.95" customHeight="1" x14ac:dyDescent="0.2">
      <c r="B22" s="3"/>
      <c r="C22" s="3"/>
      <c r="D22" s="6"/>
      <c r="E22" s="6"/>
      <c r="H22" s="6"/>
      <c r="L22" s="3">
        <v>1126</v>
      </c>
    </row>
    <row r="23" spans="1:13" s="1" customFormat="1" ht="15.95" customHeight="1" x14ac:dyDescent="0.2">
      <c r="B23" s="3"/>
      <c r="C23" s="3"/>
      <c r="D23" s="6"/>
      <c r="E23" s="6"/>
      <c r="H23" s="6"/>
      <c r="L23" s="3">
        <v>1045</v>
      </c>
    </row>
    <row r="24" spans="1:13" s="1" customFormat="1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1029</v>
      </c>
    </row>
    <row r="25" spans="1:13" ht="15.95" customHeight="1" x14ac:dyDescent="0.2">
      <c r="B25" s="3"/>
      <c r="C25" s="3"/>
      <c r="D25" s="6"/>
      <c r="E25" s="6"/>
      <c r="F25" s="9"/>
      <c r="G25" s="6"/>
      <c r="H25" s="6"/>
    </row>
    <row r="26" spans="1:13" ht="15.95" customHeight="1" x14ac:dyDescent="0.2">
      <c r="B26" s="3"/>
      <c r="C26" s="3"/>
      <c r="D26" s="6"/>
      <c r="E26" s="6"/>
      <c r="F26" s="9"/>
      <c r="G26" s="6"/>
      <c r="H26" s="6"/>
    </row>
    <row r="27" spans="1:13" ht="15.95" customHeight="1" x14ac:dyDescent="0.2">
      <c r="A27" s="3"/>
      <c r="B27" s="3"/>
      <c r="C27" s="3"/>
      <c r="D27" s="6"/>
      <c r="E27" s="6"/>
      <c r="F27" s="9"/>
      <c r="G27" s="6"/>
      <c r="H27" s="6"/>
    </row>
    <row r="28" spans="1:13" ht="15.95" customHeight="1" x14ac:dyDescent="0.2">
      <c r="B28" s="3"/>
      <c r="C28" s="3"/>
      <c r="D28" s="6"/>
      <c r="E28" s="6"/>
      <c r="F28" s="9"/>
      <c r="G28" s="6"/>
      <c r="H28" s="6"/>
    </row>
    <row r="29" spans="1:13" ht="15.95" customHeight="1" x14ac:dyDescent="0.2">
      <c r="B29" s="3"/>
      <c r="C29" s="3"/>
      <c r="D29" s="6"/>
      <c r="E29" s="6"/>
      <c r="F29" s="9"/>
      <c r="G29" s="6"/>
      <c r="H29" s="6"/>
    </row>
    <row r="30" spans="1:13" ht="15.95" customHeight="1" x14ac:dyDescent="0.2">
      <c r="B30" s="3"/>
      <c r="C30" s="3"/>
      <c r="D30" s="6"/>
      <c r="E30" s="6"/>
      <c r="F30" s="9"/>
      <c r="G30" s="6"/>
      <c r="H30" s="6"/>
    </row>
    <row r="31" spans="1:13" ht="15.95" customHeight="1" x14ac:dyDescent="0.2">
      <c r="B31" s="3"/>
      <c r="C31" s="3"/>
      <c r="D31" s="6"/>
      <c r="E31" s="6"/>
      <c r="F31" s="9"/>
      <c r="G31" s="6"/>
      <c r="H31" s="6"/>
    </row>
    <row r="32" spans="1:13" ht="15.95" customHeight="1" x14ac:dyDescent="0.2">
      <c r="B32" s="3"/>
      <c r="C32" s="3"/>
      <c r="D32" s="6"/>
      <c r="E32" s="6"/>
      <c r="F32" s="9"/>
      <c r="G32" s="6"/>
      <c r="H32" s="6"/>
    </row>
    <row r="33" spans="1:8" ht="15.95" customHeight="1" x14ac:dyDescent="0.2">
      <c r="B33" s="3"/>
      <c r="C33" s="3"/>
      <c r="D33" s="6"/>
      <c r="E33" s="6"/>
      <c r="F33" s="9"/>
      <c r="G33" s="6"/>
      <c r="H33" s="6"/>
    </row>
    <row r="34" spans="1:8" ht="15.95" customHeight="1" x14ac:dyDescent="0.2">
      <c r="B34" s="3"/>
      <c r="C34" s="3"/>
    </row>
    <row r="35" spans="1:8" ht="15.95" customHeight="1" x14ac:dyDescent="0.2">
      <c r="B35" s="3"/>
      <c r="C35" s="3"/>
      <c r="D35" s="6"/>
      <c r="E35" s="6"/>
      <c r="H35" s="6"/>
    </row>
    <row r="36" spans="1:8" ht="15.95" customHeight="1" x14ac:dyDescent="0.2">
      <c r="B36" s="3"/>
      <c r="C36" s="3"/>
      <c r="D36" s="6"/>
      <c r="E36" s="6"/>
      <c r="H36" s="6"/>
    </row>
    <row r="37" spans="1:8" ht="15.95" customHeight="1" x14ac:dyDescent="0.2">
      <c r="B37" s="3"/>
      <c r="C37" s="3"/>
      <c r="D37" s="6"/>
      <c r="E37" s="6"/>
      <c r="F37" s="9"/>
      <c r="G37" s="6"/>
      <c r="H37" s="6"/>
    </row>
    <row r="38" spans="1:8" ht="15.95" customHeight="1" x14ac:dyDescent="0.2">
      <c r="A38" s="3"/>
      <c r="B38" s="3"/>
      <c r="C38" s="3"/>
      <c r="D38" s="6"/>
      <c r="E38" s="6"/>
      <c r="F38" s="9"/>
      <c r="G38" s="6"/>
      <c r="H38" s="6"/>
    </row>
    <row r="39" spans="1:8" ht="15.95" customHeight="1" x14ac:dyDescent="0.2">
      <c r="B39" s="3"/>
      <c r="C39" s="3"/>
      <c r="D39" s="6"/>
      <c r="E39" s="6"/>
      <c r="F39" s="9"/>
      <c r="G39" s="6"/>
      <c r="H39" s="6"/>
    </row>
    <row r="40" spans="1:8" ht="15.95" customHeight="1" x14ac:dyDescent="0.2">
      <c r="B40" s="3"/>
      <c r="C40" s="3"/>
      <c r="D40" s="6"/>
      <c r="E40" s="6"/>
      <c r="F40" s="9"/>
      <c r="G40" s="6"/>
      <c r="H40" s="6"/>
    </row>
    <row r="41" spans="1:8" ht="15.95" customHeight="1" x14ac:dyDescent="0.2">
      <c r="A41" s="3"/>
      <c r="B41" s="3"/>
      <c r="C41" s="3"/>
      <c r="D41" s="6"/>
      <c r="E41" s="6"/>
      <c r="F41" s="9"/>
      <c r="G41" s="6"/>
      <c r="H41" s="6"/>
    </row>
    <row r="42" spans="1:8" ht="15.95" customHeight="1" x14ac:dyDescent="0.2">
      <c r="A42" s="3"/>
      <c r="B42" s="3"/>
      <c r="C42" s="3"/>
      <c r="D42" s="6"/>
      <c r="E42" s="6"/>
      <c r="F42" s="9"/>
      <c r="G42" s="6"/>
      <c r="H42" s="6"/>
    </row>
    <row r="43" spans="1:8" ht="15.95" customHeight="1" x14ac:dyDescent="0.2">
      <c r="B43" s="3"/>
      <c r="C43" s="3"/>
      <c r="D43" s="6"/>
      <c r="E43" s="6"/>
      <c r="F43" s="9"/>
      <c r="G43" s="6"/>
      <c r="H43" s="6"/>
    </row>
    <row r="44" spans="1:8" ht="15.95" customHeight="1" x14ac:dyDescent="0.2">
      <c r="B44" s="3"/>
      <c r="C44" s="3"/>
      <c r="D44" s="6"/>
      <c r="E44" s="6"/>
      <c r="F44" s="9"/>
      <c r="G44" s="6"/>
      <c r="H44" s="6"/>
    </row>
    <row r="45" spans="1:8" ht="15.95" customHeight="1" x14ac:dyDescent="0.2">
      <c r="B45" s="3"/>
      <c r="C45" s="3"/>
      <c r="D45" s="6"/>
      <c r="E45" s="6"/>
      <c r="F45" s="9"/>
      <c r="G45" s="6"/>
      <c r="H45" s="6"/>
    </row>
    <row r="46" spans="1:8" ht="15.95" customHeight="1" x14ac:dyDescent="0.2">
      <c r="A46" s="3"/>
      <c r="B46" s="3"/>
      <c r="C46" s="3"/>
      <c r="D46" s="6"/>
      <c r="E46" s="6"/>
      <c r="F46" s="9"/>
      <c r="G46" s="6"/>
      <c r="H46" s="6"/>
    </row>
    <row r="48" spans="1:8" ht="15.95" customHeight="1" x14ac:dyDescent="0.2">
      <c r="B48" s="3"/>
      <c r="C48" s="3"/>
      <c r="D48" s="6"/>
      <c r="E48" s="6"/>
      <c r="H48" s="6"/>
    </row>
    <row r="49" spans="2:8" ht="15.95" customHeight="1" x14ac:dyDescent="0.2">
      <c r="B49" s="3"/>
      <c r="C49" s="3"/>
      <c r="D49" s="6"/>
      <c r="E49" s="6"/>
      <c r="H49" s="6"/>
    </row>
    <row r="50" spans="2:8" ht="15.95" customHeight="1" x14ac:dyDescent="0.2">
      <c r="B50" s="3"/>
      <c r="C50" s="3"/>
      <c r="D50" s="6"/>
      <c r="E50" s="6"/>
      <c r="F50" s="9"/>
      <c r="G50" s="6"/>
      <c r="H50" s="6"/>
    </row>
    <row r="51" spans="2:8" ht="15.95" customHeight="1" x14ac:dyDescent="0.2">
      <c r="B51" s="3"/>
      <c r="C51" s="3"/>
      <c r="D51" s="6"/>
      <c r="E51" s="6"/>
      <c r="F51" s="9"/>
      <c r="G51" s="6"/>
      <c r="H51" s="6"/>
    </row>
    <row r="52" spans="2:8" ht="15.95" customHeight="1" x14ac:dyDescent="0.2">
      <c r="B52" s="3"/>
      <c r="C52" s="3"/>
      <c r="D52" s="6"/>
      <c r="E52" s="6"/>
      <c r="F52" s="9"/>
      <c r="G52" s="6"/>
      <c r="H52" s="6"/>
    </row>
    <row r="53" spans="2:8" ht="15.95" customHeight="1" x14ac:dyDescent="0.2">
      <c r="B53" s="3"/>
      <c r="C53" s="3"/>
      <c r="D53" s="6"/>
      <c r="E53" s="6"/>
      <c r="F53" s="9"/>
      <c r="G53" s="6"/>
      <c r="H53" s="6"/>
    </row>
    <row r="54" spans="2:8" ht="15.95" customHeight="1" x14ac:dyDescent="0.2">
      <c r="B54" s="3"/>
      <c r="C54" s="3"/>
      <c r="D54" s="6"/>
      <c r="E54" s="6"/>
      <c r="F54" s="9"/>
      <c r="G54" s="6"/>
      <c r="H54" s="6"/>
    </row>
    <row r="55" spans="2:8" ht="15.95" customHeight="1" x14ac:dyDescent="0.2">
      <c r="B55" s="3"/>
      <c r="C55" s="3"/>
      <c r="D55" s="6"/>
      <c r="E55" s="6"/>
      <c r="F55" s="9"/>
      <c r="G55" s="6"/>
      <c r="H55" s="6"/>
    </row>
    <row r="56" spans="2:8" ht="15.95" customHeight="1" x14ac:dyDescent="0.2">
      <c r="B56" s="3"/>
      <c r="C56" s="3"/>
      <c r="D56" s="6"/>
      <c r="E56" s="6"/>
      <c r="F56" s="9"/>
      <c r="G56" s="6"/>
      <c r="H56" s="6"/>
    </row>
    <row r="57" spans="2:8" ht="15.95" customHeight="1" x14ac:dyDescent="0.2">
      <c r="B57" s="3"/>
      <c r="C57" s="3"/>
      <c r="D57" s="6"/>
      <c r="E57" s="6"/>
      <c r="F57" s="9"/>
      <c r="G57" s="6"/>
      <c r="H57" s="6"/>
    </row>
    <row r="58" spans="2:8" ht="15.95" customHeight="1" x14ac:dyDescent="0.2">
      <c r="B58" s="3"/>
      <c r="C58" s="3"/>
      <c r="D58" s="6"/>
      <c r="E58" s="6"/>
      <c r="F58" s="9"/>
      <c r="G58" s="6"/>
      <c r="H58" s="6"/>
    </row>
    <row r="59" spans="2:8" ht="15.95" customHeight="1" x14ac:dyDescent="0.2">
      <c r="B59" s="3"/>
      <c r="C59" s="3"/>
      <c r="D59" s="6"/>
      <c r="E59" s="6"/>
      <c r="F59" s="9"/>
      <c r="G59" s="6"/>
      <c r="H59" s="6"/>
    </row>
    <row r="60" spans="2:8" ht="15.95" customHeight="1" x14ac:dyDescent="0.2">
      <c r="B60" s="3"/>
      <c r="C60" s="3"/>
    </row>
    <row r="61" spans="2:8" ht="15.95" customHeight="1" x14ac:dyDescent="0.2">
      <c r="B61" s="3"/>
      <c r="C61" s="3"/>
      <c r="D61" s="6"/>
      <c r="E61" s="6"/>
      <c r="H61" s="6"/>
    </row>
    <row r="62" spans="2:8" ht="15.95" customHeight="1" x14ac:dyDescent="0.2">
      <c r="B62" s="3"/>
      <c r="C62" s="3"/>
      <c r="D62" s="6"/>
      <c r="E62" s="6"/>
      <c r="H62" s="6"/>
    </row>
    <row r="63" spans="2:8" ht="15.95" customHeight="1" x14ac:dyDescent="0.2">
      <c r="B63" s="3"/>
      <c r="C63" s="3"/>
      <c r="D63" s="6"/>
      <c r="E63" s="6"/>
      <c r="F63" s="9"/>
      <c r="G63" s="6"/>
      <c r="H63" s="6"/>
    </row>
    <row r="64" spans="2:8" ht="15.95" customHeight="1" x14ac:dyDescent="0.2">
      <c r="B64" s="3"/>
      <c r="C64" s="3"/>
      <c r="D64" s="6"/>
      <c r="E64" s="6"/>
      <c r="F64" s="9"/>
      <c r="G64" s="6"/>
      <c r="H64" s="6"/>
    </row>
    <row r="65" spans="1:8" ht="15.95" customHeight="1" x14ac:dyDescent="0.2">
      <c r="B65" s="3"/>
      <c r="C65" s="3"/>
      <c r="D65" s="6"/>
      <c r="E65" s="6"/>
      <c r="F65" s="9"/>
      <c r="G65" s="6"/>
      <c r="H65" s="6"/>
    </row>
    <row r="66" spans="1:8" ht="15.95" customHeight="1" x14ac:dyDescent="0.2">
      <c r="B66" s="3"/>
      <c r="C66" s="3"/>
      <c r="D66" s="6"/>
      <c r="E66" s="6"/>
      <c r="F66" s="9"/>
      <c r="G66" s="6"/>
      <c r="H66" s="6"/>
    </row>
    <row r="67" spans="1:8" ht="15.95" customHeight="1" x14ac:dyDescent="0.2">
      <c r="B67" s="3"/>
      <c r="C67" s="3"/>
      <c r="D67" s="6"/>
      <c r="E67" s="6"/>
      <c r="F67" s="9"/>
      <c r="G67" s="6"/>
      <c r="H67" s="6"/>
    </row>
    <row r="68" spans="1:8" ht="15.95" customHeight="1" x14ac:dyDescent="0.2">
      <c r="B68" s="3"/>
      <c r="C68" s="3"/>
      <c r="D68" s="6"/>
      <c r="E68" s="6"/>
      <c r="F68" s="9"/>
      <c r="G68" s="6"/>
      <c r="H68" s="6"/>
    </row>
    <row r="69" spans="1:8" ht="15.95" customHeight="1" x14ac:dyDescent="0.2">
      <c r="B69" s="3"/>
      <c r="C69" s="3"/>
      <c r="D69" s="6"/>
      <c r="E69" s="6"/>
      <c r="F69" s="9"/>
      <c r="G69" s="6"/>
      <c r="H69" s="6"/>
    </row>
    <row r="70" spans="1:8" ht="15.95" customHeight="1" x14ac:dyDescent="0.2">
      <c r="B70" s="3"/>
      <c r="C70" s="3"/>
      <c r="D70" s="6"/>
      <c r="E70" s="6"/>
      <c r="F70" s="9"/>
      <c r="G70" s="6"/>
      <c r="H70" s="6"/>
    </row>
    <row r="71" spans="1:8" ht="15.95" customHeight="1" x14ac:dyDescent="0.2">
      <c r="B71" s="3"/>
      <c r="C71" s="3"/>
      <c r="D71" s="6"/>
      <c r="E71" s="6"/>
      <c r="F71" s="9"/>
      <c r="G71" s="6"/>
      <c r="H71" s="6"/>
    </row>
    <row r="72" spans="1:8" ht="15.95" customHeight="1" x14ac:dyDescent="0.2">
      <c r="B72" s="3"/>
      <c r="C72" s="3"/>
      <c r="D72" s="6"/>
      <c r="E72" s="6"/>
      <c r="F72" s="9"/>
      <c r="G72" s="6"/>
      <c r="H72" s="6"/>
    </row>
    <row r="73" spans="1:8" ht="15.95" customHeight="1" x14ac:dyDescent="0.2">
      <c r="B73" s="3"/>
      <c r="C73" s="3"/>
    </row>
    <row r="74" spans="1:8" ht="15.95" customHeight="1" x14ac:dyDescent="0.2">
      <c r="B74" s="3"/>
      <c r="C74" s="3"/>
      <c r="D74" s="6"/>
      <c r="E74" s="6"/>
      <c r="H74" s="6"/>
    </row>
    <row r="75" spans="1:8" ht="15.95" customHeight="1" x14ac:dyDescent="0.2">
      <c r="B75" s="3"/>
      <c r="C75" s="3"/>
      <c r="D75" s="6"/>
      <c r="E75" s="6"/>
      <c r="H75" s="6"/>
    </row>
    <row r="76" spans="1:8" ht="15.95" customHeight="1" x14ac:dyDescent="0.2">
      <c r="B76" s="3"/>
      <c r="C76" s="3"/>
      <c r="D76" s="6"/>
      <c r="E76" s="6"/>
      <c r="F76" s="9"/>
      <c r="G76" s="6"/>
      <c r="H76" s="6"/>
    </row>
    <row r="77" spans="1:8" ht="15.95" customHeight="1" x14ac:dyDescent="0.2">
      <c r="B77" s="3"/>
      <c r="C77" s="3"/>
      <c r="D77" s="6"/>
      <c r="E77" s="6"/>
      <c r="F77" s="9"/>
      <c r="G77" s="6"/>
      <c r="H77" s="6"/>
    </row>
    <row r="78" spans="1:8" ht="15.95" customHeight="1" x14ac:dyDescent="0.2">
      <c r="B78" s="3"/>
      <c r="C78" s="3"/>
      <c r="D78" s="6"/>
      <c r="E78" s="6"/>
      <c r="F78" s="9"/>
      <c r="G78" s="6"/>
      <c r="H78" s="6"/>
    </row>
    <row r="79" spans="1:8" ht="15.95" customHeight="1" x14ac:dyDescent="0.2">
      <c r="A79" s="3"/>
      <c r="B79" s="3"/>
      <c r="C79" s="3"/>
      <c r="D79" s="6"/>
      <c r="E79" s="6"/>
      <c r="F79" s="9"/>
      <c r="G79" s="6"/>
      <c r="H79" s="6"/>
    </row>
    <row r="80" spans="1:8" ht="15.95" customHeight="1" x14ac:dyDescent="0.2">
      <c r="B80" s="3"/>
      <c r="C80" s="3"/>
      <c r="D80" s="6"/>
      <c r="E80" s="6"/>
      <c r="F80" s="9"/>
      <c r="G80" s="6"/>
      <c r="H80" s="6"/>
    </row>
    <row r="81" spans="2:8" ht="15.95" customHeight="1" x14ac:dyDescent="0.2">
      <c r="B81" s="3"/>
      <c r="C81" s="3"/>
      <c r="D81" s="6"/>
      <c r="E81" s="6"/>
      <c r="F81" s="9"/>
      <c r="G81" s="6"/>
      <c r="H81" s="6"/>
    </row>
    <row r="82" spans="2:8" ht="15.95" customHeight="1" x14ac:dyDescent="0.2">
      <c r="B82" s="3"/>
      <c r="C82" s="3"/>
      <c r="D82" s="6"/>
      <c r="E82" s="6"/>
      <c r="F82" s="9"/>
      <c r="G82" s="6"/>
      <c r="H82" s="6"/>
    </row>
    <row r="83" spans="2:8" ht="15.95" customHeight="1" x14ac:dyDescent="0.2">
      <c r="B83" s="3"/>
      <c r="C83" s="3"/>
      <c r="D83" s="6"/>
      <c r="E83" s="6"/>
      <c r="F83" s="9"/>
      <c r="G83" s="6"/>
      <c r="H83" s="6"/>
    </row>
    <row r="84" spans="2:8" ht="15.95" customHeight="1" x14ac:dyDescent="0.2">
      <c r="B84" s="3"/>
      <c r="C84" s="3"/>
      <c r="D84" s="6"/>
      <c r="E84" s="6"/>
      <c r="F84" s="9"/>
      <c r="G84" s="6"/>
      <c r="H84" s="6"/>
    </row>
    <row r="85" spans="2:8" ht="15.95" customHeight="1" x14ac:dyDescent="0.2">
      <c r="B85" s="3"/>
      <c r="C85" s="3"/>
      <c r="D85" s="6"/>
      <c r="E85" s="6"/>
      <c r="F85" s="9"/>
      <c r="G85" s="6"/>
      <c r="H85" s="6"/>
    </row>
    <row r="86" spans="2:8" ht="15.95" customHeight="1" x14ac:dyDescent="0.2">
      <c r="B86" s="3"/>
      <c r="C86" s="3"/>
    </row>
    <row r="87" spans="2:8" ht="15.95" customHeight="1" x14ac:dyDescent="0.2">
      <c r="B87" s="3"/>
      <c r="C87" s="3"/>
      <c r="D87" s="6"/>
      <c r="E87" s="6"/>
      <c r="H87" s="6"/>
    </row>
    <row r="88" spans="2:8" ht="15.95" customHeight="1" x14ac:dyDescent="0.2">
      <c r="B88" s="3"/>
      <c r="C88" s="3"/>
      <c r="D88" s="6"/>
      <c r="E88" s="6"/>
      <c r="H88" s="6"/>
    </row>
    <row r="89" spans="2:8" ht="15.95" customHeight="1" x14ac:dyDescent="0.2">
      <c r="B89" s="3"/>
      <c r="C89" s="3"/>
      <c r="D89" s="6"/>
      <c r="E89" s="6"/>
      <c r="F89" s="9"/>
      <c r="G89" s="6"/>
      <c r="H89" s="6"/>
    </row>
    <row r="90" spans="2:8" ht="15.95" customHeight="1" x14ac:dyDescent="0.2">
      <c r="B90" s="3"/>
      <c r="C90" s="3"/>
      <c r="D90" s="6"/>
      <c r="E90" s="6"/>
      <c r="F90" s="9"/>
      <c r="G90" s="6"/>
      <c r="H90" s="6"/>
    </row>
    <row r="91" spans="2:8" ht="15.95" customHeight="1" x14ac:dyDescent="0.2">
      <c r="B91" s="3"/>
      <c r="C91" s="3"/>
      <c r="D91" s="6"/>
      <c r="E91" s="6"/>
      <c r="F91" s="9"/>
      <c r="G91" s="6"/>
      <c r="H91" s="6"/>
    </row>
    <row r="92" spans="2:8" ht="15.95" customHeight="1" x14ac:dyDescent="0.2">
      <c r="B92" s="3"/>
      <c r="C92" s="3"/>
      <c r="D92" s="6"/>
      <c r="E92" s="6"/>
      <c r="F92" s="9"/>
      <c r="G92" s="6"/>
      <c r="H92" s="6"/>
    </row>
    <row r="93" spans="2:8" ht="15.95" customHeight="1" x14ac:dyDescent="0.2">
      <c r="B93" s="3"/>
      <c r="C93" s="3"/>
      <c r="D93" s="6"/>
      <c r="E93" s="6"/>
      <c r="F93" s="9"/>
      <c r="G93" s="6"/>
      <c r="H93" s="6"/>
    </row>
    <row r="94" spans="2:8" ht="15.95" customHeight="1" x14ac:dyDescent="0.2">
      <c r="B94" s="3"/>
      <c r="C94" s="3"/>
      <c r="D94" s="6"/>
      <c r="E94" s="6"/>
      <c r="F94" s="9"/>
      <c r="G94" s="6"/>
      <c r="H94" s="6"/>
    </row>
    <row r="95" spans="2:8" ht="15.95" customHeight="1" x14ac:dyDescent="0.2">
      <c r="B95" s="3"/>
      <c r="C95" s="3"/>
      <c r="D95" s="6"/>
      <c r="E95" s="6"/>
      <c r="F95" s="9"/>
      <c r="G95" s="6"/>
      <c r="H95" s="6"/>
    </row>
    <row r="96" spans="2:8" ht="15.95" customHeight="1" x14ac:dyDescent="0.2">
      <c r="B96" s="3"/>
      <c r="C96" s="3"/>
      <c r="D96" s="6"/>
      <c r="E96" s="6"/>
      <c r="F96" s="9"/>
      <c r="G96" s="6"/>
      <c r="H96" s="6"/>
    </row>
    <row r="97" spans="1:8" ht="15.95" customHeight="1" x14ac:dyDescent="0.2">
      <c r="B97" s="3"/>
      <c r="C97" s="3"/>
      <c r="D97" s="6"/>
      <c r="E97" s="6"/>
      <c r="F97" s="9"/>
      <c r="G97" s="6"/>
      <c r="H97" s="6"/>
    </row>
    <row r="98" spans="1:8" ht="15.95" customHeight="1" x14ac:dyDescent="0.2">
      <c r="A98" s="3"/>
      <c r="B98" s="3"/>
      <c r="C98" s="3"/>
      <c r="D98" s="6"/>
      <c r="E98" s="6"/>
      <c r="F98" s="9"/>
      <c r="G98" s="6"/>
      <c r="H98" s="6"/>
    </row>
    <row r="99" spans="1:8" ht="15.95" customHeight="1" x14ac:dyDescent="0.2">
      <c r="H99" s="16"/>
    </row>
    <row r="100" spans="1:8" ht="15.95" customHeight="1" x14ac:dyDescent="0.2">
      <c r="D100" s="6"/>
      <c r="E100" s="6"/>
      <c r="H100" s="6"/>
    </row>
    <row r="101" spans="1:8" ht="15.95" customHeight="1" x14ac:dyDescent="0.2">
      <c r="D101" s="6"/>
      <c r="E101" s="6"/>
      <c r="H101" s="6"/>
    </row>
    <row r="102" spans="1:8" ht="15.95" customHeight="1" x14ac:dyDescent="0.2">
      <c r="D102" s="6"/>
      <c r="E102" s="6"/>
      <c r="F102" s="9"/>
      <c r="G102" s="6"/>
      <c r="H102" s="6"/>
    </row>
    <row r="103" spans="1:8" ht="15.95" customHeight="1" x14ac:dyDescent="0.2">
      <c r="D103" s="6"/>
      <c r="E103" s="6"/>
      <c r="F103" s="9"/>
      <c r="G103" s="6"/>
      <c r="H103" s="6"/>
    </row>
    <row r="104" spans="1:8" ht="15.95" customHeight="1" x14ac:dyDescent="0.2">
      <c r="D104" s="6"/>
      <c r="E104" s="6"/>
      <c r="F104" s="9"/>
      <c r="G104" s="6"/>
      <c r="H104" s="6"/>
    </row>
    <row r="105" spans="1:8" ht="15.95" customHeight="1" x14ac:dyDescent="0.2">
      <c r="D105" s="6"/>
      <c r="E105" s="6"/>
      <c r="F105" s="9"/>
      <c r="G105" s="6"/>
      <c r="H105" s="6"/>
    </row>
    <row r="106" spans="1:8" ht="15.95" customHeight="1" x14ac:dyDescent="0.2">
      <c r="D106" s="6"/>
      <c r="E106" s="6"/>
      <c r="F106" s="9"/>
      <c r="G106" s="6"/>
      <c r="H106" s="6"/>
    </row>
    <row r="107" spans="1:8" ht="15.95" customHeight="1" x14ac:dyDescent="0.2">
      <c r="D107" s="6"/>
      <c r="E107" s="6"/>
      <c r="F107" s="9"/>
      <c r="G107" s="6"/>
      <c r="H107" s="6"/>
    </row>
    <row r="108" spans="1:8" ht="15.95" customHeight="1" x14ac:dyDescent="0.2">
      <c r="D108" s="6"/>
      <c r="E108" s="6"/>
      <c r="F108" s="9"/>
      <c r="G108" s="6"/>
      <c r="H108" s="6"/>
    </row>
    <row r="109" spans="1:8" ht="15.95" customHeight="1" x14ac:dyDescent="0.2">
      <c r="D109" s="6"/>
      <c r="E109" s="6"/>
      <c r="F109" s="9"/>
      <c r="G109" s="6"/>
      <c r="H109" s="6"/>
    </row>
    <row r="110" spans="1:8" ht="15.95" customHeight="1" x14ac:dyDescent="0.2">
      <c r="D110" s="6"/>
      <c r="E110" s="6"/>
      <c r="F110" s="9"/>
      <c r="G110" s="6"/>
      <c r="H110" s="6"/>
    </row>
    <row r="111" spans="1:8" ht="15.95" customHeight="1" x14ac:dyDescent="0.2">
      <c r="D111" s="6"/>
      <c r="E111" s="6"/>
      <c r="F111" s="9"/>
      <c r="G111" s="6"/>
      <c r="H111" s="6"/>
    </row>
    <row r="112" spans="1:8" ht="15.95" customHeight="1" x14ac:dyDescent="0.2">
      <c r="H112" s="16"/>
    </row>
    <row r="113" spans="4:8" ht="15.95" customHeight="1" x14ac:dyDescent="0.2">
      <c r="D113" s="6"/>
      <c r="E113" s="6"/>
      <c r="H113" s="6"/>
    </row>
    <row r="114" spans="4:8" ht="15.95" customHeight="1" x14ac:dyDescent="0.2">
      <c r="D114" s="6"/>
      <c r="E114" s="6"/>
      <c r="H114" s="6"/>
    </row>
    <row r="115" spans="4:8" ht="15.95" customHeight="1" x14ac:dyDescent="0.2">
      <c r="D115" s="6"/>
      <c r="E115" s="6"/>
      <c r="F115" s="9"/>
      <c r="G115" s="6"/>
      <c r="H115" s="6"/>
    </row>
    <row r="116" spans="4:8" ht="15.95" customHeight="1" x14ac:dyDescent="0.2">
      <c r="D116" s="6"/>
      <c r="E116" s="6"/>
      <c r="F116" s="9"/>
      <c r="G116" s="6"/>
      <c r="H116" s="6"/>
    </row>
    <row r="117" spans="4:8" ht="15.95" customHeight="1" x14ac:dyDescent="0.2">
      <c r="D117" s="6"/>
      <c r="E117" s="6"/>
      <c r="F117" s="9"/>
      <c r="G117" s="6"/>
      <c r="H117" s="6"/>
    </row>
    <row r="118" spans="4:8" ht="15.95" customHeight="1" x14ac:dyDescent="0.2">
      <c r="D118" s="6"/>
      <c r="E118" s="6"/>
      <c r="F118" s="9"/>
      <c r="G118" s="6"/>
      <c r="H118" s="6"/>
    </row>
    <row r="119" spans="4:8" ht="15.95" customHeight="1" x14ac:dyDescent="0.2">
      <c r="D119" s="6"/>
      <c r="E119" s="6"/>
      <c r="F119" s="9"/>
      <c r="G119" s="6"/>
      <c r="H119" s="6"/>
    </row>
    <row r="120" spans="4:8" ht="15.95" customHeight="1" x14ac:dyDescent="0.2">
      <c r="D120" s="6"/>
      <c r="E120" s="6"/>
      <c r="F120" s="9"/>
      <c r="G120" s="6"/>
      <c r="H120" s="6"/>
    </row>
    <row r="121" spans="4:8" ht="15.95" customHeight="1" x14ac:dyDescent="0.2">
      <c r="D121" s="6"/>
      <c r="E121" s="6"/>
      <c r="F121" s="9"/>
      <c r="G121" s="6"/>
      <c r="H121" s="6"/>
    </row>
    <row r="122" spans="4:8" ht="15.95" customHeight="1" x14ac:dyDescent="0.2">
      <c r="D122" s="6"/>
      <c r="E122" s="6"/>
      <c r="F122" s="9"/>
      <c r="G122" s="6"/>
      <c r="H122" s="6"/>
    </row>
    <row r="123" spans="4:8" ht="15.95" customHeight="1" x14ac:dyDescent="0.2">
      <c r="D123" s="6"/>
      <c r="E123" s="6"/>
      <c r="F123" s="9"/>
      <c r="G123" s="6"/>
      <c r="H123" s="6"/>
    </row>
    <row r="124" spans="4:8" ht="15.95" customHeight="1" x14ac:dyDescent="0.2">
      <c r="D124" s="6"/>
      <c r="E124" s="6"/>
      <c r="F124" s="9"/>
      <c r="G124" s="6"/>
      <c r="H124" s="6"/>
    </row>
    <row r="125" spans="4:8" ht="15.95" customHeight="1" x14ac:dyDescent="0.2">
      <c r="H125" s="16"/>
    </row>
    <row r="126" spans="4:8" ht="15.95" customHeight="1" x14ac:dyDescent="0.2">
      <c r="D126" s="6"/>
      <c r="E126" s="6"/>
      <c r="H126" s="6"/>
    </row>
    <row r="127" spans="4:8" ht="15.95" customHeight="1" x14ac:dyDescent="0.2">
      <c r="D127" s="6"/>
      <c r="E127" s="6"/>
      <c r="H127" s="6"/>
    </row>
    <row r="128" spans="4:8" ht="15.95" customHeight="1" x14ac:dyDescent="0.2">
      <c r="D128" s="6"/>
      <c r="E128" s="6"/>
      <c r="F128" s="9"/>
      <c r="G128" s="6"/>
      <c r="H128" s="6"/>
    </row>
    <row r="129" spans="4:8" ht="15.95" customHeight="1" x14ac:dyDescent="0.2">
      <c r="D129" s="6"/>
      <c r="E129" s="6"/>
      <c r="F129" s="9"/>
      <c r="G129" s="6"/>
      <c r="H129" s="6"/>
    </row>
    <row r="130" spans="4:8" ht="15.95" customHeight="1" x14ac:dyDescent="0.2">
      <c r="D130" s="6"/>
      <c r="E130" s="6"/>
      <c r="F130" s="9"/>
      <c r="G130" s="6"/>
      <c r="H130" s="6"/>
    </row>
    <row r="131" spans="4:8" ht="15.95" customHeight="1" x14ac:dyDescent="0.2">
      <c r="D131" s="6"/>
      <c r="E131" s="6"/>
      <c r="F131" s="9"/>
      <c r="G131" s="6"/>
      <c r="H131" s="6"/>
    </row>
    <row r="132" spans="4:8" ht="15.95" customHeight="1" x14ac:dyDescent="0.2">
      <c r="D132" s="6"/>
      <c r="E132" s="6"/>
      <c r="F132" s="9"/>
      <c r="G132" s="6"/>
      <c r="H132" s="6"/>
    </row>
    <row r="133" spans="4:8" ht="15.95" customHeight="1" x14ac:dyDescent="0.2">
      <c r="D133" s="6"/>
      <c r="E133" s="6"/>
      <c r="F133" s="9"/>
      <c r="G133" s="6"/>
      <c r="H133" s="6"/>
    </row>
    <row r="134" spans="4:8" ht="15.95" customHeight="1" x14ac:dyDescent="0.2">
      <c r="D134" s="6"/>
      <c r="E134" s="6"/>
      <c r="F134" s="9"/>
      <c r="G134" s="6"/>
      <c r="H134" s="6"/>
    </row>
    <row r="135" spans="4:8" ht="15.95" customHeight="1" x14ac:dyDescent="0.2">
      <c r="D135" s="6"/>
      <c r="E135" s="6"/>
      <c r="F135" s="9"/>
      <c r="G135" s="6"/>
      <c r="H135" s="6"/>
    </row>
    <row r="136" spans="4:8" ht="15.95" customHeight="1" x14ac:dyDescent="0.2">
      <c r="D136" s="6"/>
      <c r="E136" s="6"/>
      <c r="F136" s="9"/>
      <c r="G136" s="6"/>
      <c r="H136" s="6"/>
    </row>
    <row r="137" spans="4:8" ht="15.95" customHeight="1" x14ac:dyDescent="0.2">
      <c r="D137" s="6"/>
      <c r="E137" s="6"/>
      <c r="F137" s="9"/>
      <c r="G137" s="6"/>
      <c r="H137" s="6"/>
    </row>
    <row r="138" spans="4:8" ht="15.95" customHeight="1" x14ac:dyDescent="0.2">
      <c r="H138" s="16"/>
    </row>
    <row r="139" spans="4:8" ht="15.95" customHeight="1" x14ac:dyDescent="0.2">
      <c r="D139" s="6"/>
      <c r="E139" s="6"/>
      <c r="H139" s="6"/>
    </row>
    <row r="140" spans="4:8" ht="15.95" customHeight="1" x14ac:dyDescent="0.2">
      <c r="D140" s="6"/>
      <c r="E140" s="6"/>
      <c r="H140" s="6"/>
    </row>
    <row r="141" spans="4:8" ht="15.95" customHeight="1" x14ac:dyDescent="0.2">
      <c r="D141" s="6"/>
      <c r="E141" s="6"/>
      <c r="F141" s="9"/>
      <c r="G141" s="6"/>
      <c r="H141" s="6"/>
    </row>
    <row r="142" spans="4:8" ht="15.95" customHeight="1" x14ac:dyDescent="0.2">
      <c r="D142" s="6"/>
      <c r="E142" s="6"/>
      <c r="F142" s="9"/>
      <c r="G142" s="6"/>
      <c r="H142" s="6"/>
    </row>
    <row r="143" spans="4:8" ht="15.95" customHeight="1" x14ac:dyDescent="0.2">
      <c r="D143" s="6"/>
      <c r="E143" s="6"/>
      <c r="F143" s="9"/>
      <c r="G143" s="6"/>
      <c r="H143" s="6"/>
    </row>
    <row r="144" spans="4:8" ht="15.95" customHeight="1" x14ac:dyDescent="0.2">
      <c r="D144" s="6"/>
      <c r="E144" s="6"/>
      <c r="F144" s="9"/>
      <c r="G144" s="6"/>
      <c r="H144" s="6"/>
    </row>
    <row r="145" spans="4:8" ht="15.95" customHeight="1" x14ac:dyDescent="0.2">
      <c r="D145" s="6"/>
      <c r="E145" s="6"/>
      <c r="F145" s="9"/>
      <c r="G145" s="6"/>
      <c r="H145" s="6"/>
    </row>
    <row r="146" spans="4:8" ht="15.95" customHeight="1" x14ac:dyDescent="0.2">
      <c r="D146" s="6"/>
      <c r="E146" s="6"/>
      <c r="F146" s="9"/>
      <c r="G146" s="6"/>
      <c r="H146" s="6"/>
    </row>
    <row r="147" spans="4:8" ht="15.95" customHeight="1" x14ac:dyDescent="0.2">
      <c r="D147" s="6"/>
      <c r="E147" s="6"/>
      <c r="F147" s="9"/>
      <c r="G147" s="6"/>
      <c r="H147" s="6"/>
    </row>
    <row r="148" spans="4:8" ht="15.95" customHeight="1" x14ac:dyDescent="0.2">
      <c r="D148" s="6"/>
      <c r="E148" s="6"/>
      <c r="F148" s="9"/>
      <c r="G148" s="6"/>
      <c r="H148" s="6"/>
    </row>
    <row r="149" spans="4:8" ht="15.95" customHeight="1" x14ac:dyDescent="0.2">
      <c r="D149" s="6"/>
      <c r="E149" s="6"/>
      <c r="F149" s="9"/>
      <c r="G149" s="6"/>
      <c r="H149" s="6"/>
    </row>
    <row r="150" spans="4:8" ht="15.95" customHeight="1" x14ac:dyDescent="0.2">
      <c r="D150" s="6"/>
      <c r="E150" s="6"/>
      <c r="F150" s="9"/>
      <c r="G150" s="6"/>
      <c r="H150" s="6"/>
    </row>
  </sheetData>
  <mergeCells count="1">
    <mergeCell ref="B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4E99-AA7F-5943-895C-678A03173923}">
  <sheetPr>
    <tabColor rgb="FFFFFF00"/>
  </sheetPr>
  <dimension ref="A1:M148"/>
  <sheetViews>
    <sheetView workbookViewId="0">
      <selection activeCell="J12" sqref="J12"/>
    </sheetView>
  </sheetViews>
  <sheetFormatPr defaultColWidth="12.42578125" defaultRowHeight="15.95" customHeight="1" x14ac:dyDescent="0.2"/>
  <cols>
    <col min="1" max="1" width="32.42578125" style="1" customWidth="1"/>
    <col min="2" max="15" width="10.28515625" style="1" customWidth="1"/>
    <col min="16" max="256" width="10.140625" style="1" customWidth="1"/>
    <col min="257" max="257" width="14.7109375" style="1" customWidth="1"/>
    <col min="258" max="258" width="11.42578125" style="1" bestFit="1" customWidth="1"/>
    <col min="259" max="512" width="10.140625" style="1" customWidth="1"/>
    <col min="513" max="513" width="14.7109375" style="1" customWidth="1"/>
    <col min="514" max="514" width="11.42578125" style="1" bestFit="1" customWidth="1"/>
    <col min="515" max="768" width="10.140625" style="1" customWidth="1"/>
    <col min="769" max="769" width="14.7109375" style="1" customWidth="1"/>
    <col min="770" max="770" width="11.42578125" style="1" bestFit="1" customWidth="1"/>
    <col min="771" max="1024" width="10.140625" style="1" customWidth="1"/>
    <col min="1025" max="1025" width="14.7109375" style="1" customWidth="1"/>
    <col min="1026" max="1026" width="11.42578125" style="1" bestFit="1" customWidth="1"/>
    <col min="1027" max="1280" width="10.140625" style="1" customWidth="1"/>
    <col min="1281" max="1281" width="14.7109375" style="1" customWidth="1"/>
    <col min="1282" max="1282" width="11.42578125" style="1" bestFit="1" customWidth="1"/>
    <col min="1283" max="1536" width="10.140625" style="1" customWidth="1"/>
    <col min="1537" max="1537" width="14.7109375" style="1" customWidth="1"/>
    <col min="1538" max="1538" width="11.42578125" style="1" bestFit="1" customWidth="1"/>
    <col min="1539" max="1792" width="10.140625" style="1" customWidth="1"/>
    <col min="1793" max="1793" width="14.7109375" style="1" customWidth="1"/>
    <col min="1794" max="1794" width="11.42578125" style="1" bestFit="1" customWidth="1"/>
    <col min="1795" max="2048" width="10.140625" style="1" customWidth="1"/>
    <col min="2049" max="2049" width="14.7109375" style="1" customWidth="1"/>
    <col min="2050" max="2050" width="11.42578125" style="1" bestFit="1" customWidth="1"/>
    <col min="2051" max="2304" width="10.140625" style="1" customWidth="1"/>
    <col min="2305" max="2305" width="14.7109375" style="1" customWidth="1"/>
    <col min="2306" max="2306" width="11.42578125" style="1" bestFit="1" customWidth="1"/>
    <col min="2307" max="2560" width="10.140625" style="1" customWidth="1"/>
    <col min="2561" max="2561" width="14.7109375" style="1" customWidth="1"/>
    <col min="2562" max="2562" width="11.42578125" style="1" bestFit="1" customWidth="1"/>
    <col min="2563" max="2816" width="10.140625" style="1" customWidth="1"/>
    <col min="2817" max="2817" width="14.7109375" style="1" customWidth="1"/>
    <col min="2818" max="2818" width="11.42578125" style="1" bestFit="1" customWidth="1"/>
    <col min="2819" max="3072" width="10.140625" style="1" customWidth="1"/>
    <col min="3073" max="3073" width="14.7109375" style="1" customWidth="1"/>
    <col min="3074" max="3074" width="11.42578125" style="1" bestFit="1" customWidth="1"/>
    <col min="3075" max="3328" width="10.140625" style="1" customWidth="1"/>
    <col min="3329" max="3329" width="14.7109375" style="1" customWidth="1"/>
    <col min="3330" max="3330" width="11.42578125" style="1" bestFit="1" customWidth="1"/>
    <col min="3331" max="3584" width="10.140625" style="1" customWidth="1"/>
    <col min="3585" max="3585" width="14.7109375" style="1" customWidth="1"/>
    <col min="3586" max="3586" width="11.42578125" style="1" bestFit="1" customWidth="1"/>
    <col min="3587" max="3840" width="10.140625" style="1" customWidth="1"/>
    <col min="3841" max="3841" width="14.7109375" style="1" customWidth="1"/>
    <col min="3842" max="3842" width="11.42578125" style="1" bestFit="1" customWidth="1"/>
    <col min="3843" max="4096" width="10.140625" style="1" customWidth="1"/>
    <col min="4097" max="4097" width="14.7109375" style="1" customWidth="1"/>
    <col min="4098" max="4098" width="11.42578125" style="1" bestFit="1" customWidth="1"/>
    <col min="4099" max="4352" width="10.140625" style="1" customWidth="1"/>
    <col min="4353" max="4353" width="14.7109375" style="1" customWidth="1"/>
    <col min="4354" max="4354" width="11.42578125" style="1" bestFit="1" customWidth="1"/>
    <col min="4355" max="4608" width="10.140625" style="1" customWidth="1"/>
    <col min="4609" max="4609" width="14.7109375" style="1" customWidth="1"/>
    <col min="4610" max="4610" width="11.42578125" style="1" bestFit="1" customWidth="1"/>
    <col min="4611" max="4864" width="10.140625" style="1" customWidth="1"/>
    <col min="4865" max="4865" width="14.7109375" style="1" customWidth="1"/>
    <col min="4866" max="4866" width="11.42578125" style="1" bestFit="1" customWidth="1"/>
    <col min="4867" max="5120" width="10.140625" style="1" customWidth="1"/>
    <col min="5121" max="5121" width="14.7109375" style="1" customWidth="1"/>
    <col min="5122" max="5122" width="11.42578125" style="1" bestFit="1" customWidth="1"/>
    <col min="5123" max="5376" width="10.140625" style="1" customWidth="1"/>
    <col min="5377" max="5377" width="14.7109375" style="1" customWidth="1"/>
    <col min="5378" max="5378" width="11.42578125" style="1" bestFit="1" customWidth="1"/>
    <col min="5379" max="5632" width="10.140625" style="1" customWidth="1"/>
    <col min="5633" max="5633" width="14.7109375" style="1" customWidth="1"/>
    <col min="5634" max="5634" width="11.42578125" style="1" bestFit="1" customWidth="1"/>
    <col min="5635" max="5888" width="10.140625" style="1" customWidth="1"/>
    <col min="5889" max="5889" width="14.7109375" style="1" customWidth="1"/>
    <col min="5890" max="5890" width="11.42578125" style="1" bestFit="1" customWidth="1"/>
    <col min="5891" max="6144" width="10.140625" style="1" customWidth="1"/>
    <col min="6145" max="6145" width="14.7109375" style="1" customWidth="1"/>
    <col min="6146" max="6146" width="11.42578125" style="1" bestFit="1" customWidth="1"/>
    <col min="6147" max="6400" width="10.140625" style="1" customWidth="1"/>
    <col min="6401" max="6401" width="14.7109375" style="1" customWidth="1"/>
    <col min="6402" max="6402" width="11.42578125" style="1" bestFit="1" customWidth="1"/>
    <col min="6403" max="6656" width="10.140625" style="1" customWidth="1"/>
    <col min="6657" max="6657" width="14.7109375" style="1" customWidth="1"/>
    <col min="6658" max="6658" width="11.42578125" style="1" bestFit="1" customWidth="1"/>
    <col min="6659" max="6912" width="10.140625" style="1" customWidth="1"/>
    <col min="6913" max="6913" width="14.7109375" style="1" customWidth="1"/>
    <col min="6914" max="6914" width="11.42578125" style="1" bestFit="1" customWidth="1"/>
    <col min="6915" max="7168" width="10.140625" style="1" customWidth="1"/>
    <col min="7169" max="7169" width="14.7109375" style="1" customWidth="1"/>
    <col min="7170" max="7170" width="11.42578125" style="1" bestFit="1" customWidth="1"/>
    <col min="7171" max="7424" width="10.140625" style="1" customWidth="1"/>
    <col min="7425" max="7425" width="14.7109375" style="1" customWidth="1"/>
    <col min="7426" max="7426" width="11.42578125" style="1" bestFit="1" customWidth="1"/>
    <col min="7427" max="7680" width="10.140625" style="1" customWidth="1"/>
    <col min="7681" max="7681" width="14.7109375" style="1" customWidth="1"/>
    <col min="7682" max="7682" width="11.42578125" style="1" bestFit="1" customWidth="1"/>
    <col min="7683" max="7936" width="10.140625" style="1" customWidth="1"/>
    <col min="7937" max="7937" width="14.7109375" style="1" customWidth="1"/>
    <col min="7938" max="7938" width="11.42578125" style="1" bestFit="1" customWidth="1"/>
    <col min="7939" max="8192" width="10.140625" style="1" customWidth="1"/>
    <col min="8193" max="8193" width="14.7109375" style="1" customWidth="1"/>
    <col min="8194" max="8194" width="11.42578125" style="1" bestFit="1" customWidth="1"/>
    <col min="8195" max="8448" width="10.140625" style="1" customWidth="1"/>
    <col min="8449" max="8449" width="14.7109375" style="1" customWidth="1"/>
    <col min="8450" max="8450" width="11.42578125" style="1" bestFit="1" customWidth="1"/>
    <col min="8451" max="8704" width="10.140625" style="1" customWidth="1"/>
    <col min="8705" max="8705" width="14.7109375" style="1" customWidth="1"/>
    <col min="8706" max="8706" width="11.42578125" style="1" bestFit="1" customWidth="1"/>
    <col min="8707" max="8960" width="10.140625" style="1" customWidth="1"/>
    <col min="8961" max="8961" width="14.7109375" style="1" customWidth="1"/>
    <col min="8962" max="8962" width="11.42578125" style="1" bestFit="1" customWidth="1"/>
    <col min="8963" max="9216" width="10.140625" style="1" customWidth="1"/>
    <col min="9217" max="9217" width="14.7109375" style="1" customWidth="1"/>
    <col min="9218" max="9218" width="11.42578125" style="1" bestFit="1" customWidth="1"/>
    <col min="9219" max="9472" width="10.140625" style="1" customWidth="1"/>
    <col min="9473" max="9473" width="14.7109375" style="1" customWidth="1"/>
    <col min="9474" max="9474" width="11.42578125" style="1" bestFit="1" customWidth="1"/>
    <col min="9475" max="9728" width="10.140625" style="1" customWidth="1"/>
    <col min="9729" max="9729" width="14.7109375" style="1" customWidth="1"/>
    <col min="9730" max="9730" width="11.42578125" style="1" bestFit="1" customWidth="1"/>
    <col min="9731" max="9984" width="10.140625" style="1" customWidth="1"/>
    <col min="9985" max="9985" width="14.7109375" style="1" customWidth="1"/>
    <col min="9986" max="9986" width="11.42578125" style="1" bestFit="1" customWidth="1"/>
    <col min="9987" max="10240" width="10.140625" style="1" customWidth="1"/>
    <col min="10241" max="10241" width="14.7109375" style="1" customWidth="1"/>
    <col min="10242" max="10242" width="11.42578125" style="1" bestFit="1" customWidth="1"/>
    <col min="10243" max="10496" width="10.140625" style="1" customWidth="1"/>
    <col min="10497" max="10497" width="14.7109375" style="1" customWidth="1"/>
    <col min="10498" max="10498" width="11.42578125" style="1" bestFit="1" customWidth="1"/>
    <col min="10499" max="10752" width="10.140625" style="1" customWidth="1"/>
    <col min="10753" max="10753" width="14.7109375" style="1" customWidth="1"/>
    <col min="10754" max="10754" width="11.42578125" style="1" bestFit="1" customWidth="1"/>
    <col min="10755" max="11008" width="10.140625" style="1" customWidth="1"/>
    <col min="11009" max="11009" width="14.7109375" style="1" customWidth="1"/>
    <col min="11010" max="11010" width="11.42578125" style="1" bestFit="1" customWidth="1"/>
    <col min="11011" max="11264" width="10.140625" style="1" customWidth="1"/>
    <col min="11265" max="11265" width="14.7109375" style="1" customWidth="1"/>
    <col min="11266" max="11266" width="11.42578125" style="1" bestFit="1" customWidth="1"/>
    <col min="11267" max="11520" width="10.140625" style="1" customWidth="1"/>
    <col min="11521" max="11521" width="14.7109375" style="1" customWidth="1"/>
    <col min="11522" max="11522" width="11.42578125" style="1" bestFit="1" customWidth="1"/>
    <col min="11523" max="11776" width="10.140625" style="1" customWidth="1"/>
    <col min="11777" max="11777" width="14.7109375" style="1" customWidth="1"/>
    <col min="11778" max="11778" width="11.42578125" style="1" bestFit="1" customWidth="1"/>
    <col min="11779" max="12032" width="10.140625" style="1" customWidth="1"/>
    <col min="12033" max="12033" width="14.7109375" style="1" customWidth="1"/>
    <col min="12034" max="12034" width="11.42578125" style="1" bestFit="1" customWidth="1"/>
    <col min="12035" max="12288" width="10.140625" style="1" customWidth="1"/>
    <col min="12289" max="12289" width="14.7109375" style="1" customWidth="1"/>
    <col min="12290" max="12290" width="11.42578125" style="1" bestFit="1" customWidth="1"/>
    <col min="12291" max="12544" width="10.140625" style="1" customWidth="1"/>
    <col min="12545" max="12545" width="14.7109375" style="1" customWidth="1"/>
    <col min="12546" max="12546" width="11.42578125" style="1" bestFit="1" customWidth="1"/>
    <col min="12547" max="12800" width="10.140625" style="1" customWidth="1"/>
    <col min="12801" max="12801" width="14.7109375" style="1" customWidth="1"/>
    <col min="12802" max="12802" width="11.42578125" style="1" bestFit="1" customWidth="1"/>
    <col min="12803" max="13056" width="10.140625" style="1" customWidth="1"/>
    <col min="13057" max="13057" width="14.7109375" style="1" customWidth="1"/>
    <col min="13058" max="13058" width="11.42578125" style="1" bestFit="1" customWidth="1"/>
    <col min="13059" max="13312" width="10.140625" style="1" customWidth="1"/>
    <col min="13313" max="13313" width="14.7109375" style="1" customWidth="1"/>
    <col min="13314" max="13314" width="11.42578125" style="1" bestFit="1" customWidth="1"/>
    <col min="13315" max="13568" width="10.140625" style="1" customWidth="1"/>
    <col min="13569" max="13569" width="14.7109375" style="1" customWidth="1"/>
    <col min="13570" max="13570" width="11.42578125" style="1" bestFit="1" customWidth="1"/>
    <col min="13571" max="13824" width="10.140625" style="1" customWidth="1"/>
    <col min="13825" max="13825" width="14.7109375" style="1" customWidth="1"/>
    <col min="13826" max="13826" width="11.42578125" style="1" bestFit="1" customWidth="1"/>
    <col min="13827" max="14080" width="10.140625" style="1" customWidth="1"/>
    <col min="14081" max="14081" width="14.7109375" style="1" customWidth="1"/>
    <col min="14082" max="14082" width="11.42578125" style="1" bestFit="1" customWidth="1"/>
    <col min="14083" max="14336" width="10.140625" style="1" customWidth="1"/>
    <col min="14337" max="14337" width="14.7109375" style="1" customWidth="1"/>
    <col min="14338" max="14338" width="11.42578125" style="1" bestFit="1" customWidth="1"/>
    <col min="14339" max="14592" width="10.140625" style="1" customWidth="1"/>
    <col min="14593" max="14593" width="14.7109375" style="1" customWidth="1"/>
    <col min="14594" max="14594" width="11.42578125" style="1" bestFit="1" customWidth="1"/>
    <col min="14595" max="14848" width="10.140625" style="1" customWidth="1"/>
    <col min="14849" max="14849" width="14.7109375" style="1" customWidth="1"/>
    <col min="14850" max="14850" width="11.42578125" style="1" bestFit="1" customWidth="1"/>
    <col min="14851" max="15104" width="10.140625" style="1" customWidth="1"/>
    <col min="15105" max="15105" width="14.7109375" style="1" customWidth="1"/>
    <col min="15106" max="15106" width="11.42578125" style="1" bestFit="1" customWidth="1"/>
    <col min="15107" max="15360" width="10.140625" style="1" customWidth="1"/>
    <col min="15361" max="15361" width="14.7109375" style="1" customWidth="1"/>
    <col min="15362" max="15362" width="11.42578125" style="1" bestFit="1" customWidth="1"/>
    <col min="15363" max="15616" width="10.140625" style="1" customWidth="1"/>
    <col min="15617" max="15617" width="14.7109375" style="1" customWidth="1"/>
    <col min="15618" max="15618" width="11.42578125" style="1" bestFit="1" customWidth="1"/>
    <col min="15619" max="15872" width="10.140625" style="1" customWidth="1"/>
    <col min="15873" max="15873" width="14.7109375" style="1" customWidth="1"/>
    <col min="15874" max="15874" width="11.42578125" style="1" bestFit="1" customWidth="1"/>
    <col min="15875" max="16128" width="10.140625" style="1" customWidth="1"/>
    <col min="16129" max="16129" width="14.7109375" style="1" customWidth="1"/>
    <col min="16130" max="16130" width="11.42578125" style="1" bestFit="1" customWidth="1"/>
    <col min="16131" max="16384" width="10.140625" style="1" customWidth="1"/>
  </cols>
  <sheetData>
    <row r="1" spans="1:13" ht="15.95" customHeight="1" x14ac:dyDescent="0.2">
      <c r="A1" s="1" t="s">
        <v>0</v>
      </c>
      <c r="B1" s="2">
        <v>45365</v>
      </c>
      <c r="E1" s="1">
        <v>104</v>
      </c>
      <c r="F1" s="1" t="s">
        <v>1</v>
      </c>
      <c r="G1" s="1">
        <v>9422</v>
      </c>
      <c r="H1" s="3"/>
      <c r="I1" s="1" t="s">
        <v>2</v>
      </c>
      <c r="M1" s="3"/>
    </row>
    <row r="2" spans="1:13" ht="15.95" customHeight="1" x14ac:dyDescent="0.2">
      <c r="A2" s="1" t="s">
        <v>3</v>
      </c>
      <c r="E2" s="1">
        <f>E1*2200*0.53</f>
        <v>121264</v>
      </c>
      <c r="F2" s="1" t="s">
        <v>4</v>
      </c>
      <c r="G2" s="1">
        <v>7974</v>
      </c>
      <c r="H2" s="3"/>
      <c r="K2" s="4"/>
      <c r="M2" s="3"/>
    </row>
    <row r="3" spans="1:13" ht="15.95" customHeight="1" x14ac:dyDescent="0.25">
      <c r="A3" s="1" t="s">
        <v>5</v>
      </c>
      <c r="B3" s="5"/>
      <c r="E3" s="1">
        <v>0.5</v>
      </c>
      <c r="F3" s="1" t="s">
        <v>6</v>
      </c>
      <c r="G3" s="1">
        <v>6878</v>
      </c>
      <c r="H3" s="3"/>
      <c r="K3" s="4"/>
      <c r="M3" s="3"/>
    </row>
    <row r="4" spans="1:13" ht="15.95" customHeight="1" x14ac:dyDescent="0.25">
      <c r="B4" s="5"/>
      <c r="E4" s="1">
        <f>AVERAGE(G1:H5)*10</f>
        <v>78545</v>
      </c>
      <c r="F4" s="1" t="s">
        <v>7</v>
      </c>
      <c r="G4" s="1">
        <v>7144</v>
      </c>
      <c r="H4" s="3"/>
      <c r="K4" s="4"/>
      <c r="M4" s="3"/>
    </row>
    <row r="5" spans="1:13" ht="15.95" customHeight="1" x14ac:dyDescent="0.2">
      <c r="A5" s="3"/>
      <c r="D5" s="6"/>
      <c r="E5" s="6">
        <f>E4/(E3*E2)</f>
        <v>1.2954380525135243</v>
      </c>
      <c r="F5" s="7" t="s">
        <v>8</v>
      </c>
      <c r="H5" s="3"/>
      <c r="I5" s="1" t="s">
        <v>21</v>
      </c>
      <c r="K5" s="4"/>
      <c r="M5" s="3"/>
    </row>
    <row r="6" spans="1:13" ht="15.95" customHeight="1" x14ac:dyDescent="0.25">
      <c r="A6" s="3"/>
      <c r="D6" s="6"/>
      <c r="E6" s="6"/>
      <c r="F6" s="7"/>
      <c r="H6" s="3"/>
      <c r="I6" s="5"/>
      <c r="K6" s="4"/>
      <c r="M6" s="3"/>
    </row>
    <row r="7" spans="1:13" ht="15.95" customHeight="1" x14ac:dyDescent="0.25">
      <c r="A7" s="8" t="s">
        <v>17</v>
      </c>
      <c r="E7" s="7"/>
      <c r="H7" s="3"/>
      <c r="K7" s="4"/>
    </row>
    <row r="8" spans="1:13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ht="15.95" customHeight="1" x14ac:dyDescent="0.25">
      <c r="A9" s="5" t="s">
        <v>30</v>
      </c>
      <c r="B9" s="3">
        <v>1919</v>
      </c>
      <c r="C9" s="3">
        <v>1981</v>
      </c>
      <c r="D9" s="6">
        <f>AVERAGE(B9:C9,B20:C20)</f>
        <v>1886.75</v>
      </c>
      <c r="E9" s="6"/>
      <c r="H9" s="6">
        <f>J14*100/$J$14</f>
        <v>100</v>
      </c>
      <c r="L9" s="5" t="s">
        <v>15</v>
      </c>
      <c r="M9" s="5" t="s">
        <v>16</v>
      </c>
    </row>
    <row r="10" spans="1:13" ht="15.95" customHeight="1" x14ac:dyDescent="0.25">
      <c r="B10" s="3">
        <v>824</v>
      </c>
      <c r="C10" s="3">
        <v>746</v>
      </c>
      <c r="D10" s="6"/>
      <c r="E10" s="6"/>
      <c r="H10" s="6"/>
      <c r="J10" s="10" t="s">
        <v>17</v>
      </c>
      <c r="L10" s="3">
        <v>1979</v>
      </c>
      <c r="M10" s="3">
        <v>876</v>
      </c>
    </row>
    <row r="11" spans="1:13" ht="15.95" customHeight="1" x14ac:dyDescent="0.2">
      <c r="A11" s="3"/>
      <c r="B11" s="3">
        <v>1027</v>
      </c>
      <c r="C11" s="3">
        <v>1005</v>
      </c>
      <c r="D11" s="6">
        <f t="shared" ref="D11:D20" si="0">AVERAGE(B11:C11)</f>
        <v>1016</v>
      </c>
      <c r="E11" s="6">
        <f>D11-$J$16</f>
        <v>203.125</v>
      </c>
      <c r="F11" s="9">
        <v>9.9999999999999995E-8</v>
      </c>
      <c r="G11" s="6">
        <f t="shared" ref="G11:G19" si="1">LOG(F11)</f>
        <v>-7</v>
      </c>
      <c r="H11" s="6">
        <f>E11*100/$J$14</f>
        <v>18.072624145025859</v>
      </c>
      <c r="J11" s="11" t="s">
        <v>18</v>
      </c>
      <c r="L11" s="3">
        <v>1943</v>
      </c>
      <c r="M11" s="3">
        <v>739</v>
      </c>
    </row>
    <row r="12" spans="1:13" ht="15.95" customHeight="1" x14ac:dyDescent="0.25">
      <c r="A12" s="8"/>
      <c r="B12" s="3">
        <v>1131</v>
      </c>
      <c r="C12" s="3">
        <v>1043</v>
      </c>
      <c r="D12" s="6">
        <f t="shared" si="0"/>
        <v>1087</v>
      </c>
      <c r="E12" s="6">
        <f t="shared" ref="E12:E18" si="2">D12-$J$16</f>
        <v>274.125</v>
      </c>
      <c r="F12" s="9">
        <f t="shared" ref="F12:F19" si="3">F11*0.3162</f>
        <v>3.1619999999999995E-8</v>
      </c>
      <c r="G12" s="6">
        <f t="shared" si="1"/>
        <v>-7.5000381344038098</v>
      </c>
      <c r="H12" s="6">
        <f t="shared" ref="H12:H19" si="4">E12*100/$J$14</f>
        <v>24.38970138464105</v>
      </c>
      <c r="J12" s="11">
        <f>AVERAGE(L10:L25)</f>
        <v>1936.8125</v>
      </c>
      <c r="L12" s="3">
        <v>1919</v>
      </c>
      <c r="M12" s="3">
        <v>824</v>
      </c>
    </row>
    <row r="13" spans="1:13" ht="15.95" customHeight="1" x14ac:dyDescent="0.2">
      <c r="A13" s="3"/>
      <c r="B13" s="3">
        <v>1434</v>
      </c>
      <c r="C13" s="3">
        <v>1458</v>
      </c>
      <c r="D13" s="6">
        <f t="shared" si="0"/>
        <v>1446</v>
      </c>
      <c r="E13" s="6">
        <f t="shared" si="2"/>
        <v>633.125</v>
      </c>
      <c r="F13" s="9">
        <f t="shared" si="3"/>
        <v>9.998243999999998E-9</v>
      </c>
      <c r="G13" s="6">
        <f t="shared" si="1"/>
        <v>-8.0000762688076197</v>
      </c>
      <c r="H13" s="6">
        <f>E13*100/$J$14</f>
        <v>56.330979258188286</v>
      </c>
      <c r="J13" s="11" t="s">
        <v>19</v>
      </c>
      <c r="L13" s="3">
        <v>1981</v>
      </c>
      <c r="M13" s="3">
        <v>746</v>
      </c>
    </row>
    <row r="14" spans="1:13" ht="15.95" customHeight="1" x14ac:dyDescent="0.2">
      <c r="A14" s="3"/>
      <c r="B14" s="3">
        <v>1636</v>
      </c>
      <c r="C14" s="3">
        <v>1573</v>
      </c>
      <c r="D14" s="6">
        <f t="shared" si="0"/>
        <v>1604.5</v>
      </c>
      <c r="E14" s="6">
        <f t="shared" si="2"/>
        <v>791.625</v>
      </c>
      <c r="F14" s="9">
        <f t="shared" si="3"/>
        <v>3.161444752799999E-9</v>
      </c>
      <c r="G14" s="6">
        <f t="shared" si="1"/>
        <v>-8.5001144032114286</v>
      </c>
      <c r="H14" s="6">
        <f t="shared" si="4"/>
        <v>70.433186898737702</v>
      </c>
      <c r="J14" s="11">
        <f>J12-J16</f>
        <v>1123.9375</v>
      </c>
      <c r="L14" s="3">
        <v>1912</v>
      </c>
      <c r="M14" s="3">
        <v>802</v>
      </c>
    </row>
    <row r="15" spans="1:13" ht="15.95" customHeight="1" x14ac:dyDescent="0.2">
      <c r="A15" s="3"/>
      <c r="B15" s="3">
        <v>1823</v>
      </c>
      <c r="C15" s="3">
        <v>1984</v>
      </c>
      <c r="D15" s="6">
        <f t="shared" si="0"/>
        <v>1903.5</v>
      </c>
      <c r="E15" s="6">
        <f t="shared" si="2"/>
        <v>1090.625</v>
      </c>
      <c r="F15" s="9">
        <f t="shared" si="3"/>
        <v>9.9964883083535969E-10</v>
      </c>
      <c r="G15" s="6">
        <f t="shared" si="1"/>
        <v>-9.0001525376152394</v>
      </c>
      <c r="H15" s="6">
        <f t="shared" si="4"/>
        <v>97.036089640215764</v>
      </c>
      <c r="J15" s="11" t="s">
        <v>20</v>
      </c>
      <c r="L15" s="3">
        <v>2018</v>
      </c>
      <c r="M15" s="3">
        <v>876</v>
      </c>
    </row>
    <row r="16" spans="1:13" ht="15.95" customHeight="1" x14ac:dyDescent="0.2">
      <c r="B16" s="3">
        <v>1931</v>
      </c>
      <c r="C16" s="3">
        <v>1738</v>
      </c>
      <c r="D16" s="6">
        <f t="shared" si="0"/>
        <v>1834.5</v>
      </c>
      <c r="E16" s="6">
        <f t="shared" si="2"/>
        <v>1021.625</v>
      </c>
      <c r="F16" s="9">
        <f t="shared" si="3"/>
        <v>3.1608896031014073E-10</v>
      </c>
      <c r="G16" s="6">
        <f t="shared" si="1"/>
        <v>-9.5001906720190483</v>
      </c>
      <c r="H16" s="6">
        <f t="shared" si="4"/>
        <v>90.896958238336211</v>
      </c>
      <c r="J16" s="11">
        <f>AVERAGE(M10:M17)</f>
        <v>812.875</v>
      </c>
      <c r="L16" s="3">
        <v>2147</v>
      </c>
      <c r="M16" s="3">
        <v>722</v>
      </c>
    </row>
    <row r="17" spans="1:13" ht="15.95" customHeight="1" x14ac:dyDescent="0.2">
      <c r="A17" s="3"/>
      <c r="B17" s="3">
        <v>1863</v>
      </c>
      <c r="C17" s="3">
        <v>1726</v>
      </c>
      <c r="D17" s="6">
        <f t="shared" si="0"/>
        <v>1794.5</v>
      </c>
      <c r="E17" s="6">
        <f t="shared" si="2"/>
        <v>981.625</v>
      </c>
      <c r="F17" s="9">
        <f t="shared" si="3"/>
        <v>9.9947329250066487E-11</v>
      </c>
      <c r="G17" s="6">
        <f t="shared" si="1"/>
        <v>-10.000228806422859</v>
      </c>
      <c r="H17" s="6">
        <f t="shared" si="4"/>
        <v>87.338041483623428</v>
      </c>
      <c r="L17" s="3">
        <v>2475</v>
      </c>
      <c r="M17" s="3">
        <v>918</v>
      </c>
    </row>
    <row r="18" spans="1:13" ht="15.95" customHeight="1" x14ac:dyDescent="0.2">
      <c r="B18" s="3">
        <v>1889</v>
      </c>
      <c r="C18" s="3">
        <v>1899</v>
      </c>
      <c r="D18" s="6">
        <f t="shared" si="0"/>
        <v>1894</v>
      </c>
      <c r="E18" s="6">
        <f t="shared" si="2"/>
        <v>1081.125</v>
      </c>
      <c r="F18" s="9">
        <f t="shared" si="3"/>
        <v>3.1603345508871023E-11</v>
      </c>
      <c r="G18" s="6">
        <f t="shared" si="1"/>
        <v>-10.500266940826668</v>
      </c>
      <c r="H18" s="6">
        <f t="shared" si="4"/>
        <v>96.190846910971473</v>
      </c>
      <c r="L18" s="3">
        <v>2600</v>
      </c>
    </row>
    <row r="19" spans="1:13" ht="15.95" customHeight="1" x14ac:dyDescent="0.2">
      <c r="A19" s="3"/>
      <c r="B19" s="3">
        <v>1711</v>
      </c>
      <c r="C19" s="3">
        <v>1811</v>
      </c>
      <c r="D19" s="6">
        <f t="shared" si="0"/>
        <v>1761</v>
      </c>
      <c r="E19" s="6">
        <f>D19-$J$16</f>
        <v>948.125</v>
      </c>
      <c r="F19" s="9">
        <f t="shared" si="3"/>
        <v>9.9929778499050173E-12</v>
      </c>
      <c r="G19" s="6">
        <f t="shared" si="1"/>
        <v>-11.000305075230479</v>
      </c>
      <c r="H19" s="6">
        <f t="shared" si="4"/>
        <v>84.357448701551462</v>
      </c>
      <c r="L19" s="3">
        <v>1748</v>
      </c>
    </row>
    <row r="20" spans="1:13" ht="15.95" customHeight="1" x14ac:dyDescent="0.2">
      <c r="B20" s="3">
        <v>1890</v>
      </c>
      <c r="C20" s="3">
        <v>1757</v>
      </c>
      <c r="D20" s="6">
        <f t="shared" si="0"/>
        <v>1823.5</v>
      </c>
      <c r="E20" s="6"/>
      <c r="F20" s="9"/>
      <c r="G20" s="6"/>
      <c r="H20" s="6"/>
      <c r="L20" s="3">
        <v>1890</v>
      </c>
    </row>
    <row r="21" spans="1:13" ht="15.95" customHeight="1" x14ac:dyDescent="0.2">
      <c r="B21" s="3"/>
      <c r="C21" s="3"/>
      <c r="L21" s="3">
        <v>1757</v>
      </c>
    </row>
    <row r="22" spans="1:13" ht="15.95" customHeight="1" x14ac:dyDescent="0.2">
      <c r="B22" s="3"/>
      <c r="C22" s="3"/>
      <c r="D22" s="6"/>
      <c r="E22" s="6"/>
      <c r="H22" s="6"/>
      <c r="L22" s="3">
        <v>1784</v>
      </c>
    </row>
    <row r="23" spans="1:13" ht="15.95" customHeight="1" x14ac:dyDescent="0.2">
      <c r="B23" s="3"/>
      <c r="C23" s="3"/>
      <c r="D23" s="6"/>
      <c r="E23" s="6"/>
      <c r="H23" s="6"/>
      <c r="L23" s="3">
        <v>1607</v>
      </c>
    </row>
    <row r="24" spans="1:13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1599</v>
      </c>
    </row>
    <row r="25" spans="1:13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1630</v>
      </c>
    </row>
    <row r="26" spans="1:13" ht="15.95" customHeight="1" x14ac:dyDescent="0.2">
      <c r="B26" s="3"/>
      <c r="C26" s="3"/>
      <c r="D26" s="6"/>
      <c r="E26" s="6"/>
      <c r="F26" s="9"/>
      <c r="G26" s="6"/>
      <c r="H26" s="6"/>
    </row>
    <row r="27" spans="1:13" ht="15.95" customHeight="1" x14ac:dyDescent="0.2">
      <c r="B27" s="3"/>
      <c r="C27" s="3"/>
      <c r="D27" s="6"/>
      <c r="E27" s="6"/>
      <c r="F27" s="9"/>
      <c r="G27" s="6"/>
      <c r="H27" s="6"/>
    </row>
    <row r="28" spans="1:13" ht="15.95" customHeight="1" x14ac:dyDescent="0.2">
      <c r="B28" s="3"/>
      <c r="C28" s="3"/>
      <c r="D28" s="6"/>
      <c r="E28" s="6"/>
      <c r="F28" s="9"/>
      <c r="G28" s="6"/>
      <c r="H28" s="6"/>
    </row>
    <row r="29" spans="1:13" ht="15.95" customHeight="1" x14ac:dyDescent="0.2">
      <c r="B29" s="3"/>
      <c r="C29" s="3"/>
      <c r="D29" s="6"/>
      <c r="E29" s="6"/>
      <c r="F29" s="9"/>
      <c r="G29" s="6"/>
      <c r="H29" s="6"/>
    </row>
    <row r="30" spans="1:13" ht="15.95" customHeight="1" x14ac:dyDescent="0.2">
      <c r="B30" s="3"/>
      <c r="C30" s="3"/>
      <c r="D30" s="6"/>
      <c r="E30" s="6"/>
      <c r="F30" s="9"/>
      <c r="G30" s="6"/>
      <c r="H30" s="6"/>
    </row>
    <row r="31" spans="1:13" ht="15.95" customHeight="1" x14ac:dyDescent="0.2">
      <c r="B31" s="3"/>
      <c r="C31" s="3"/>
      <c r="D31" s="6"/>
      <c r="E31" s="6"/>
      <c r="F31" s="9"/>
      <c r="G31" s="6"/>
      <c r="H31" s="6"/>
    </row>
    <row r="32" spans="1:13" ht="15.95" customHeight="1" x14ac:dyDescent="0.2">
      <c r="B32" s="3"/>
      <c r="C32" s="3"/>
    </row>
    <row r="33" spans="1:8" ht="15.95" customHeight="1" x14ac:dyDescent="0.2">
      <c r="B33" s="3"/>
      <c r="C33" s="3"/>
      <c r="D33" s="6"/>
      <c r="E33" s="6"/>
      <c r="H33" s="6"/>
    </row>
    <row r="34" spans="1:8" ht="15.95" customHeight="1" x14ac:dyDescent="0.2">
      <c r="B34" s="3"/>
      <c r="C34" s="3"/>
      <c r="D34" s="6"/>
      <c r="E34" s="6"/>
      <c r="H34" s="6"/>
    </row>
    <row r="35" spans="1:8" ht="15.95" customHeight="1" x14ac:dyDescent="0.2">
      <c r="B35" s="3"/>
      <c r="C35" s="3"/>
      <c r="D35" s="6"/>
      <c r="E35" s="6"/>
      <c r="F35" s="9"/>
      <c r="G35" s="6"/>
      <c r="H35" s="6"/>
    </row>
    <row r="36" spans="1:8" ht="15.95" customHeight="1" x14ac:dyDescent="0.2">
      <c r="A36" s="3"/>
      <c r="B36" s="3"/>
      <c r="C36" s="3"/>
      <c r="D36" s="6"/>
      <c r="E36" s="6"/>
      <c r="F36" s="9"/>
      <c r="G36" s="6"/>
      <c r="H36" s="6"/>
    </row>
    <row r="37" spans="1:8" ht="15.95" customHeight="1" x14ac:dyDescent="0.2">
      <c r="B37" s="3"/>
      <c r="C37" s="3"/>
      <c r="D37" s="6"/>
      <c r="E37" s="6"/>
      <c r="F37" s="9"/>
      <c r="G37" s="6"/>
      <c r="H37" s="6"/>
    </row>
    <row r="38" spans="1:8" ht="15.95" customHeight="1" x14ac:dyDescent="0.2">
      <c r="B38" s="3"/>
      <c r="C38" s="3"/>
      <c r="D38" s="6"/>
      <c r="E38" s="6"/>
      <c r="F38" s="9"/>
      <c r="G38" s="6"/>
      <c r="H38" s="6"/>
    </row>
    <row r="39" spans="1:8" ht="15.95" customHeight="1" x14ac:dyDescent="0.2">
      <c r="A39" s="3"/>
      <c r="B39" s="3"/>
      <c r="C39" s="3"/>
      <c r="D39" s="6"/>
      <c r="E39" s="6"/>
      <c r="F39" s="9"/>
      <c r="G39" s="6"/>
      <c r="H39" s="6"/>
    </row>
    <row r="40" spans="1:8" ht="15.95" customHeight="1" x14ac:dyDescent="0.2">
      <c r="A40" s="3"/>
      <c r="B40" s="3"/>
      <c r="C40" s="3"/>
      <c r="D40" s="6"/>
      <c r="E40" s="6"/>
      <c r="F40" s="9"/>
      <c r="G40" s="6"/>
      <c r="H40" s="6"/>
    </row>
    <row r="41" spans="1:8" ht="15.95" customHeight="1" x14ac:dyDescent="0.2">
      <c r="B41" s="3"/>
      <c r="C41" s="3"/>
      <c r="D41" s="6"/>
      <c r="E41" s="6"/>
      <c r="F41" s="9"/>
      <c r="G41" s="6"/>
      <c r="H41" s="6"/>
    </row>
    <row r="42" spans="1:8" ht="15.95" customHeight="1" x14ac:dyDescent="0.2">
      <c r="B42" s="3"/>
      <c r="C42" s="3"/>
      <c r="D42" s="6"/>
      <c r="E42" s="6"/>
      <c r="F42" s="9"/>
      <c r="G42" s="6"/>
      <c r="H42" s="6"/>
    </row>
    <row r="43" spans="1:8" ht="15.95" customHeight="1" x14ac:dyDescent="0.2">
      <c r="B43" s="3"/>
      <c r="C43" s="3"/>
      <c r="D43" s="6"/>
      <c r="E43" s="6"/>
      <c r="F43" s="9"/>
      <c r="G43" s="6"/>
      <c r="H43" s="6"/>
    </row>
    <row r="44" spans="1:8" ht="15.95" customHeight="1" x14ac:dyDescent="0.2">
      <c r="A44" s="3"/>
      <c r="B44" s="3"/>
      <c r="C44" s="3"/>
      <c r="D44" s="6"/>
      <c r="E44" s="6"/>
      <c r="F44" s="9"/>
      <c r="G44" s="6"/>
      <c r="H44" s="6"/>
    </row>
    <row r="46" spans="1:8" ht="15.95" customHeight="1" x14ac:dyDescent="0.2">
      <c r="B46" s="3"/>
      <c r="C46" s="3"/>
      <c r="D46" s="6"/>
      <c r="E46" s="6"/>
      <c r="H46" s="6"/>
    </row>
    <row r="47" spans="1:8" ht="15.95" customHeight="1" x14ac:dyDescent="0.2">
      <c r="B47" s="3"/>
      <c r="C47" s="3"/>
      <c r="D47" s="6"/>
      <c r="E47" s="6"/>
      <c r="H47" s="6"/>
    </row>
    <row r="48" spans="1:8" ht="15.95" customHeight="1" x14ac:dyDescent="0.2">
      <c r="B48" s="3"/>
      <c r="C48" s="3"/>
      <c r="D48" s="6"/>
      <c r="E48" s="6"/>
      <c r="F48" s="9"/>
      <c r="G48" s="6"/>
      <c r="H48" s="6"/>
    </row>
    <row r="49" spans="2:8" ht="15.95" customHeight="1" x14ac:dyDescent="0.2">
      <c r="B49" s="3"/>
      <c r="C49" s="3"/>
      <c r="D49" s="6"/>
      <c r="E49" s="6"/>
      <c r="F49" s="9"/>
      <c r="G49" s="6"/>
      <c r="H49" s="6"/>
    </row>
    <row r="50" spans="2:8" ht="15.95" customHeight="1" x14ac:dyDescent="0.2">
      <c r="B50" s="3"/>
      <c r="C50" s="3"/>
      <c r="D50" s="6"/>
      <c r="E50" s="6"/>
      <c r="F50" s="9"/>
      <c r="G50" s="6"/>
      <c r="H50" s="6"/>
    </row>
    <row r="51" spans="2:8" ht="15.95" customHeight="1" x14ac:dyDescent="0.2">
      <c r="B51" s="3"/>
      <c r="C51" s="3"/>
      <c r="D51" s="6"/>
      <c r="E51" s="6"/>
      <c r="F51" s="9"/>
      <c r="G51" s="6"/>
      <c r="H51" s="6"/>
    </row>
    <row r="52" spans="2:8" ht="15.95" customHeight="1" x14ac:dyDescent="0.2">
      <c r="B52" s="3"/>
      <c r="C52" s="3"/>
      <c r="D52" s="6"/>
      <c r="E52" s="6"/>
      <c r="F52" s="9"/>
      <c r="G52" s="6"/>
      <c r="H52" s="6"/>
    </row>
    <row r="53" spans="2:8" ht="15.95" customHeight="1" x14ac:dyDescent="0.2">
      <c r="B53" s="3"/>
      <c r="C53" s="3"/>
      <c r="D53" s="6"/>
      <c r="E53" s="6"/>
      <c r="F53" s="9"/>
      <c r="G53" s="6"/>
      <c r="H53" s="6"/>
    </row>
    <row r="54" spans="2:8" ht="15.95" customHeight="1" x14ac:dyDescent="0.2">
      <c r="B54" s="3"/>
      <c r="C54" s="3"/>
      <c r="D54" s="6"/>
      <c r="E54" s="6"/>
      <c r="F54" s="9"/>
      <c r="G54" s="6"/>
      <c r="H54" s="6"/>
    </row>
    <row r="55" spans="2:8" ht="15.95" customHeight="1" x14ac:dyDescent="0.2">
      <c r="B55" s="3"/>
      <c r="C55" s="3"/>
      <c r="D55" s="6"/>
      <c r="E55" s="6"/>
      <c r="F55" s="9"/>
      <c r="G55" s="6"/>
      <c r="H55" s="6"/>
    </row>
    <row r="56" spans="2:8" ht="15.95" customHeight="1" x14ac:dyDescent="0.2">
      <c r="B56" s="3"/>
      <c r="C56" s="3"/>
      <c r="D56" s="6"/>
      <c r="E56" s="6"/>
      <c r="F56" s="9"/>
      <c r="G56" s="6"/>
      <c r="H56" s="6"/>
    </row>
    <row r="57" spans="2:8" ht="15.95" customHeight="1" x14ac:dyDescent="0.2">
      <c r="B57" s="3"/>
      <c r="C57" s="3"/>
      <c r="D57" s="6"/>
      <c r="E57" s="6"/>
      <c r="F57" s="9"/>
      <c r="G57" s="6"/>
      <c r="H57" s="6"/>
    </row>
    <row r="58" spans="2:8" ht="15.95" customHeight="1" x14ac:dyDescent="0.2">
      <c r="B58" s="3"/>
      <c r="C58" s="3"/>
    </row>
    <row r="59" spans="2:8" ht="15.95" customHeight="1" x14ac:dyDescent="0.2">
      <c r="B59" s="3"/>
      <c r="C59" s="3"/>
      <c r="D59" s="6"/>
      <c r="E59" s="6"/>
      <c r="H59" s="6"/>
    </row>
    <row r="60" spans="2:8" ht="15.95" customHeight="1" x14ac:dyDescent="0.2">
      <c r="B60" s="3"/>
      <c r="C60" s="3"/>
      <c r="D60" s="6"/>
      <c r="E60" s="6"/>
      <c r="H60" s="6"/>
    </row>
    <row r="61" spans="2:8" ht="15.95" customHeight="1" x14ac:dyDescent="0.2">
      <c r="B61" s="3"/>
      <c r="C61" s="3"/>
      <c r="D61" s="6"/>
      <c r="E61" s="6"/>
      <c r="F61" s="9"/>
      <c r="G61" s="6"/>
      <c r="H61" s="6"/>
    </row>
    <row r="62" spans="2:8" ht="15.95" customHeight="1" x14ac:dyDescent="0.2">
      <c r="B62" s="3"/>
      <c r="C62" s="3"/>
      <c r="D62" s="6"/>
      <c r="E62" s="6"/>
      <c r="F62" s="9"/>
      <c r="G62" s="6"/>
      <c r="H62" s="6"/>
    </row>
    <row r="63" spans="2:8" ht="15.95" customHeight="1" x14ac:dyDescent="0.2">
      <c r="B63" s="3"/>
      <c r="C63" s="3"/>
      <c r="D63" s="6"/>
      <c r="E63" s="6"/>
      <c r="F63" s="9"/>
      <c r="G63" s="6"/>
      <c r="H63" s="6"/>
    </row>
    <row r="64" spans="2:8" ht="15.95" customHeight="1" x14ac:dyDescent="0.2">
      <c r="B64" s="3"/>
      <c r="C64" s="3"/>
      <c r="D64" s="6"/>
      <c r="E64" s="6"/>
      <c r="F64" s="9"/>
      <c r="G64" s="6"/>
      <c r="H64" s="6"/>
    </row>
    <row r="65" spans="1:8" ht="15.95" customHeight="1" x14ac:dyDescent="0.2">
      <c r="B65" s="3"/>
      <c r="C65" s="3"/>
      <c r="D65" s="6"/>
      <c r="E65" s="6"/>
      <c r="F65" s="9"/>
      <c r="G65" s="6"/>
      <c r="H65" s="6"/>
    </row>
    <row r="66" spans="1:8" ht="15.95" customHeight="1" x14ac:dyDescent="0.2">
      <c r="B66" s="3"/>
      <c r="C66" s="3"/>
      <c r="D66" s="6"/>
      <c r="E66" s="6"/>
      <c r="F66" s="9"/>
      <c r="G66" s="6"/>
      <c r="H66" s="6"/>
    </row>
    <row r="67" spans="1:8" ht="15.95" customHeight="1" x14ac:dyDescent="0.2">
      <c r="B67" s="3"/>
      <c r="C67" s="3"/>
      <c r="D67" s="6"/>
      <c r="E67" s="6"/>
      <c r="F67" s="9"/>
      <c r="G67" s="6"/>
      <c r="H67" s="6"/>
    </row>
    <row r="68" spans="1:8" ht="15.95" customHeight="1" x14ac:dyDescent="0.2">
      <c r="B68" s="3"/>
      <c r="C68" s="3"/>
      <c r="D68" s="6"/>
      <c r="E68" s="6"/>
      <c r="F68" s="9"/>
      <c r="G68" s="6"/>
      <c r="H68" s="6"/>
    </row>
    <row r="69" spans="1:8" ht="15.95" customHeight="1" x14ac:dyDescent="0.2">
      <c r="B69" s="3"/>
      <c r="C69" s="3"/>
      <c r="D69" s="6"/>
      <c r="E69" s="6"/>
      <c r="F69" s="9"/>
      <c r="G69" s="6"/>
      <c r="H69" s="6"/>
    </row>
    <row r="70" spans="1:8" ht="15.95" customHeight="1" x14ac:dyDescent="0.2">
      <c r="B70" s="3"/>
      <c r="C70" s="3"/>
      <c r="D70" s="6"/>
      <c r="E70" s="6"/>
      <c r="F70" s="9"/>
      <c r="G70" s="6"/>
      <c r="H70" s="6"/>
    </row>
    <row r="71" spans="1:8" ht="15.95" customHeight="1" x14ac:dyDescent="0.2">
      <c r="B71" s="3"/>
      <c r="C71" s="3"/>
    </row>
    <row r="72" spans="1:8" ht="15.95" customHeight="1" x14ac:dyDescent="0.2">
      <c r="B72" s="3"/>
      <c r="C72" s="3"/>
      <c r="D72" s="6"/>
      <c r="E72" s="6"/>
      <c r="H72" s="6"/>
    </row>
    <row r="73" spans="1:8" ht="15.95" customHeight="1" x14ac:dyDescent="0.2">
      <c r="B73" s="3"/>
      <c r="C73" s="3"/>
      <c r="D73" s="6"/>
      <c r="E73" s="6"/>
      <c r="H73" s="6"/>
    </row>
    <row r="74" spans="1:8" ht="15.95" customHeight="1" x14ac:dyDescent="0.2">
      <c r="B74" s="3"/>
      <c r="C74" s="3"/>
      <c r="D74" s="6"/>
      <c r="E74" s="6"/>
      <c r="F74" s="9"/>
      <c r="G74" s="6"/>
      <c r="H74" s="6"/>
    </row>
    <row r="75" spans="1:8" ht="15.95" customHeight="1" x14ac:dyDescent="0.2">
      <c r="B75" s="3"/>
      <c r="C75" s="3"/>
      <c r="D75" s="6"/>
      <c r="E75" s="6"/>
      <c r="F75" s="9"/>
      <c r="G75" s="6"/>
      <c r="H75" s="6"/>
    </row>
    <row r="76" spans="1:8" ht="15.95" customHeight="1" x14ac:dyDescent="0.2">
      <c r="B76" s="3"/>
      <c r="C76" s="3"/>
      <c r="D76" s="6"/>
      <c r="E76" s="6"/>
      <c r="F76" s="9"/>
      <c r="G76" s="6"/>
      <c r="H76" s="6"/>
    </row>
    <row r="77" spans="1:8" ht="15.95" customHeight="1" x14ac:dyDescent="0.2">
      <c r="A77" s="3"/>
      <c r="B77" s="3"/>
      <c r="C77" s="3"/>
      <c r="D77" s="6"/>
      <c r="E77" s="6"/>
      <c r="F77" s="9"/>
      <c r="G77" s="6"/>
      <c r="H77" s="6"/>
    </row>
    <row r="78" spans="1:8" ht="15.95" customHeight="1" x14ac:dyDescent="0.2">
      <c r="B78" s="3"/>
      <c r="C78" s="3"/>
      <c r="D78" s="6"/>
      <c r="E78" s="6"/>
      <c r="F78" s="9"/>
      <c r="G78" s="6"/>
      <c r="H78" s="6"/>
    </row>
    <row r="79" spans="1:8" ht="15.95" customHeight="1" x14ac:dyDescent="0.2">
      <c r="B79" s="3"/>
      <c r="C79" s="3"/>
      <c r="D79" s="6"/>
      <c r="E79" s="6"/>
      <c r="F79" s="9"/>
      <c r="G79" s="6"/>
      <c r="H79" s="6"/>
    </row>
    <row r="80" spans="1:8" ht="15.95" customHeight="1" x14ac:dyDescent="0.2">
      <c r="B80" s="3"/>
      <c r="C80" s="3"/>
      <c r="D80" s="6"/>
      <c r="E80" s="6"/>
      <c r="F80" s="9"/>
      <c r="G80" s="6"/>
      <c r="H80" s="6"/>
    </row>
    <row r="81" spans="1:8" ht="15.95" customHeight="1" x14ac:dyDescent="0.2">
      <c r="B81" s="3"/>
      <c r="C81" s="3"/>
      <c r="D81" s="6"/>
      <c r="E81" s="6"/>
      <c r="F81" s="9"/>
      <c r="G81" s="6"/>
      <c r="H81" s="6"/>
    </row>
    <row r="82" spans="1:8" ht="15.95" customHeight="1" x14ac:dyDescent="0.2">
      <c r="B82" s="3"/>
      <c r="C82" s="3"/>
      <c r="D82" s="6"/>
      <c r="E82" s="6"/>
      <c r="F82" s="9"/>
      <c r="G82" s="6"/>
      <c r="H82" s="6"/>
    </row>
    <row r="83" spans="1:8" ht="15.95" customHeight="1" x14ac:dyDescent="0.2">
      <c r="B83" s="3"/>
      <c r="C83" s="3"/>
      <c r="D83" s="6"/>
      <c r="E83" s="6"/>
      <c r="F83" s="9"/>
      <c r="G83" s="6"/>
      <c r="H83" s="6"/>
    </row>
    <row r="84" spans="1:8" ht="15.95" customHeight="1" x14ac:dyDescent="0.2">
      <c r="B84" s="3"/>
      <c r="C84" s="3"/>
    </row>
    <row r="85" spans="1:8" ht="15.95" customHeight="1" x14ac:dyDescent="0.2">
      <c r="B85" s="3"/>
      <c r="C85" s="3"/>
      <c r="D85" s="6"/>
      <c r="E85" s="6"/>
      <c r="H85" s="6"/>
    </row>
    <row r="86" spans="1:8" ht="15.95" customHeight="1" x14ac:dyDescent="0.2">
      <c r="B86" s="3"/>
      <c r="C86" s="3"/>
      <c r="D86" s="6"/>
      <c r="E86" s="6"/>
      <c r="H86" s="6"/>
    </row>
    <row r="87" spans="1:8" ht="15.95" customHeight="1" x14ac:dyDescent="0.2">
      <c r="B87" s="3"/>
      <c r="C87" s="3"/>
      <c r="D87" s="6"/>
      <c r="E87" s="6"/>
      <c r="F87" s="9"/>
      <c r="G87" s="6"/>
      <c r="H87" s="6"/>
    </row>
    <row r="88" spans="1:8" ht="15.95" customHeight="1" x14ac:dyDescent="0.2">
      <c r="B88" s="3"/>
      <c r="C88" s="3"/>
      <c r="D88" s="6"/>
      <c r="E88" s="6"/>
      <c r="F88" s="9"/>
      <c r="G88" s="6"/>
      <c r="H88" s="6"/>
    </row>
    <row r="89" spans="1:8" ht="15.95" customHeight="1" x14ac:dyDescent="0.2">
      <c r="B89" s="3"/>
      <c r="C89" s="3"/>
      <c r="D89" s="6"/>
      <c r="E89" s="6"/>
      <c r="F89" s="9"/>
      <c r="G89" s="6"/>
      <c r="H89" s="6"/>
    </row>
    <row r="90" spans="1:8" ht="15.95" customHeight="1" x14ac:dyDescent="0.2">
      <c r="B90" s="3"/>
      <c r="C90" s="3"/>
      <c r="D90" s="6"/>
      <c r="E90" s="6"/>
      <c r="F90" s="9"/>
      <c r="G90" s="6"/>
      <c r="H90" s="6"/>
    </row>
    <row r="91" spans="1:8" ht="15.95" customHeight="1" x14ac:dyDescent="0.2">
      <c r="B91" s="3"/>
      <c r="C91" s="3"/>
      <c r="D91" s="6"/>
      <c r="E91" s="6"/>
      <c r="F91" s="9"/>
      <c r="G91" s="6"/>
      <c r="H91" s="6"/>
    </row>
    <row r="92" spans="1:8" ht="15.95" customHeight="1" x14ac:dyDescent="0.2">
      <c r="B92" s="3"/>
      <c r="C92" s="3"/>
      <c r="D92" s="6"/>
      <c r="E92" s="6"/>
      <c r="F92" s="9"/>
      <c r="G92" s="6"/>
      <c r="H92" s="6"/>
    </row>
    <row r="93" spans="1:8" ht="15.95" customHeight="1" x14ac:dyDescent="0.2">
      <c r="B93" s="3"/>
      <c r="C93" s="3"/>
      <c r="D93" s="6"/>
      <c r="E93" s="6"/>
      <c r="F93" s="9"/>
      <c r="G93" s="6"/>
      <c r="H93" s="6"/>
    </row>
    <row r="94" spans="1:8" ht="15.95" customHeight="1" x14ac:dyDescent="0.2">
      <c r="B94" s="3"/>
      <c r="C94" s="3"/>
      <c r="D94" s="6"/>
      <c r="E94" s="6"/>
      <c r="F94" s="9"/>
      <c r="G94" s="6"/>
      <c r="H94" s="6"/>
    </row>
    <row r="95" spans="1:8" ht="15.95" customHeight="1" x14ac:dyDescent="0.2">
      <c r="B95" s="3"/>
      <c r="C95" s="3"/>
      <c r="D95" s="6"/>
      <c r="E95" s="6"/>
      <c r="F95" s="9"/>
      <c r="G95" s="6"/>
      <c r="H95" s="6"/>
    </row>
    <row r="96" spans="1:8" ht="15.95" customHeight="1" x14ac:dyDescent="0.2">
      <c r="A96" s="3"/>
      <c r="B96" s="3"/>
      <c r="C96" s="3"/>
      <c r="D96" s="6"/>
      <c r="E96" s="6"/>
      <c r="F96" s="9"/>
      <c r="G96" s="6"/>
      <c r="H96" s="6"/>
    </row>
    <row r="97" spans="4:8" ht="15.95" customHeight="1" x14ac:dyDescent="0.2">
      <c r="H97" s="16"/>
    </row>
    <row r="98" spans="4:8" ht="15.95" customHeight="1" x14ac:dyDescent="0.2">
      <c r="D98" s="6"/>
      <c r="E98" s="6"/>
      <c r="H98" s="6"/>
    </row>
    <row r="99" spans="4:8" ht="15.95" customHeight="1" x14ac:dyDescent="0.2">
      <c r="D99" s="6"/>
      <c r="E99" s="6"/>
      <c r="H99" s="6"/>
    </row>
    <row r="100" spans="4:8" ht="15.95" customHeight="1" x14ac:dyDescent="0.2">
      <c r="D100" s="6"/>
      <c r="E100" s="6"/>
      <c r="F100" s="9"/>
      <c r="G100" s="6"/>
      <c r="H100" s="6"/>
    </row>
    <row r="101" spans="4:8" ht="15.95" customHeight="1" x14ac:dyDescent="0.2">
      <c r="D101" s="6"/>
      <c r="E101" s="6"/>
      <c r="F101" s="9"/>
      <c r="G101" s="6"/>
      <c r="H101" s="6"/>
    </row>
    <row r="102" spans="4:8" ht="15.95" customHeight="1" x14ac:dyDescent="0.2">
      <c r="D102" s="6"/>
      <c r="E102" s="6"/>
      <c r="F102" s="9"/>
      <c r="G102" s="6"/>
      <c r="H102" s="6"/>
    </row>
    <row r="103" spans="4:8" ht="15.95" customHeight="1" x14ac:dyDescent="0.2">
      <c r="D103" s="6"/>
      <c r="E103" s="6"/>
      <c r="F103" s="9"/>
      <c r="G103" s="6"/>
      <c r="H103" s="6"/>
    </row>
    <row r="104" spans="4:8" ht="15.95" customHeight="1" x14ac:dyDescent="0.2">
      <c r="D104" s="6"/>
      <c r="E104" s="6"/>
      <c r="F104" s="9"/>
      <c r="G104" s="6"/>
      <c r="H104" s="6"/>
    </row>
    <row r="105" spans="4:8" ht="15.95" customHeight="1" x14ac:dyDescent="0.2">
      <c r="D105" s="6"/>
      <c r="E105" s="6"/>
      <c r="F105" s="9"/>
      <c r="G105" s="6"/>
      <c r="H105" s="6"/>
    </row>
    <row r="106" spans="4:8" ht="15.95" customHeight="1" x14ac:dyDescent="0.2">
      <c r="D106" s="6"/>
      <c r="E106" s="6"/>
      <c r="F106" s="9"/>
      <c r="G106" s="6"/>
      <c r="H106" s="6"/>
    </row>
    <row r="107" spans="4:8" ht="15.95" customHeight="1" x14ac:dyDescent="0.2">
      <c r="D107" s="6"/>
      <c r="E107" s="6"/>
      <c r="F107" s="9"/>
      <c r="G107" s="6"/>
      <c r="H107" s="6"/>
    </row>
    <row r="108" spans="4:8" ht="15.95" customHeight="1" x14ac:dyDescent="0.2">
      <c r="D108" s="6"/>
      <c r="E108" s="6"/>
      <c r="F108" s="9"/>
      <c r="G108" s="6"/>
      <c r="H108" s="6"/>
    </row>
    <row r="109" spans="4:8" ht="15.95" customHeight="1" x14ac:dyDescent="0.2">
      <c r="D109" s="6"/>
      <c r="E109" s="6"/>
      <c r="F109" s="9"/>
      <c r="G109" s="6"/>
      <c r="H109" s="6"/>
    </row>
    <row r="110" spans="4:8" ht="15.95" customHeight="1" x14ac:dyDescent="0.2">
      <c r="H110" s="16"/>
    </row>
    <row r="111" spans="4:8" ht="15.95" customHeight="1" x14ac:dyDescent="0.2">
      <c r="D111" s="6"/>
      <c r="E111" s="6"/>
      <c r="H111" s="6"/>
    </row>
    <row r="112" spans="4:8" ht="15.95" customHeight="1" x14ac:dyDescent="0.2">
      <c r="D112" s="6"/>
      <c r="E112" s="6"/>
      <c r="H112" s="6"/>
    </row>
    <row r="113" spans="4:8" ht="15.95" customHeight="1" x14ac:dyDescent="0.2">
      <c r="D113" s="6"/>
      <c r="E113" s="6"/>
      <c r="F113" s="9"/>
      <c r="G113" s="6"/>
      <c r="H113" s="6"/>
    </row>
    <row r="114" spans="4:8" ht="15.95" customHeight="1" x14ac:dyDescent="0.2">
      <c r="D114" s="6"/>
      <c r="E114" s="6"/>
      <c r="F114" s="9"/>
      <c r="G114" s="6"/>
      <c r="H114" s="6"/>
    </row>
    <row r="115" spans="4:8" ht="15.95" customHeight="1" x14ac:dyDescent="0.2">
      <c r="D115" s="6"/>
      <c r="E115" s="6"/>
      <c r="F115" s="9"/>
      <c r="G115" s="6"/>
      <c r="H115" s="6"/>
    </row>
    <row r="116" spans="4:8" ht="15.95" customHeight="1" x14ac:dyDescent="0.2">
      <c r="D116" s="6"/>
      <c r="E116" s="6"/>
      <c r="F116" s="9"/>
      <c r="G116" s="6"/>
      <c r="H116" s="6"/>
    </row>
    <row r="117" spans="4:8" ht="15.95" customHeight="1" x14ac:dyDescent="0.2">
      <c r="D117" s="6"/>
      <c r="E117" s="6"/>
      <c r="F117" s="9"/>
      <c r="G117" s="6"/>
      <c r="H117" s="6"/>
    </row>
    <row r="118" spans="4:8" ht="15.95" customHeight="1" x14ac:dyDescent="0.2">
      <c r="D118" s="6"/>
      <c r="E118" s="6"/>
      <c r="F118" s="9"/>
      <c r="G118" s="6"/>
      <c r="H118" s="6"/>
    </row>
    <row r="119" spans="4:8" ht="15.95" customHeight="1" x14ac:dyDescent="0.2">
      <c r="D119" s="6"/>
      <c r="E119" s="6"/>
      <c r="F119" s="9"/>
      <c r="G119" s="6"/>
      <c r="H119" s="6"/>
    </row>
    <row r="120" spans="4:8" ht="15.95" customHeight="1" x14ac:dyDescent="0.2">
      <c r="D120" s="6"/>
      <c r="E120" s="6"/>
      <c r="F120" s="9"/>
      <c r="G120" s="6"/>
      <c r="H120" s="6"/>
    </row>
    <row r="121" spans="4:8" ht="15.95" customHeight="1" x14ac:dyDescent="0.2">
      <c r="D121" s="6"/>
      <c r="E121" s="6"/>
      <c r="F121" s="9"/>
      <c r="G121" s="6"/>
      <c r="H121" s="6"/>
    </row>
    <row r="122" spans="4:8" ht="15.95" customHeight="1" x14ac:dyDescent="0.2">
      <c r="D122" s="6"/>
      <c r="E122" s="6"/>
      <c r="F122" s="9"/>
      <c r="G122" s="6"/>
      <c r="H122" s="6"/>
    </row>
    <row r="123" spans="4:8" ht="15.95" customHeight="1" x14ac:dyDescent="0.2">
      <c r="H123" s="16"/>
    </row>
    <row r="124" spans="4:8" ht="15.95" customHeight="1" x14ac:dyDescent="0.2">
      <c r="D124" s="6"/>
      <c r="E124" s="6"/>
      <c r="H124" s="6"/>
    </row>
    <row r="125" spans="4:8" ht="15.95" customHeight="1" x14ac:dyDescent="0.2">
      <c r="D125" s="6"/>
      <c r="E125" s="6"/>
      <c r="H125" s="6"/>
    </row>
    <row r="126" spans="4:8" ht="15.95" customHeight="1" x14ac:dyDescent="0.2">
      <c r="D126" s="6"/>
      <c r="E126" s="6"/>
      <c r="F126" s="9"/>
      <c r="G126" s="6"/>
      <c r="H126" s="6"/>
    </row>
    <row r="127" spans="4:8" ht="15.95" customHeight="1" x14ac:dyDescent="0.2">
      <c r="D127" s="6"/>
      <c r="E127" s="6"/>
      <c r="F127" s="9"/>
      <c r="G127" s="6"/>
      <c r="H127" s="6"/>
    </row>
    <row r="128" spans="4:8" ht="15.95" customHeight="1" x14ac:dyDescent="0.2">
      <c r="D128" s="6"/>
      <c r="E128" s="6"/>
      <c r="F128" s="9"/>
      <c r="G128" s="6"/>
      <c r="H128" s="6"/>
    </row>
    <row r="129" spans="4:8" ht="15.95" customHeight="1" x14ac:dyDescent="0.2">
      <c r="D129" s="6"/>
      <c r="E129" s="6"/>
      <c r="F129" s="9"/>
      <c r="G129" s="6"/>
      <c r="H129" s="6"/>
    </row>
    <row r="130" spans="4:8" ht="15.95" customHeight="1" x14ac:dyDescent="0.2">
      <c r="D130" s="6"/>
      <c r="E130" s="6"/>
      <c r="F130" s="9"/>
      <c r="G130" s="6"/>
      <c r="H130" s="6"/>
    </row>
    <row r="131" spans="4:8" ht="15.95" customHeight="1" x14ac:dyDescent="0.2">
      <c r="D131" s="6"/>
      <c r="E131" s="6"/>
      <c r="F131" s="9"/>
      <c r="G131" s="6"/>
      <c r="H131" s="6"/>
    </row>
    <row r="132" spans="4:8" ht="15.95" customHeight="1" x14ac:dyDescent="0.2">
      <c r="D132" s="6"/>
      <c r="E132" s="6"/>
      <c r="F132" s="9"/>
      <c r="G132" s="6"/>
      <c r="H132" s="6"/>
    </row>
    <row r="133" spans="4:8" ht="15.95" customHeight="1" x14ac:dyDescent="0.2">
      <c r="D133" s="6"/>
      <c r="E133" s="6"/>
      <c r="F133" s="9"/>
      <c r="G133" s="6"/>
      <c r="H133" s="6"/>
    </row>
    <row r="134" spans="4:8" ht="15.95" customHeight="1" x14ac:dyDescent="0.2">
      <c r="D134" s="6"/>
      <c r="E134" s="6"/>
      <c r="F134" s="9"/>
      <c r="G134" s="6"/>
      <c r="H134" s="6"/>
    </row>
    <row r="135" spans="4:8" ht="15.95" customHeight="1" x14ac:dyDescent="0.2">
      <c r="D135" s="6"/>
      <c r="E135" s="6"/>
      <c r="F135" s="9"/>
      <c r="G135" s="6"/>
      <c r="H135" s="6"/>
    </row>
    <row r="136" spans="4:8" ht="15.95" customHeight="1" x14ac:dyDescent="0.2">
      <c r="H136" s="16"/>
    </row>
    <row r="137" spans="4:8" ht="15.95" customHeight="1" x14ac:dyDescent="0.2">
      <c r="D137" s="6"/>
      <c r="E137" s="6"/>
      <c r="H137" s="6"/>
    </row>
    <row r="138" spans="4:8" ht="15.95" customHeight="1" x14ac:dyDescent="0.2">
      <c r="D138" s="6"/>
      <c r="E138" s="6"/>
      <c r="H138" s="6"/>
    </row>
    <row r="139" spans="4:8" ht="15.95" customHeight="1" x14ac:dyDescent="0.2">
      <c r="D139" s="6"/>
      <c r="E139" s="6"/>
      <c r="F139" s="9"/>
      <c r="G139" s="6"/>
      <c r="H139" s="6"/>
    </row>
    <row r="140" spans="4:8" ht="15.95" customHeight="1" x14ac:dyDescent="0.2">
      <c r="D140" s="6"/>
      <c r="E140" s="6"/>
      <c r="F140" s="9"/>
      <c r="G140" s="6"/>
      <c r="H140" s="6"/>
    </row>
    <row r="141" spans="4:8" ht="15.95" customHeight="1" x14ac:dyDescent="0.2">
      <c r="D141" s="6"/>
      <c r="E141" s="6"/>
      <c r="F141" s="9"/>
      <c r="G141" s="6"/>
      <c r="H141" s="6"/>
    </row>
    <row r="142" spans="4:8" ht="15.95" customHeight="1" x14ac:dyDescent="0.2">
      <c r="D142" s="6"/>
      <c r="E142" s="6"/>
      <c r="F142" s="9"/>
      <c r="G142" s="6"/>
      <c r="H142" s="6"/>
    </row>
    <row r="143" spans="4:8" ht="15.95" customHeight="1" x14ac:dyDescent="0.2">
      <c r="D143" s="6"/>
      <c r="E143" s="6"/>
      <c r="F143" s="9"/>
      <c r="G143" s="6"/>
      <c r="H143" s="6"/>
    </row>
    <row r="144" spans="4:8" ht="15.95" customHeight="1" x14ac:dyDescent="0.2">
      <c r="D144" s="6"/>
      <c r="E144" s="6"/>
      <c r="F144" s="9"/>
      <c r="G144" s="6"/>
      <c r="H144" s="6"/>
    </row>
    <row r="145" spans="4:8" ht="15.95" customHeight="1" x14ac:dyDescent="0.2">
      <c r="D145" s="6"/>
      <c r="E145" s="6"/>
      <c r="F145" s="9"/>
      <c r="G145" s="6"/>
      <c r="H145" s="6"/>
    </row>
    <row r="146" spans="4:8" ht="15.95" customHeight="1" x14ac:dyDescent="0.2">
      <c r="D146" s="6"/>
      <c r="E146" s="6"/>
      <c r="F146" s="9"/>
      <c r="G146" s="6"/>
      <c r="H146" s="6"/>
    </row>
    <row r="147" spans="4:8" ht="15.95" customHeight="1" x14ac:dyDescent="0.2">
      <c r="D147" s="6"/>
      <c r="E147" s="6"/>
      <c r="F147" s="9"/>
      <c r="G147" s="6"/>
      <c r="H147" s="6"/>
    </row>
    <row r="148" spans="4:8" ht="15.95" customHeight="1" x14ac:dyDescent="0.2">
      <c r="D148" s="6"/>
      <c r="E148" s="6"/>
      <c r="F148" s="9"/>
      <c r="G148" s="6"/>
      <c r="H148" s="6"/>
    </row>
  </sheetData>
  <mergeCells count="1">
    <mergeCell ref="B8:C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01A1-2BF6-4F59-8E60-F6F5E0968FFD}">
  <sheetPr>
    <tabColor rgb="FFFFFF00"/>
  </sheetPr>
  <dimension ref="A1:O63"/>
  <sheetViews>
    <sheetView workbookViewId="0">
      <selection activeCell="J23" sqref="J23"/>
    </sheetView>
  </sheetViews>
  <sheetFormatPr defaultColWidth="12.42578125" defaultRowHeight="15.95" customHeight="1" x14ac:dyDescent="0.2"/>
  <cols>
    <col min="1" max="1" width="32.42578125" style="13" customWidth="1"/>
    <col min="2" max="15" width="10.28515625" style="1" customWidth="1"/>
    <col min="16" max="256" width="10.140625" style="13" customWidth="1"/>
    <col min="257" max="257" width="14.7109375" style="13" customWidth="1"/>
    <col min="258" max="258" width="11.42578125" style="13" bestFit="1" customWidth="1"/>
    <col min="259" max="512" width="10.140625" style="13" customWidth="1"/>
    <col min="513" max="513" width="14.7109375" style="13" customWidth="1"/>
    <col min="514" max="514" width="11.42578125" style="13" bestFit="1" customWidth="1"/>
    <col min="515" max="768" width="10.140625" style="13" customWidth="1"/>
    <col min="769" max="769" width="14.7109375" style="13" customWidth="1"/>
    <col min="770" max="770" width="11.42578125" style="13" bestFit="1" customWidth="1"/>
    <col min="771" max="1024" width="10.140625" style="13" customWidth="1"/>
    <col min="1025" max="1025" width="14.7109375" style="13" customWidth="1"/>
    <col min="1026" max="1026" width="11.42578125" style="13" bestFit="1" customWidth="1"/>
    <col min="1027" max="1280" width="10.140625" style="13" customWidth="1"/>
    <col min="1281" max="1281" width="14.7109375" style="13" customWidth="1"/>
    <col min="1282" max="1282" width="11.42578125" style="13" bestFit="1" customWidth="1"/>
    <col min="1283" max="1536" width="10.140625" style="13" customWidth="1"/>
    <col min="1537" max="1537" width="14.7109375" style="13" customWidth="1"/>
    <col min="1538" max="1538" width="11.42578125" style="13" bestFit="1" customWidth="1"/>
    <col min="1539" max="1792" width="10.140625" style="13" customWidth="1"/>
    <col min="1793" max="1793" width="14.7109375" style="13" customWidth="1"/>
    <col min="1794" max="1794" width="11.42578125" style="13" bestFit="1" customWidth="1"/>
    <col min="1795" max="2048" width="10.140625" style="13" customWidth="1"/>
    <col min="2049" max="2049" width="14.7109375" style="13" customWidth="1"/>
    <col min="2050" max="2050" width="11.42578125" style="13" bestFit="1" customWidth="1"/>
    <col min="2051" max="2304" width="10.140625" style="13" customWidth="1"/>
    <col min="2305" max="2305" width="14.7109375" style="13" customWidth="1"/>
    <col min="2306" max="2306" width="11.42578125" style="13" bestFit="1" customWidth="1"/>
    <col min="2307" max="2560" width="10.140625" style="13" customWidth="1"/>
    <col min="2561" max="2561" width="14.7109375" style="13" customWidth="1"/>
    <col min="2562" max="2562" width="11.42578125" style="13" bestFit="1" customWidth="1"/>
    <col min="2563" max="2816" width="10.140625" style="13" customWidth="1"/>
    <col min="2817" max="2817" width="14.7109375" style="13" customWidth="1"/>
    <col min="2818" max="2818" width="11.42578125" style="13" bestFit="1" customWidth="1"/>
    <col min="2819" max="3072" width="10.140625" style="13" customWidth="1"/>
    <col min="3073" max="3073" width="14.7109375" style="13" customWidth="1"/>
    <col min="3074" max="3074" width="11.42578125" style="13" bestFit="1" customWidth="1"/>
    <col min="3075" max="3328" width="10.140625" style="13" customWidth="1"/>
    <col min="3329" max="3329" width="14.7109375" style="13" customWidth="1"/>
    <col min="3330" max="3330" width="11.42578125" style="13" bestFit="1" customWidth="1"/>
    <col min="3331" max="3584" width="10.140625" style="13" customWidth="1"/>
    <col min="3585" max="3585" width="14.7109375" style="13" customWidth="1"/>
    <col min="3586" max="3586" width="11.42578125" style="13" bestFit="1" customWidth="1"/>
    <col min="3587" max="3840" width="10.140625" style="13" customWidth="1"/>
    <col min="3841" max="3841" width="14.7109375" style="13" customWidth="1"/>
    <col min="3842" max="3842" width="11.42578125" style="13" bestFit="1" customWidth="1"/>
    <col min="3843" max="4096" width="10.140625" style="13" customWidth="1"/>
    <col min="4097" max="4097" width="14.7109375" style="13" customWidth="1"/>
    <col min="4098" max="4098" width="11.42578125" style="13" bestFit="1" customWidth="1"/>
    <col min="4099" max="4352" width="10.140625" style="13" customWidth="1"/>
    <col min="4353" max="4353" width="14.7109375" style="13" customWidth="1"/>
    <col min="4354" max="4354" width="11.42578125" style="13" bestFit="1" customWidth="1"/>
    <col min="4355" max="4608" width="10.140625" style="13" customWidth="1"/>
    <col min="4609" max="4609" width="14.7109375" style="13" customWidth="1"/>
    <col min="4610" max="4610" width="11.42578125" style="13" bestFit="1" customWidth="1"/>
    <col min="4611" max="4864" width="10.140625" style="13" customWidth="1"/>
    <col min="4865" max="4865" width="14.7109375" style="13" customWidth="1"/>
    <col min="4866" max="4866" width="11.42578125" style="13" bestFit="1" customWidth="1"/>
    <col min="4867" max="5120" width="10.140625" style="13" customWidth="1"/>
    <col min="5121" max="5121" width="14.7109375" style="13" customWidth="1"/>
    <col min="5122" max="5122" width="11.42578125" style="13" bestFit="1" customWidth="1"/>
    <col min="5123" max="5376" width="10.140625" style="13" customWidth="1"/>
    <col min="5377" max="5377" width="14.7109375" style="13" customWidth="1"/>
    <col min="5378" max="5378" width="11.42578125" style="13" bestFit="1" customWidth="1"/>
    <col min="5379" max="5632" width="10.140625" style="13" customWidth="1"/>
    <col min="5633" max="5633" width="14.7109375" style="13" customWidth="1"/>
    <col min="5634" max="5634" width="11.42578125" style="13" bestFit="1" customWidth="1"/>
    <col min="5635" max="5888" width="10.140625" style="13" customWidth="1"/>
    <col min="5889" max="5889" width="14.7109375" style="13" customWidth="1"/>
    <col min="5890" max="5890" width="11.42578125" style="13" bestFit="1" customWidth="1"/>
    <col min="5891" max="6144" width="10.140625" style="13" customWidth="1"/>
    <col min="6145" max="6145" width="14.7109375" style="13" customWidth="1"/>
    <col min="6146" max="6146" width="11.42578125" style="13" bestFit="1" customWidth="1"/>
    <col min="6147" max="6400" width="10.140625" style="13" customWidth="1"/>
    <col min="6401" max="6401" width="14.7109375" style="13" customWidth="1"/>
    <col min="6402" max="6402" width="11.42578125" style="13" bestFit="1" customWidth="1"/>
    <col min="6403" max="6656" width="10.140625" style="13" customWidth="1"/>
    <col min="6657" max="6657" width="14.7109375" style="13" customWidth="1"/>
    <col min="6658" max="6658" width="11.42578125" style="13" bestFit="1" customWidth="1"/>
    <col min="6659" max="6912" width="10.140625" style="13" customWidth="1"/>
    <col min="6913" max="6913" width="14.7109375" style="13" customWidth="1"/>
    <col min="6914" max="6914" width="11.42578125" style="13" bestFit="1" customWidth="1"/>
    <col min="6915" max="7168" width="10.140625" style="13" customWidth="1"/>
    <col min="7169" max="7169" width="14.7109375" style="13" customWidth="1"/>
    <col min="7170" max="7170" width="11.42578125" style="13" bestFit="1" customWidth="1"/>
    <col min="7171" max="7424" width="10.140625" style="13" customWidth="1"/>
    <col min="7425" max="7425" width="14.7109375" style="13" customWidth="1"/>
    <col min="7426" max="7426" width="11.42578125" style="13" bestFit="1" customWidth="1"/>
    <col min="7427" max="7680" width="10.140625" style="13" customWidth="1"/>
    <col min="7681" max="7681" width="14.7109375" style="13" customWidth="1"/>
    <col min="7682" max="7682" width="11.42578125" style="13" bestFit="1" customWidth="1"/>
    <col min="7683" max="7936" width="10.140625" style="13" customWidth="1"/>
    <col min="7937" max="7937" width="14.7109375" style="13" customWidth="1"/>
    <col min="7938" max="7938" width="11.42578125" style="13" bestFit="1" customWidth="1"/>
    <col min="7939" max="8192" width="10.140625" style="13" customWidth="1"/>
    <col min="8193" max="8193" width="14.7109375" style="13" customWidth="1"/>
    <col min="8194" max="8194" width="11.42578125" style="13" bestFit="1" customWidth="1"/>
    <col min="8195" max="8448" width="10.140625" style="13" customWidth="1"/>
    <col min="8449" max="8449" width="14.7109375" style="13" customWidth="1"/>
    <col min="8450" max="8450" width="11.42578125" style="13" bestFit="1" customWidth="1"/>
    <col min="8451" max="8704" width="10.140625" style="13" customWidth="1"/>
    <col min="8705" max="8705" width="14.7109375" style="13" customWidth="1"/>
    <col min="8706" max="8706" width="11.42578125" style="13" bestFit="1" customWidth="1"/>
    <col min="8707" max="8960" width="10.140625" style="13" customWidth="1"/>
    <col min="8961" max="8961" width="14.7109375" style="13" customWidth="1"/>
    <col min="8962" max="8962" width="11.42578125" style="13" bestFit="1" customWidth="1"/>
    <col min="8963" max="9216" width="10.140625" style="13" customWidth="1"/>
    <col min="9217" max="9217" width="14.7109375" style="13" customWidth="1"/>
    <col min="9218" max="9218" width="11.42578125" style="13" bestFit="1" customWidth="1"/>
    <col min="9219" max="9472" width="10.140625" style="13" customWidth="1"/>
    <col min="9473" max="9473" width="14.7109375" style="13" customWidth="1"/>
    <col min="9474" max="9474" width="11.42578125" style="13" bestFit="1" customWidth="1"/>
    <col min="9475" max="9728" width="10.140625" style="13" customWidth="1"/>
    <col min="9729" max="9729" width="14.7109375" style="13" customWidth="1"/>
    <col min="9730" max="9730" width="11.42578125" style="13" bestFit="1" customWidth="1"/>
    <col min="9731" max="9984" width="10.140625" style="13" customWidth="1"/>
    <col min="9985" max="9985" width="14.7109375" style="13" customWidth="1"/>
    <col min="9986" max="9986" width="11.42578125" style="13" bestFit="1" customWidth="1"/>
    <col min="9987" max="10240" width="10.140625" style="13" customWidth="1"/>
    <col min="10241" max="10241" width="14.7109375" style="13" customWidth="1"/>
    <col min="10242" max="10242" width="11.42578125" style="13" bestFit="1" customWidth="1"/>
    <col min="10243" max="10496" width="10.140625" style="13" customWidth="1"/>
    <col min="10497" max="10497" width="14.7109375" style="13" customWidth="1"/>
    <col min="10498" max="10498" width="11.42578125" style="13" bestFit="1" customWidth="1"/>
    <col min="10499" max="10752" width="10.140625" style="13" customWidth="1"/>
    <col min="10753" max="10753" width="14.7109375" style="13" customWidth="1"/>
    <col min="10754" max="10754" width="11.42578125" style="13" bestFit="1" customWidth="1"/>
    <col min="10755" max="11008" width="10.140625" style="13" customWidth="1"/>
    <col min="11009" max="11009" width="14.7109375" style="13" customWidth="1"/>
    <col min="11010" max="11010" width="11.42578125" style="13" bestFit="1" customWidth="1"/>
    <col min="11011" max="11264" width="10.140625" style="13" customWidth="1"/>
    <col min="11265" max="11265" width="14.7109375" style="13" customWidth="1"/>
    <col min="11266" max="11266" width="11.42578125" style="13" bestFit="1" customWidth="1"/>
    <col min="11267" max="11520" width="10.140625" style="13" customWidth="1"/>
    <col min="11521" max="11521" width="14.7109375" style="13" customWidth="1"/>
    <col min="11522" max="11522" width="11.42578125" style="13" bestFit="1" customWidth="1"/>
    <col min="11523" max="11776" width="10.140625" style="13" customWidth="1"/>
    <col min="11777" max="11777" width="14.7109375" style="13" customWidth="1"/>
    <col min="11778" max="11778" width="11.42578125" style="13" bestFit="1" customWidth="1"/>
    <col min="11779" max="12032" width="10.140625" style="13" customWidth="1"/>
    <col min="12033" max="12033" width="14.7109375" style="13" customWidth="1"/>
    <col min="12034" max="12034" width="11.42578125" style="13" bestFit="1" customWidth="1"/>
    <col min="12035" max="12288" width="10.140625" style="13" customWidth="1"/>
    <col min="12289" max="12289" width="14.7109375" style="13" customWidth="1"/>
    <col min="12290" max="12290" width="11.42578125" style="13" bestFit="1" customWidth="1"/>
    <col min="12291" max="12544" width="10.140625" style="13" customWidth="1"/>
    <col min="12545" max="12545" width="14.7109375" style="13" customWidth="1"/>
    <col min="12546" max="12546" width="11.42578125" style="13" bestFit="1" customWidth="1"/>
    <col min="12547" max="12800" width="10.140625" style="13" customWidth="1"/>
    <col min="12801" max="12801" width="14.7109375" style="13" customWidth="1"/>
    <col min="12802" max="12802" width="11.42578125" style="13" bestFit="1" customWidth="1"/>
    <col min="12803" max="13056" width="10.140625" style="13" customWidth="1"/>
    <col min="13057" max="13057" width="14.7109375" style="13" customWidth="1"/>
    <col min="13058" max="13058" width="11.42578125" style="13" bestFit="1" customWidth="1"/>
    <col min="13059" max="13312" width="10.140625" style="13" customWidth="1"/>
    <col min="13313" max="13313" width="14.7109375" style="13" customWidth="1"/>
    <col min="13314" max="13314" width="11.42578125" style="13" bestFit="1" customWidth="1"/>
    <col min="13315" max="13568" width="10.140625" style="13" customWidth="1"/>
    <col min="13569" max="13569" width="14.7109375" style="13" customWidth="1"/>
    <col min="13570" max="13570" width="11.42578125" style="13" bestFit="1" customWidth="1"/>
    <col min="13571" max="13824" width="10.140625" style="13" customWidth="1"/>
    <col min="13825" max="13825" width="14.7109375" style="13" customWidth="1"/>
    <col min="13826" max="13826" width="11.42578125" style="13" bestFit="1" customWidth="1"/>
    <col min="13827" max="14080" width="10.140625" style="13" customWidth="1"/>
    <col min="14081" max="14081" width="14.7109375" style="13" customWidth="1"/>
    <col min="14082" max="14082" width="11.42578125" style="13" bestFit="1" customWidth="1"/>
    <col min="14083" max="14336" width="10.140625" style="13" customWidth="1"/>
    <col min="14337" max="14337" width="14.7109375" style="13" customWidth="1"/>
    <col min="14338" max="14338" width="11.42578125" style="13" bestFit="1" customWidth="1"/>
    <col min="14339" max="14592" width="10.140625" style="13" customWidth="1"/>
    <col min="14593" max="14593" width="14.7109375" style="13" customWidth="1"/>
    <col min="14594" max="14594" width="11.42578125" style="13" bestFit="1" customWidth="1"/>
    <col min="14595" max="14848" width="10.140625" style="13" customWidth="1"/>
    <col min="14849" max="14849" width="14.7109375" style="13" customWidth="1"/>
    <col min="14850" max="14850" width="11.42578125" style="13" bestFit="1" customWidth="1"/>
    <col min="14851" max="15104" width="10.140625" style="13" customWidth="1"/>
    <col min="15105" max="15105" width="14.7109375" style="13" customWidth="1"/>
    <col min="15106" max="15106" width="11.42578125" style="13" bestFit="1" customWidth="1"/>
    <col min="15107" max="15360" width="10.140625" style="13" customWidth="1"/>
    <col min="15361" max="15361" width="14.7109375" style="13" customWidth="1"/>
    <col min="15362" max="15362" width="11.42578125" style="13" bestFit="1" customWidth="1"/>
    <col min="15363" max="15616" width="10.140625" style="13" customWidth="1"/>
    <col min="15617" max="15617" width="14.7109375" style="13" customWidth="1"/>
    <col min="15618" max="15618" width="11.42578125" style="13" bestFit="1" customWidth="1"/>
    <col min="15619" max="15872" width="10.140625" style="13" customWidth="1"/>
    <col min="15873" max="15873" width="14.7109375" style="13" customWidth="1"/>
    <col min="15874" max="15874" width="11.42578125" style="13" bestFit="1" customWidth="1"/>
    <col min="15875" max="16128" width="10.140625" style="13" customWidth="1"/>
    <col min="16129" max="16129" width="14.7109375" style="13" customWidth="1"/>
    <col min="16130" max="16130" width="11.42578125" style="13" bestFit="1" customWidth="1"/>
    <col min="16131" max="16384" width="10.140625" style="13" customWidth="1"/>
  </cols>
  <sheetData>
    <row r="1" spans="1:13" ht="15.95" customHeight="1" x14ac:dyDescent="0.2">
      <c r="A1" s="13" t="s">
        <v>0</v>
      </c>
      <c r="B1" s="2">
        <v>45372</v>
      </c>
      <c r="E1" s="1">
        <v>104</v>
      </c>
      <c r="F1" s="1" t="s">
        <v>1</v>
      </c>
      <c r="G1" s="1">
        <v>8978</v>
      </c>
      <c r="H1" s="3"/>
      <c r="I1" s="1" t="s">
        <v>2</v>
      </c>
      <c r="M1" s="3"/>
    </row>
    <row r="2" spans="1:13" ht="15.95" customHeight="1" x14ac:dyDescent="0.2">
      <c r="A2" s="13" t="s">
        <v>3</v>
      </c>
      <c r="E2" s="1">
        <f>E1*2200*0.53</f>
        <v>121264</v>
      </c>
      <c r="F2" s="1" t="s">
        <v>4</v>
      </c>
      <c r="G2" s="1">
        <v>7984</v>
      </c>
      <c r="H2" s="3"/>
      <c r="K2" s="4"/>
      <c r="M2" s="3"/>
    </row>
    <row r="3" spans="1:13" ht="15.95" customHeight="1" x14ac:dyDescent="0.25">
      <c r="A3" s="13" t="s">
        <v>5</v>
      </c>
      <c r="B3" s="5"/>
      <c r="E3" s="1">
        <v>0.5</v>
      </c>
      <c r="F3" s="1" t="s">
        <v>6</v>
      </c>
      <c r="G3" s="1">
        <v>7792</v>
      </c>
      <c r="H3" s="3"/>
      <c r="K3" s="4"/>
      <c r="M3" s="3"/>
    </row>
    <row r="4" spans="1:13" ht="15.95" customHeight="1" x14ac:dyDescent="0.25">
      <c r="B4" s="5"/>
      <c r="E4" s="1">
        <f>AVERAGE(G1:H5)*10</f>
        <v>77930</v>
      </c>
      <c r="F4" s="1" t="s">
        <v>7</v>
      </c>
      <c r="G4" s="1">
        <v>6418</v>
      </c>
      <c r="H4" s="3"/>
      <c r="K4" s="4"/>
      <c r="M4" s="3"/>
    </row>
    <row r="5" spans="1:13" ht="15.95" customHeight="1" x14ac:dyDescent="0.2">
      <c r="A5" s="15"/>
      <c r="D5" s="6"/>
      <c r="E5" s="6">
        <f>E4/(E3*E2)</f>
        <v>1.2852948937854598</v>
      </c>
      <c r="F5" s="7" t="s">
        <v>8</v>
      </c>
      <c r="H5" s="3"/>
      <c r="I5" s="1" t="s">
        <v>21</v>
      </c>
      <c r="K5" s="4"/>
      <c r="M5" s="3"/>
    </row>
    <row r="6" spans="1:13" ht="15.95" customHeight="1" x14ac:dyDescent="0.2">
      <c r="A6" s="15"/>
      <c r="D6" s="6"/>
      <c r="E6" s="6"/>
      <c r="F6" s="7"/>
      <c r="H6" s="3"/>
      <c r="K6" s="4"/>
      <c r="M6" s="3"/>
    </row>
    <row r="7" spans="1:13" s="1" customFormat="1" ht="15.95" customHeight="1" x14ac:dyDescent="0.25">
      <c r="A7" s="8" t="s">
        <v>25</v>
      </c>
      <c r="B7" s="3"/>
      <c r="C7" s="3"/>
      <c r="D7" s="6"/>
      <c r="E7" s="6"/>
      <c r="F7" s="9"/>
      <c r="G7" s="6"/>
      <c r="H7" s="6"/>
    </row>
    <row r="8" spans="1:13" s="1" customFormat="1" ht="15.95" customHeight="1" x14ac:dyDescent="0.25">
      <c r="B8" s="20" t="s">
        <v>9</v>
      </c>
      <c r="C8" s="20"/>
      <c r="D8" s="10" t="s">
        <v>10</v>
      </c>
      <c r="E8" s="10" t="s">
        <v>11</v>
      </c>
      <c r="F8" s="5" t="s">
        <v>12</v>
      </c>
      <c r="G8" s="5" t="s">
        <v>13</v>
      </c>
      <c r="H8" s="5" t="s">
        <v>14</v>
      </c>
      <c r="I8" s="5"/>
    </row>
    <row r="9" spans="1:13" s="1" customFormat="1" ht="15.95" customHeight="1" x14ac:dyDescent="0.25">
      <c r="A9" s="5" t="s">
        <v>28</v>
      </c>
      <c r="B9" s="3">
        <v>2227</v>
      </c>
      <c r="C9" s="3">
        <v>1907</v>
      </c>
      <c r="D9" s="6">
        <f>AVERAGE(B9:C9,B20:C20)</f>
        <v>1976.5</v>
      </c>
      <c r="E9" s="6"/>
      <c r="H9" s="6">
        <f>J14*100/J14</f>
        <v>100</v>
      </c>
      <c r="L9" s="5" t="s">
        <v>15</v>
      </c>
      <c r="M9" s="5" t="s">
        <v>16</v>
      </c>
    </row>
    <row r="10" spans="1:13" s="1" customFormat="1" ht="15.95" customHeight="1" x14ac:dyDescent="0.25">
      <c r="B10" s="3">
        <v>901</v>
      </c>
      <c r="C10" s="3">
        <v>1103</v>
      </c>
      <c r="D10" s="6"/>
      <c r="E10" s="6"/>
      <c r="H10" s="6"/>
      <c r="J10" s="10" t="s">
        <v>25</v>
      </c>
      <c r="L10" s="3">
        <v>2181</v>
      </c>
      <c r="M10" s="3">
        <v>956</v>
      </c>
    </row>
    <row r="11" spans="1:13" s="1" customFormat="1" ht="15.95" customHeight="1" x14ac:dyDescent="0.2">
      <c r="A11" s="3"/>
      <c r="B11" s="3">
        <v>873</v>
      </c>
      <c r="C11" s="3">
        <v>794</v>
      </c>
      <c r="D11" s="6">
        <f t="shared" ref="D11:D20" si="0">AVERAGE(B11:C11)</f>
        <v>833.5</v>
      </c>
      <c r="E11" s="6">
        <f>D11-$J$16</f>
        <v>21.5</v>
      </c>
      <c r="F11" s="9">
        <v>9.9999999999999995E-7</v>
      </c>
      <c r="G11" s="6">
        <f>LOG(F11)</f>
        <v>-6</v>
      </c>
      <c r="H11" s="6">
        <f>E11*100/$J$14</f>
        <v>1.731950458161313</v>
      </c>
      <c r="J11" s="11" t="s">
        <v>18</v>
      </c>
      <c r="L11" s="3">
        <v>2200</v>
      </c>
      <c r="M11" s="3">
        <v>758</v>
      </c>
    </row>
    <row r="12" spans="1:13" s="1" customFormat="1" ht="15.95" customHeight="1" x14ac:dyDescent="0.25">
      <c r="A12" s="8"/>
      <c r="B12" s="3">
        <v>988</v>
      </c>
      <c r="C12" s="3">
        <v>1004</v>
      </c>
      <c r="D12" s="6">
        <f t="shared" si="0"/>
        <v>996</v>
      </c>
      <c r="E12" s="6">
        <f t="shared" ref="E12:E19" si="1">D12-$J$16</f>
        <v>184</v>
      </c>
      <c r="F12" s="9">
        <f t="shared" ref="F12:F17" si="2">F11*0.3162</f>
        <v>3.1619999999999999E-7</v>
      </c>
      <c r="G12" s="6">
        <f t="shared" ref="G12:G19" si="3">LOG(F12)</f>
        <v>-6.5000381344038098</v>
      </c>
      <c r="H12" s="6">
        <f t="shared" ref="H12:H19" si="4">E12*100/$J$14</f>
        <v>14.822273688450307</v>
      </c>
      <c r="J12" s="11">
        <f>AVERAGE(L10:L25)</f>
        <v>2053.375</v>
      </c>
      <c r="L12" s="3">
        <v>2104</v>
      </c>
      <c r="M12" s="3">
        <v>781</v>
      </c>
    </row>
    <row r="13" spans="1:13" s="1" customFormat="1" ht="15.95" customHeight="1" x14ac:dyDescent="0.2">
      <c r="A13" s="3"/>
      <c r="B13" s="3">
        <v>1234</v>
      </c>
      <c r="C13" s="3">
        <v>1243</v>
      </c>
      <c r="D13" s="6">
        <f t="shared" si="0"/>
        <v>1238.5</v>
      </c>
      <c r="E13" s="6">
        <f t="shared" si="1"/>
        <v>426.5</v>
      </c>
      <c r="F13" s="9">
        <f t="shared" si="2"/>
        <v>9.9982439999999983E-8</v>
      </c>
      <c r="G13" s="6">
        <f t="shared" si="3"/>
        <v>-7.0000762688076197</v>
      </c>
      <c r="H13" s="6">
        <f t="shared" si="4"/>
        <v>34.357063739804651</v>
      </c>
      <c r="J13" s="11" t="s">
        <v>19</v>
      </c>
      <c r="L13" s="3">
        <v>2217</v>
      </c>
      <c r="M13" s="3">
        <v>648</v>
      </c>
    </row>
    <row r="14" spans="1:13" s="1" customFormat="1" ht="15.95" customHeight="1" x14ac:dyDescent="0.2">
      <c r="A14" s="19"/>
      <c r="B14" s="3">
        <v>2215</v>
      </c>
      <c r="C14" s="3">
        <v>1499</v>
      </c>
      <c r="D14" s="6">
        <f t="shared" si="0"/>
        <v>1857</v>
      </c>
      <c r="E14" s="6">
        <f t="shared" si="1"/>
        <v>1045</v>
      </c>
      <c r="F14" s="9">
        <f t="shared" si="2"/>
        <v>3.1614447527999994E-8</v>
      </c>
      <c r="G14" s="6">
        <f t="shared" si="3"/>
        <v>-7.5001144032114295</v>
      </c>
      <c r="H14" s="6">
        <f t="shared" si="4"/>
        <v>84.180847850166145</v>
      </c>
      <c r="J14" s="11">
        <f>J12-J16</f>
        <v>1241.375</v>
      </c>
      <c r="L14" s="3">
        <v>2227</v>
      </c>
      <c r="M14" s="3">
        <v>901</v>
      </c>
    </row>
    <row r="15" spans="1:13" s="1" customFormat="1" ht="15.95" customHeight="1" x14ac:dyDescent="0.2">
      <c r="A15" s="3"/>
      <c r="B15" s="3">
        <v>1750</v>
      </c>
      <c r="C15" s="3">
        <v>1931</v>
      </c>
      <c r="D15" s="6">
        <f t="shared" si="0"/>
        <v>1840.5</v>
      </c>
      <c r="E15" s="6">
        <f t="shared" si="1"/>
        <v>1028.5</v>
      </c>
      <c r="F15" s="9">
        <f t="shared" si="2"/>
        <v>9.9964883083535969E-9</v>
      </c>
      <c r="G15" s="6">
        <f t="shared" si="3"/>
        <v>-8.0001525376152394</v>
      </c>
      <c r="H15" s="6">
        <f t="shared" si="4"/>
        <v>82.851676568321423</v>
      </c>
      <c r="J15" s="11" t="s">
        <v>20</v>
      </c>
      <c r="L15" s="3">
        <v>1907</v>
      </c>
      <c r="M15" s="3">
        <v>1103</v>
      </c>
    </row>
    <row r="16" spans="1:13" s="1" customFormat="1" ht="15.95" customHeight="1" x14ac:dyDescent="0.2">
      <c r="B16" s="3">
        <v>1881</v>
      </c>
      <c r="C16" s="3">
        <v>1857</v>
      </c>
      <c r="D16" s="6">
        <f t="shared" si="0"/>
        <v>1869</v>
      </c>
      <c r="E16" s="6">
        <f t="shared" si="1"/>
        <v>1057</v>
      </c>
      <c r="F16" s="9">
        <f t="shared" si="2"/>
        <v>3.1608896031014071E-9</v>
      </c>
      <c r="G16" s="6">
        <f t="shared" si="3"/>
        <v>-8.5001906720190483</v>
      </c>
      <c r="H16" s="6">
        <f t="shared" si="4"/>
        <v>85.147517873325953</v>
      </c>
      <c r="J16" s="11">
        <f>AVERAGE(M10:M17)</f>
        <v>812</v>
      </c>
      <c r="L16" s="3">
        <v>2220</v>
      </c>
      <c r="M16" s="3">
        <v>661</v>
      </c>
    </row>
    <row r="17" spans="1:13" s="1" customFormat="1" ht="15.95" customHeight="1" x14ac:dyDescent="0.2">
      <c r="A17" s="3"/>
      <c r="B17" s="3">
        <v>1901</v>
      </c>
      <c r="C17" s="3">
        <v>2198</v>
      </c>
      <c r="D17" s="6">
        <f t="shared" si="0"/>
        <v>2049.5</v>
      </c>
      <c r="E17" s="6">
        <f t="shared" si="1"/>
        <v>1237.5</v>
      </c>
      <c r="F17" s="9">
        <f t="shared" si="2"/>
        <v>9.9947329250066484E-10</v>
      </c>
      <c r="G17" s="6">
        <f t="shared" si="3"/>
        <v>-9.0002288064228591</v>
      </c>
      <c r="H17" s="6">
        <f t="shared" si="4"/>
        <v>99.687846138354644</v>
      </c>
      <c r="L17" s="3">
        <v>2665</v>
      </c>
      <c r="M17" s="3">
        <v>688</v>
      </c>
    </row>
    <row r="18" spans="1:13" s="1" customFormat="1" ht="15.95" customHeight="1" x14ac:dyDescent="0.2">
      <c r="B18" s="3">
        <v>2051</v>
      </c>
      <c r="C18" s="3">
        <v>2161</v>
      </c>
      <c r="D18" s="6">
        <f t="shared" si="0"/>
        <v>2106</v>
      </c>
      <c r="E18" s="6">
        <f t="shared" si="1"/>
        <v>1294</v>
      </c>
      <c r="F18" s="9">
        <f>F17*0.3162</f>
        <v>3.1603345508871019E-10</v>
      </c>
      <c r="G18" s="6">
        <f t="shared" si="3"/>
        <v>-9.500266940826668</v>
      </c>
      <c r="H18" s="6">
        <f t="shared" si="4"/>
        <v>104.23925083073205</v>
      </c>
      <c r="L18" s="3">
        <v>1942</v>
      </c>
    </row>
    <row r="19" spans="1:13" s="1" customFormat="1" ht="15.95" customHeight="1" x14ac:dyDescent="0.2">
      <c r="A19" s="3"/>
      <c r="B19" s="3">
        <v>1984</v>
      </c>
      <c r="C19" s="3">
        <v>1791</v>
      </c>
      <c r="D19" s="6">
        <f t="shared" si="0"/>
        <v>1887.5</v>
      </c>
      <c r="E19" s="6">
        <f t="shared" si="1"/>
        <v>1075.5</v>
      </c>
      <c r="F19" s="9">
        <f>F18*0.3162</f>
        <v>9.992977849905016E-11</v>
      </c>
      <c r="G19" s="6">
        <f t="shared" si="3"/>
        <v>-10.000305075230479</v>
      </c>
      <c r="H19" s="6">
        <f t="shared" si="4"/>
        <v>86.637800825697312</v>
      </c>
      <c r="L19" s="3">
        <v>1752</v>
      </c>
    </row>
    <row r="20" spans="1:13" s="1" customFormat="1" ht="15.95" customHeight="1" x14ac:dyDescent="0.2">
      <c r="B20" s="3">
        <v>1869</v>
      </c>
      <c r="C20" s="3">
        <v>1903</v>
      </c>
      <c r="D20" s="6">
        <f t="shared" si="0"/>
        <v>1886</v>
      </c>
      <c r="E20" s="6"/>
      <c r="F20" s="9"/>
      <c r="G20" s="6"/>
      <c r="H20" s="6"/>
      <c r="L20" s="3">
        <v>1875</v>
      </c>
    </row>
    <row r="21" spans="1:13" s="1" customFormat="1" ht="15.95" customHeight="1" x14ac:dyDescent="0.25">
      <c r="A21" s="5"/>
      <c r="B21" s="3"/>
      <c r="C21" s="3"/>
      <c r="L21" s="3">
        <v>1855</v>
      </c>
    </row>
    <row r="22" spans="1:13" s="1" customFormat="1" ht="15.95" customHeight="1" x14ac:dyDescent="0.2">
      <c r="B22" s="3"/>
      <c r="C22" s="3"/>
      <c r="D22" s="6"/>
      <c r="E22" s="6"/>
      <c r="H22" s="6"/>
      <c r="L22" s="3">
        <v>1869</v>
      </c>
    </row>
    <row r="23" spans="1:13" s="1" customFormat="1" ht="15.95" customHeight="1" x14ac:dyDescent="0.2">
      <c r="B23" s="3"/>
      <c r="C23" s="3"/>
      <c r="D23" s="6"/>
      <c r="E23" s="6"/>
      <c r="H23" s="6"/>
      <c r="L23" s="3">
        <v>1903</v>
      </c>
    </row>
    <row r="24" spans="1:13" s="1" customFormat="1" ht="15.95" customHeight="1" x14ac:dyDescent="0.2">
      <c r="A24" s="3"/>
      <c r="B24" s="3"/>
      <c r="C24" s="3"/>
      <c r="D24" s="6"/>
      <c r="E24" s="6"/>
      <c r="F24" s="9"/>
      <c r="G24" s="6"/>
      <c r="H24" s="6"/>
      <c r="L24" s="3">
        <v>2015</v>
      </c>
    </row>
    <row r="25" spans="1:13" s="1" customFormat="1" ht="15.95" customHeight="1" x14ac:dyDescent="0.25">
      <c r="A25" s="8"/>
      <c r="B25" s="3"/>
      <c r="C25" s="3"/>
      <c r="D25" s="6"/>
      <c r="E25" s="6"/>
      <c r="F25" s="9"/>
      <c r="G25" s="6"/>
      <c r="H25" s="6"/>
      <c r="L25" s="3">
        <v>1922</v>
      </c>
    </row>
    <row r="26" spans="1:13" ht="15.95" customHeight="1" x14ac:dyDescent="0.2">
      <c r="D26" s="6"/>
      <c r="E26" s="6"/>
      <c r="H26" s="6"/>
    </row>
    <row r="27" spans="1:13" ht="15.95" customHeight="1" x14ac:dyDescent="0.2">
      <c r="D27" s="6"/>
      <c r="E27" s="6"/>
      <c r="H27" s="6"/>
    </row>
    <row r="28" spans="1:13" ht="15.95" customHeight="1" x14ac:dyDescent="0.2">
      <c r="D28" s="6"/>
      <c r="E28" s="6"/>
      <c r="F28" s="9"/>
      <c r="G28" s="6"/>
      <c r="H28" s="6"/>
    </row>
    <row r="29" spans="1:13" ht="15.95" customHeight="1" x14ac:dyDescent="0.2">
      <c r="D29" s="6"/>
      <c r="E29" s="6"/>
      <c r="F29" s="9"/>
      <c r="G29" s="6"/>
      <c r="H29" s="6"/>
    </row>
    <row r="30" spans="1:13" ht="15.95" customHeight="1" x14ac:dyDescent="0.2">
      <c r="D30" s="6"/>
      <c r="E30" s="6"/>
      <c r="F30" s="9"/>
      <c r="G30" s="6"/>
      <c r="H30" s="6"/>
    </row>
    <row r="31" spans="1:13" ht="15.95" customHeight="1" x14ac:dyDescent="0.2">
      <c r="D31" s="6"/>
      <c r="E31" s="6"/>
      <c r="F31" s="9"/>
      <c r="G31" s="6"/>
      <c r="H31" s="6"/>
    </row>
    <row r="32" spans="1:13" ht="15.95" customHeight="1" x14ac:dyDescent="0.2">
      <c r="D32" s="6"/>
      <c r="E32" s="6"/>
      <c r="F32" s="9"/>
      <c r="G32" s="6"/>
      <c r="H32" s="6"/>
    </row>
    <row r="33" spans="4:8" ht="15.95" customHeight="1" x14ac:dyDescent="0.2">
      <c r="D33" s="6"/>
      <c r="E33" s="6"/>
      <c r="F33" s="9"/>
      <c r="G33" s="6"/>
      <c r="H33" s="6"/>
    </row>
    <row r="34" spans="4:8" ht="15.95" customHeight="1" x14ac:dyDescent="0.2">
      <c r="D34" s="6"/>
      <c r="E34" s="6"/>
      <c r="F34" s="9"/>
      <c r="G34" s="6"/>
      <c r="H34" s="6"/>
    </row>
    <row r="35" spans="4:8" ht="15.95" customHeight="1" x14ac:dyDescent="0.2">
      <c r="D35" s="6"/>
      <c r="E35" s="6"/>
      <c r="F35" s="9"/>
      <c r="G35" s="6"/>
      <c r="H35" s="6"/>
    </row>
    <row r="36" spans="4:8" ht="15.95" customHeight="1" x14ac:dyDescent="0.2">
      <c r="D36" s="6"/>
      <c r="E36" s="6"/>
      <c r="F36" s="9"/>
      <c r="G36" s="6"/>
      <c r="H36" s="6"/>
    </row>
    <row r="37" spans="4:8" ht="15.95" customHeight="1" x14ac:dyDescent="0.2">
      <c r="D37" s="6"/>
      <c r="E37" s="6"/>
      <c r="F37" s="9"/>
      <c r="G37" s="6"/>
      <c r="H37" s="6"/>
    </row>
    <row r="38" spans="4:8" ht="15.95" customHeight="1" x14ac:dyDescent="0.2">
      <c r="H38" s="16"/>
    </row>
    <row r="39" spans="4:8" ht="15.95" customHeight="1" x14ac:dyDescent="0.2">
      <c r="D39" s="6"/>
      <c r="E39" s="6"/>
      <c r="H39" s="6"/>
    </row>
    <row r="40" spans="4:8" ht="15.95" customHeight="1" x14ac:dyDescent="0.2">
      <c r="D40" s="6"/>
      <c r="E40" s="6"/>
      <c r="H40" s="6"/>
    </row>
    <row r="41" spans="4:8" ht="15.95" customHeight="1" x14ac:dyDescent="0.2">
      <c r="D41" s="6"/>
      <c r="E41" s="6"/>
      <c r="F41" s="9"/>
      <c r="G41" s="6"/>
      <c r="H41" s="6"/>
    </row>
    <row r="42" spans="4:8" ht="15.95" customHeight="1" x14ac:dyDescent="0.2">
      <c r="D42" s="6"/>
      <c r="E42" s="6"/>
      <c r="F42" s="9"/>
      <c r="G42" s="6"/>
      <c r="H42" s="6"/>
    </row>
    <row r="43" spans="4:8" ht="15.95" customHeight="1" x14ac:dyDescent="0.2">
      <c r="D43" s="6"/>
      <c r="E43" s="6"/>
      <c r="F43" s="9"/>
      <c r="G43" s="6"/>
      <c r="H43" s="6"/>
    </row>
    <row r="44" spans="4:8" ht="15.95" customHeight="1" x14ac:dyDescent="0.2">
      <c r="D44" s="6"/>
      <c r="E44" s="6"/>
      <c r="F44" s="9"/>
      <c r="G44" s="6"/>
      <c r="H44" s="6"/>
    </row>
    <row r="45" spans="4:8" ht="15.95" customHeight="1" x14ac:dyDescent="0.2">
      <c r="D45" s="6"/>
      <c r="E45" s="6"/>
      <c r="F45" s="9"/>
      <c r="G45" s="6"/>
      <c r="H45" s="6"/>
    </row>
    <row r="46" spans="4:8" ht="15.95" customHeight="1" x14ac:dyDescent="0.2">
      <c r="D46" s="6"/>
      <c r="E46" s="6"/>
      <c r="F46" s="9"/>
      <c r="G46" s="6"/>
      <c r="H46" s="6"/>
    </row>
    <row r="47" spans="4:8" ht="15.95" customHeight="1" x14ac:dyDescent="0.2">
      <c r="D47" s="6"/>
      <c r="E47" s="6"/>
      <c r="F47" s="9"/>
      <c r="G47" s="6"/>
      <c r="H47" s="6"/>
    </row>
    <row r="48" spans="4:8" ht="15.95" customHeight="1" x14ac:dyDescent="0.2">
      <c r="D48" s="6"/>
      <c r="E48" s="6"/>
      <c r="F48" s="9"/>
      <c r="G48" s="6"/>
      <c r="H48" s="6"/>
    </row>
    <row r="49" spans="4:8" ht="15.95" customHeight="1" x14ac:dyDescent="0.2">
      <c r="D49" s="6"/>
      <c r="E49" s="6"/>
      <c r="F49" s="9"/>
      <c r="G49" s="6"/>
      <c r="H49" s="6"/>
    </row>
    <row r="50" spans="4:8" ht="15.95" customHeight="1" x14ac:dyDescent="0.2">
      <c r="D50" s="6"/>
      <c r="E50" s="6"/>
      <c r="F50" s="9"/>
      <c r="G50" s="6"/>
      <c r="H50" s="6"/>
    </row>
    <row r="51" spans="4:8" ht="15.95" customHeight="1" x14ac:dyDescent="0.2">
      <c r="H51" s="16"/>
    </row>
    <row r="52" spans="4:8" ht="15.95" customHeight="1" x14ac:dyDescent="0.2">
      <c r="D52" s="6"/>
      <c r="E52" s="6"/>
      <c r="H52" s="6"/>
    </row>
    <row r="53" spans="4:8" ht="15.95" customHeight="1" x14ac:dyDescent="0.2">
      <c r="D53" s="6"/>
      <c r="E53" s="6"/>
      <c r="H53" s="6"/>
    </row>
    <row r="54" spans="4:8" ht="15.95" customHeight="1" x14ac:dyDescent="0.2">
      <c r="D54" s="6"/>
      <c r="E54" s="6"/>
      <c r="F54" s="9"/>
      <c r="G54" s="6"/>
      <c r="H54" s="6"/>
    </row>
    <row r="55" spans="4:8" ht="15.95" customHeight="1" x14ac:dyDescent="0.2">
      <c r="D55" s="6"/>
      <c r="E55" s="6"/>
      <c r="F55" s="9"/>
      <c r="G55" s="6"/>
      <c r="H55" s="6"/>
    </row>
    <row r="56" spans="4:8" ht="15.95" customHeight="1" x14ac:dyDescent="0.2">
      <c r="D56" s="6"/>
      <c r="E56" s="6"/>
      <c r="F56" s="9"/>
      <c r="G56" s="6"/>
      <c r="H56" s="6"/>
    </row>
    <row r="57" spans="4:8" ht="15.95" customHeight="1" x14ac:dyDescent="0.2">
      <c r="D57" s="6"/>
      <c r="E57" s="6"/>
      <c r="F57" s="9"/>
      <c r="G57" s="6"/>
      <c r="H57" s="6"/>
    </row>
    <row r="58" spans="4:8" ht="15.95" customHeight="1" x14ac:dyDescent="0.2">
      <c r="D58" s="6"/>
      <c r="E58" s="6"/>
      <c r="F58" s="9"/>
      <c r="G58" s="6"/>
      <c r="H58" s="6"/>
    </row>
    <row r="59" spans="4:8" ht="15.95" customHeight="1" x14ac:dyDescent="0.2">
      <c r="D59" s="6"/>
      <c r="E59" s="6"/>
      <c r="F59" s="9"/>
      <c r="G59" s="6"/>
      <c r="H59" s="6"/>
    </row>
    <row r="60" spans="4:8" ht="15.95" customHeight="1" x14ac:dyDescent="0.2">
      <c r="D60" s="6"/>
      <c r="E60" s="6"/>
      <c r="F60" s="9"/>
      <c r="G60" s="6"/>
      <c r="H60" s="6"/>
    </row>
    <row r="61" spans="4:8" ht="15.95" customHeight="1" x14ac:dyDescent="0.2">
      <c r="D61" s="6"/>
      <c r="E61" s="6"/>
      <c r="F61" s="9"/>
      <c r="G61" s="6"/>
      <c r="H61" s="6"/>
    </row>
    <row r="62" spans="4:8" ht="15.95" customHeight="1" x14ac:dyDescent="0.2">
      <c r="D62" s="6"/>
      <c r="E62" s="6"/>
      <c r="F62" s="9"/>
      <c r="G62" s="6"/>
      <c r="H62" s="6"/>
    </row>
    <row r="63" spans="4:8" ht="15.95" customHeight="1" x14ac:dyDescent="0.2">
      <c r="D63" s="6"/>
      <c r="E63" s="6"/>
      <c r="F63" s="9"/>
      <c r="G63" s="6"/>
      <c r="H63" s="6"/>
    </row>
  </sheetData>
  <mergeCells count="1">
    <mergeCell ref="B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06F296-A7D2-4645-9713-425C785E7E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6A4C2-CCC3-44B6-9DCC-7C781049A867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cafe7d8-4bd4-4378-b54d-cfdec05ca8b5"/>
    <ds:schemaRef ds:uri="1a253495-b0d9-40a4-8e1c-242bf5431677"/>
  </ds:schemaRefs>
</ds:datastoreItem>
</file>

<file path=customXml/itemProps3.xml><?xml version="1.0" encoding="utf-8"?>
<ds:datastoreItem xmlns:ds="http://schemas.openxmlformats.org/officeDocument/2006/customXml" ds:itemID="{600087E9-CFE2-4D28-AC62-A343DA24F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120423</vt:lpstr>
      <vt:lpstr>120523</vt:lpstr>
      <vt:lpstr>120623</vt:lpstr>
      <vt:lpstr>011224</vt:lpstr>
      <vt:lpstr>012324</vt:lpstr>
      <vt:lpstr>012524</vt:lpstr>
      <vt:lpstr>020224</vt:lpstr>
      <vt:lpstr>020924</vt:lpstr>
      <vt:lpstr>031424</vt:lpstr>
      <vt:lpstr>032124</vt:lpstr>
    </vt:vector>
  </TitlesOfParts>
  <Manager/>
  <Company>Oregon Health and Science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Kozell</dc:creator>
  <cp:keywords/>
  <dc:description/>
  <cp:lastModifiedBy>Laura Kozell</cp:lastModifiedBy>
  <cp:revision/>
  <dcterms:created xsi:type="dcterms:W3CDTF">2024-09-25T00:39:17Z</dcterms:created>
  <dcterms:modified xsi:type="dcterms:W3CDTF">2024-11-25T20:31:13Z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