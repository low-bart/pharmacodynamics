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APORHCS\VAPORHCS\Janowsky-Related\Templates\"/>
    </mc:Choice>
  </mc:AlternateContent>
  <xr:revisionPtr revIDLastSave="0" documentId="13_ncr:1_{9046856B-5B49-4868-8193-B938FC1BCD7A}" xr6:coauthVersionLast="47" xr6:coauthVersionMax="47" xr10:uidLastSave="{00000000-0000-0000-0000-000000000000}"/>
  <bookViews>
    <workbookView xWindow="21690" yWindow="1410" windowWidth="28785" windowHeight="15435" xr2:uid="{B92168A6-1F84-49B9-A48C-8B1BDF090724}"/>
  </bookViews>
  <sheets>
    <sheet name="Sheet1" sheetId="1" r:id="rId1"/>
    <sheet name="AB" sheetId="2" r:id="rId2"/>
    <sheet name="CD" sheetId="3" r:id="rId3"/>
    <sheet name="EF" sheetId="4" r:id="rId4"/>
    <sheet name="G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5" l="1"/>
  <c r="A12" i="4"/>
  <c r="A12" i="3"/>
  <c r="A12" i="2"/>
  <c r="G13" i="5"/>
  <c r="G13" i="4"/>
  <c r="G13" i="3"/>
  <c r="C12" i="5"/>
  <c r="C13" i="5"/>
  <c r="D13" i="5" s="1"/>
  <c r="C14" i="5"/>
  <c r="D14" i="5" s="1"/>
  <c r="C15" i="5"/>
  <c r="C16" i="5"/>
  <c r="C17" i="5"/>
  <c r="C18" i="5"/>
  <c r="C19" i="5"/>
  <c r="C20" i="5"/>
  <c r="C21" i="5"/>
  <c r="C22" i="5"/>
  <c r="C11" i="5"/>
  <c r="B12" i="5"/>
  <c r="B13" i="5"/>
  <c r="B14" i="5"/>
  <c r="B15" i="5"/>
  <c r="B16" i="5"/>
  <c r="B17" i="5"/>
  <c r="B18" i="5"/>
  <c r="B19" i="5"/>
  <c r="B20" i="5"/>
  <c r="B21" i="5"/>
  <c r="B22" i="5"/>
  <c r="B11" i="5"/>
  <c r="L27" i="5"/>
  <c r="L26" i="5"/>
  <c r="L25" i="5"/>
  <c r="L24" i="5"/>
  <c r="L23" i="5"/>
  <c r="L22" i="5"/>
  <c r="L21" i="5"/>
  <c r="D21" i="5"/>
  <c r="L20" i="5"/>
  <c r="D20" i="5"/>
  <c r="M19" i="5"/>
  <c r="L19" i="5"/>
  <c r="D19" i="5"/>
  <c r="E19" i="5" s="1"/>
  <c r="M18" i="5"/>
  <c r="L18" i="5"/>
  <c r="D18" i="5"/>
  <c r="M17" i="5"/>
  <c r="L17" i="5"/>
  <c r="M16" i="5"/>
  <c r="L16" i="5"/>
  <c r="M15" i="5"/>
  <c r="L15" i="5"/>
  <c r="M14" i="5"/>
  <c r="L14" i="5"/>
  <c r="J14" i="5"/>
  <c r="G14" i="5"/>
  <c r="G15" i="5" s="1"/>
  <c r="M13" i="5"/>
  <c r="L13" i="5"/>
  <c r="F13" i="5"/>
  <c r="M12" i="5"/>
  <c r="J18" i="5" s="1"/>
  <c r="L12" i="5"/>
  <c r="H11" i="5"/>
  <c r="B9" i="5"/>
  <c r="A9" i="5"/>
  <c r="A7" i="5"/>
  <c r="A6" i="5"/>
  <c r="A5" i="5"/>
  <c r="E4" i="5"/>
  <c r="E5" i="5" s="1"/>
  <c r="E3" i="5"/>
  <c r="E2" i="5"/>
  <c r="E1" i="5"/>
  <c r="B1" i="5"/>
  <c r="C12" i="4"/>
  <c r="C13" i="4"/>
  <c r="C14" i="4"/>
  <c r="C15" i="4"/>
  <c r="C16" i="4"/>
  <c r="C17" i="4"/>
  <c r="C18" i="4"/>
  <c r="C19" i="4"/>
  <c r="C20" i="4"/>
  <c r="C21" i="4"/>
  <c r="C22" i="4"/>
  <c r="C11" i="4"/>
  <c r="B22" i="4"/>
  <c r="B12" i="4"/>
  <c r="B13" i="4"/>
  <c r="B14" i="4"/>
  <c r="B15" i="4"/>
  <c r="B16" i="4"/>
  <c r="B17" i="4"/>
  <c r="B18" i="4"/>
  <c r="B19" i="4"/>
  <c r="D19" i="4" s="1"/>
  <c r="E19" i="4" s="1"/>
  <c r="B20" i="4"/>
  <c r="B21" i="4"/>
  <c r="B11" i="4"/>
  <c r="B11" i="3"/>
  <c r="L27" i="4"/>
  <c r="L26" i="4"/>
  <c r="L25" i="4"/>
  <c r="L24" i="4"/>
  <c r="L23" i="4"/>
  <c r="L22" i="4"/>
  <c r="L21" i="4"/>
  <c r="D21" i="4"/>
  <c r="E21" i="4" s="1"/>
  <c r="L20" i="4"/>
  <c r="D20" i="4"/>
  <c r="E20" i="4" s="1"/>
  <c r="M19" i="4"/>
  <c r="L19" i="4"/>
  <c r="M18" i="4"/>
  <c r="L18" i="4"/>
  <c r="J18" i="4"/>
  <c r="M17" i="4"/>
  <c r="L17" i="4"/>
  <c r="M16" i="4"/>
  <c r="L16" i="4"/>
  <c r="D16" i="4"/>
  <c r="E16" i="4" s="1"/>
  <c r="M15" i="4"/>
  <c r="L15" i="4"/>
  <c r="D15" i="4"/>
  <c r="E15" i="4" s="1"/>
  <c r="M14" i="4"/>
  <c r="L14" i="4"/>
  <c r="J14" i="4"/>
  <c r="H11" i="4" s="1"/>
  <c r="G14" i="4"/>
  <c r="G15" i="4" s="1"/>
  <c r="M13" i="4"/>
  <c r="L13" i="4"/>
  <c r="F13" i="4"/>
  <c r="M12" i="4"/>
  <c r="L12" i="4"/>
  <c r="B9" i="4"/>
  <c r="A9" i="4"/>
  <c r="A7" i="4"/>
  <c r="A6" i="4"/>
  <c r="A5" i="4"/>
  <c r="E4" i="4"/>
  <c r="E5" i="4" s="1"/>
  <c r="E3" i="4"/>
  <c r="E2" i="4"/>
  <c r="E1" i="4"/>
  <c r="B1" i="4"/>
  <c r="C12" i="3"/>
  <c r="C13" i="3"/>
  <c r="C14" i="3"/>
  <c r="C15" i="3"/>
  <c r="C16" i="3"/>
  <c r="C17" i="3"/>
  <c r="C18" i="3"/>
  <c r="C19" i="3"/>
  <c r="C20" i="3"/>
  <c r="C21" i="3"/>
  <c r="C22" i="3"/>
  <c r="C11" i="3"/>
  <c r="B12" i="3"/>
  <c r="B13" i="3"/>
  <c r="B14" i="3"/>
  <c r="B15" i="3"/>
  <c r="B16" i="3"/>
  <c r="B17" i="3"/>
  <c r="B18" i="3"/>
  <c r="B19" i="3"/>
  <c r="B20" i="3"/>
  <c r="B21" i="3"/>
  <c r="B22" i="3"/>
  <c r="L27" i="3"/>
  <c r="L26" i="3"/>
  <c r="L25" i="3"/>
  <c r="L24" i="3"/>
  <c r="L23" i="3"/>
  <c r="L22" i="3"/>
  <c r="L21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B9" i="3"/>
  <c r="A9" i="3"/>
  <c r="A7" i="3"/>
  <c r="A6" i="3"/>
  <c r="A5" i="3"/>
  <c r="E4" i="3"/>
  <c r="E3" i="3"/>
  <c r="E1" i="3"/>
  <c r="B1" i="3"/>
  <c r="A6" i="2"/>
  <c r="A5" i="2"/>
  <c r="E4" i="2"/>
  <c r="E3" i="2"/>
  <c r="E1" i="2"/>
  <c r="D13" i="1"/>
  <c r="E2" i="2" s="1"/>
  <c r="B1" i="2"/>
  <c r="D16" i="5" l="1"/>
  <c r="D15" i="5"/>
  <c r="E15" i="5" s="1"/>
  <c r="D17" i="5"/>
  <c r="E20" i="5"/>
  <c r="E16" i="5"/>
  <c r="E13" i="5"/>
  <c r="E17" i="5"/>
  <c r="E21" i="5"/>
  <c r="E18" i="5"/>
  <c r="E14" i="5"/>
  <c r="H14" i="5" s="1"/>
  <c r="F15" i="5"/>
  <c r="G16" i="5"/>
  <c r="J16" i="5"/>
  <c r="H19" i="5" s="1"/>
  <c r="F14" i="5"/>
  <c r="D13" i="4"/>
  <c r="E13" i="4" s="1"/>
  <c r="D17" i="4"/>
  <c r="E17" i="4" s="1"/>
  <c r="D18" i="4"/>
  <c r="E18" i="4" s="1"/>
  <c r="D14" i="4"/>
  <c r="E14" i="4" s="1"/>
  <c r="F15" i="4"/>
  <c r="G16" i="4"/>
  <c r="J16" i="4"/>
  <c r="H15" i="4" s="1"/>
  <c r="F14" i="4"/>
  <c r="E2" i="3"/>
  <c r="E5" i="3"/>
  <c r="J14" i="3"/>
  <c r="J18" i="3"/>
  <c r="H11" i="3"/>
  <c r="M19" i="2"/>
  <c r="M13" i="2"/>
  <c r="M14" i="2"/>
  <c r="M15" i="2"/>
  <c r="M16" i="2"/>
  <c r="M17" i="2"/>
  <c r="M18" i="2"/>
  <c r="M12" i="2"/>
  <c r="L21" i="2"/>
  <c r="L22" i="2"/>
  <c r="L23" i="2"/>
  <c r="L24" i="2"/>
  <c r="L25" i="2"/>
  <c r="L26" i="2"/>
  <c r="L27" i="2"/>
  <c r="L20" i="2"/>
  <c r="L13" i="2"/>
  <c r="L14" i="2"/>
  <c r="L15" i="2"/>
  <c r="L16" i="2"/>
  <c r="L17" i="2"/>
  <c r="L18" i="2"/>
  <c r="L19" i="2"/>
  <c r="L12" i="2"/>
  <c r="B9" i="2"/>
  <c r="A9" i="2"/>
  <c r="A7" i="2"/>
  <c r="C31" i="1"/>
  <c r="I44" i="1"/>
  <c r="I43" i="1"/>
  <c r="I42" i="1"/>
  <c r="I41" i="1"/>
  <c r="I40" i="1"/>
  <c r="I39" i="1"/>
  <c r="I38" i="1"/>
  <c r="I37" i="1"/>
  <c r="I36" i="1"/>
  <c r="I35" i="1"/>
  <c r="I34" i="1"/>
  <c r="I33" i="1"/>
  <c r="H44" i="1"/>
  <c r="H43" i="1"/>
  <c r="H42" i="1"/>
  <c r="H41" i="1"/>
  <c r="H40" i="1"/>
  <c r="H39" i="1"/>
  <c r="H38" i="1"/>
  <c r="H37" i="1"/>
  <c r="H36" i="1"/>
  <c r="H35" i="1"/>
  <c r="H34" i="1"/>
  <c r="H33" i="1"/>
  <c r="G44" i="1"/>
  <c r="G43" i="1"/>
  <c r="G42" i="1"/>
  <c r="G41" i="1"/>
  <c r="G40" i="1"/>
  <c r="G39" i="1"/>
  <c r="G38" i="1"/>
  <c r="G37" i="1"/>
  <c r="G36" i="1"/>
  <c r="G35" i="1"/>
  <c r="G34" i="1"/>
  <c r="G33" i="1"/>
  <c r="F44" i="1"/>
  <c r="F43" i="1"/>
  <c r="F42" i="1"/>
  <c r="F41" i="1"/>
  <c r="F40" i="1"/>
  <c r="F39" i="1"/>
  <c r="F38" i="1"/>
  <c r="F37" i="1"/>
  <c r="F36" i="1"/>
  <c r="F35" i="1"/>
  <c r="F34" i="1"/>
  <c r="F33" i="1"/>
  <c r="E44" i="1"/>
  <c r="E43" i="1"/>
  <c r="E42" i="1"/>
  <c r="E41" i="1"/>
  <c r="E40" i="1"/>
  <c r="E39" i="1"/>
  <c r="E38" i="1"/>
  <c r="E37" i="1"/>
  <c r="E36" i="1"/>
  <c r="E35" i="1"/>
  <c r="E34" i="1"/>
  <c r="E33" i="1"/>
  <c r="D44" i="1"/>
  <c r="D43" i="1"/>
  <c r="D42" i="1"/>
  <c r="D41" i="1"/>
  <c r="D40" i="1"/>
  <c r="D39" i="1"/>
  <c r="D38" i="1"/>
  <c r="D37" i="1"/>
  <c r="D36" i="1"/>
  <c r="D35" i="1"/>
  <c r="D34" i="1"/>
  <c r="D33" i="1"/>
  <c r="C44" i="1"/>
  <c r="C43" i="1"/>
  <c r="C42" i="1"/>
  <c r="C41" i="1"/>
  <c r="C40" i="1"/>
  <c r="C39" i="1"/>
  <c r="C38" i="1"/>
  <c r="C37" i="1"/>
  <c r="C36" i="1"/>
  <c r="C35" i="1"/>
  <c r="C34" i="1"/>
  <c r="C33" i="1"/>
  <c r="B44" i="1"/>
  <c r="B43" i="1"/>
  <c r="B42" i="1"/>
  <c r="B41" i="1"/>
  <c r="B40" i="1"/>
  <c r="B39" i="1"/>
  <c r="B38" i="1"/>
  <c r="B37" i="1"/>
  <c r="B36" i="1"/>
  <c r="B35" i="1"/>
  <c r="B34" i="1"/>
  <c r="B33" i="1"/>
  <c r="H18" i="5" l="1"/>
  <c r="G17" i="5"/>
  <c r="F16" i="5"/>
  <c r="H21" i="5"/>
  <c r="H15" i="5"/>
  <c r="H17" i="5"/>
  <c r="H13" i="5"/>
  <c r="H16" i="5"/>
  <c r="H20" i="5"/>
  <c r="H19" i="4"/>
  <c r="G17" i="4"/>
  <c r="F16" i="4"/>
  <c r="H14" i="4"/>
  <c r="H13" i="4"/>
  <c r="H20" i="4"/>
  <c r="H17" i="4"/>
  <c r="H18" i="4"/>
  <c r="H21" i="4"/>
  <c r="H16" i="4"/>
  <c r="B11" i="2"/>
  <c r="C19" i="2"/>
  <c r="B12" i="2"/>
  <c r="C20" i="2"/>
  <c r="B16" i="2"/>
  <c r="B18" i="2"/>
  <c r="D18" i="3"/>
  <c r="E18" i="3" s="1"/>
  <c r="B19" i="2"/>
  <c r="D19" i="3"/>
  <c r="E19" i="3" s="1"/>
  <c r="B14" i="2"/>
  <c r="C21" i="2"/>
  <c r="B21" i="2"/>
  <c r="D21" i="2" s="1"/>
  <c r="E21" i="2" s="1"/>
  <c r="B13" i="2"/>
  <c r="C22" i="2"/>
  <c r="B17" i="2"/>
  <c r="D17" i="2" s="1"/>
  <c r="E17" i="2" s="1"/>
  <c r="B20" i="2"/>
  <c r="D20" i="2" s="1"/>
  <c r="E20" i="2" s="1"/>
  <c r="B22" i="2"/>
  <c r="C11" i="2"/>
  <c r="C12" i="2"/>
  <c r="C13" i="2"/>
  <c r="D13" i="2" s="1"/>
  <c r="C14" i="2"/>
  <c r="C15" i="2"/>
  <c r="D15" i="2" s="1"/>
  <c r="E15" i="2" s="1"/>
  <c r="G13" i="2"/>
  <c r="F13" i="2" s="1"/>
  <c r="B15" i="2"/>
  <c r="D15" i="3"/>
  <c r="E15" i="3" s="1"/>
  <c r="C16" i="2"/>
  <c r="C17" i="2"/>
  <c r="C18" i="2"/>
  <c r="D18" i="2" s="1"/>
  <c r="E18" i="2" s="1"/>
  <c r="J18" i="2"/>
  <c r="J16" i="3"/>
  <c r="J14" i="2"/>
  <c r="J16" i="2" s="1"/>
  <c r="G14" i="2"/>
  <c r="D19" i="2"/>
  <c r="D16" i="2"/>
  <c r="D14" i="2"/>
  <c r="F17" i="5" l="1"/>
  <c r="G18" i="5"/>
  <c r="F17" i="4"/>
  <c r="G18" i="4"/>
  <c r="D14" i="3"/>
  <c r="E14" i="3" s="1"/>
  <c r="H14" i="3" s="1"/>
  <c r="D16" i="3"/>
  <c r="E16" i="3" s="1"/>
  <c r="D17" i="3"/>
  <c r="E17" i="3" s="1"/>
  <c r="D20" i="3"/>
  <c r="E20" i="3" s="1"/>
  <c r="H20" i="3" s="1"/>
  <c r="E16" i="2"/>
  <c r="F13" i="3"/>
  <c r="G14" i="3"/>
  <c r="D21" i="3"/>
  <c r="E21" i="3" s="1"/>
  <c r="H21" i="3" s="1"/>
  <c r="E19" i="2"/>
  <c r="H19" i="2" s="1"/>
  <c r="D13" i="3"/>
  <c r="E13" i="3" s="1"/>
  <c r="H13" i="3" s="1"/>
  <c r="H18" i="3"/>
  <c r="H16" i="3"/>
  <c r="H15" i="3"/>
  <c r="E13" i="2"/>
  <c r="H13" i="2" s="1"/>
  <c r="E14" i="2"/>
  <c r="H17" i="3"/>
  <c r="H19" i="3"/>
  <c r="H11" i="2"/>
  <c r="E5" i="2"/>
  <c r="F14" i="2"/>
  <c r="G15" i="2"/>
  <c r="H17" i="2"/>
  <c r="H16" i="2"/>
  <c r="H21" i="2"/>
  <c r="G19" i="5" l="1"/>
  <c r="F18" i="5"/>
  <c r="F18" i="4"/>
  <c r="G19" i="4"/>
  <c r="G15" i="3"/>
  <c r="F14" i="3"/>
  <c r="H20" i="2"/>
  <c r="H18" i="2"/>
  <c r="H14" i="2"/>
  <c r="H15" i="2"/>
  <c r="G16" i="2"/>
  <c r="F15" i="2"/>
  <c r="F19" i="5" l="1"/>
  <c r="G20" i="5"/>
  <c r="F19" i="4"/>
  <c r="G20" i="4"/>
  <c r="F15" i="3"/>
  <c r="G16" i="3"/>
  <c r="G17" i="2"/>
  <c r="F16" i="2"/>
  <c r="G21" i="5" l="1"/>
  <c r="F21" i="5" s="1"/>
  <c r="F20" i="5"/>
  <c r="F20" i="4"/>
  <c r="G21" i="4"/>
  <c r="F21" i="4" s="1"/>
  <c r="F16" i="3"/>
  <c r="G17" i="3"/>
  <c r="G18" i="2"/>
  <c r="F17" i="2"/>
  <c r="F17" i="3" l="1"/>
  <c r="G18" i="3"/>
  <c r="G19" i="2"/>
  <c r="F18" i="2"/>
  <c r="G19" i="3" l="1"/>
  <c r="F18" i="3"/>
  <c r="G20" i="2"/>
  <c r="F19" i="2"/>
  <c r="F19" i="3" l="1"/>
  <c r="G20" i="3"/>
  <c r="G21" i="2"/>
  <c r="F21" i="2" s="1"/>
  <c r="F20" i="2"/>
  <c r="G21" i="3" l="1"/>
  <c r="F21" i="3" s="1"/>
  <c r="F20" i="3"/>
</calcChain>
</file>

<file path=xl/sharedStrings.xml><?xml version="1.0" encoding="utf-8"?>
<sst xmlns="http://schemas.openxmlformats.org/spreadsheetml/2006/main" count="136" uniqueCount="53">
  <si>
    <t>Date expt</t>
  </si>
  <si>
    <t>Ci/pmol</t>
  </si>
  <si>
    <t>cpm/pmol</t>
  </si>
  <si>
    <t>ml vol</t>
  </si>
  <si>
    <t>cpm added</t>
  </si>
  <si>
    <t>nM</t>
  </si>
  <si>
    <t>average</t>
  </si>
  <si>
    <t>specific</t>
  </si>
  <si>
    <t>[drug]</t>
  </si>
  <si>
    <t>log [drug]</t>
  </si>
  <si>
    <t>% total</t>
  </si>
  <si>
    <t>Plate totals</t>
  </si>
  <si>
    <t>Plate NSB</t>
  </si>
  <si>
    <t>blue</t>
  </si>
  <si>
    <t>Average Specific</t>
  </si>
  <si>
    <t>Specific Bound</t>
  </si>
  <si>
    <t>Average NSB</t>
  </si>
  <si>
    <t>A</t>
  </si>
  <si>
    <t>B</t>
  </si>
  <si>
    <t>C</t>
  </si>
  <si>
    <t>D</t>
  </si>
  <si>
    <t>E</t>
  </si>
  <si>
    <t>F</t>
  </si>
  <si>
    <t>G</t>
  </si>
  <si>
    <t>H</t>
  </si>
  <si>
    <t>copy-paste from raw txt to left</t>
  </si>
  <si>
    <t>Drug 1 name below</t>
  </si>
  <si>
    <t>Drug 1 top [ ] below</t>
  </si>
  <si>
    <t>DO NOT MODIFY</t>
  </si>
  <si>
    <t>Drug 2 name below</t>
  </si>
  <si>
    <t>Drug 2 top [ ] below</t>
  </si>
  <si>
    <t>Drug 3 name below</t>
  </si>
  <si>
    <t>Drug 3 top [ ] below</t>
  </si>
  <si>
    <t>Drug 4 name below</t>
  </si>
  <si>
    <t>Drug 4 top [ ] below</t>
  </si>
  <si>
    <t>in units log([drug])</t>
  </si>
  <si>
    <t>color to right</t>
  </si>
  <si>
    <t>Plate #</t>
  </si>
  <si>
    <t>Set</t>
  </si>
  <si>
    <t>Set #</t>
  </si>
  <si>
    <t>comment</t>
  </si>
  <si>
    <t xml:space="preserve"> cell info, initials etc</t>
  </si>
  <si>
    <t>assay date</t>
  </si>
  <si>
    <t>5 ul of drug</t>
  </si>
  <si>
    <t>copy-paste radioactivity counts anywhere in box to right</t>
  </si>
  <si>
    <t>which drug</t>
  </si>
  <si>
    <t>comment 1</t>
  </si>
  <si>
    <t>comment 2</t>
  </si>
  <si>
    <t>Drug 1</t>
  </si>
  <si>
    <t>Drug 2</t>
  </si>
  <si>
    <t>Drug 3</t>
  </si>
  <si>
    <t>Drug 4</t>
  </si>
  <si>
    <t>DRUG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</si>
</sst>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1"/>
      <charset val="2"/>
    </font>
    <font>
      <b/>
      <sz val="12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trike/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0">
    <xf numFmtId="0" fontId="0" fillId="0" borderId="0" xfId="0"/>
    <xf numFmtId="0" fontId="1" fillId="0" borderId="0" xfId="1"/>
    <xf numFmtId="14" fontId="1" fillId="0" borderId="0" xfId="1" applyNumberFormat="1"/>
    <xf numFmtId="0" fontId="2" fillId="0" borderId="0" xfId="2"/>
    <xf numFmtId="0" fontId="3" fillId="0" borderId="0" xfId="1" applyFont="1"/>
    <xf numFmtId="2" fontId="1" fillId="0" borderId="0" xfId="1" applyNumberFormat="1"/>
    <xf numFmtId="0" fontId="1" fillId="0" borderId="0" xfId="1" quotePrefix="1" applyAlignment="1">
      <alignment horizontal="left"/>
    </xf>
    <xf numFmtId="0" fontId="4" fillId="0" borderId="0" xfId="1" applyFont="1"/>
    <xf numFmtId="0" fontId="3" fillId="0" borderId="0" xfId="1" applyFont="1" applyAlignment="1">
      <alignment horizontal="center"/>
    </xf>
    <xf numFmtId="11" fontId="1" fillId="0" borderId="0" xfId="1" applyNumberFormat="1"/>
    <xf numFmtId="2" fontId="1" fillId="0" borderId="0" xfId="1" applyNumberFormat="1" applyAlignment="1">
      <alignment horizontal="center"/>
    </xf>
    <xf numFmtId="0" fontId="5" fillId="0" borderId="0" xfId="2" applyFont="1"/>
    <xf numFmtId="0" fontId="6" fillId="0" borderId="0" xfId="1" applyFont="1"/>
    <xf numFmtId="2" fontId="7" fillId="0" borderId="0" xfId="1" applyNumberFormat="1" applyFont="1"/>
    <xf numFmtId="2" fontId="4" fillId="0" borderId="0" xfId="1" applyNumberFormat="1" applyFont="1"/>
    <xf numFmtId="0" fontId="8" fillId="0" borderId="0" xfId="1" applyFont="1"/>
    <xf numFmtId="0" fontId="9" fillId="0" borderId="0" xfId="0" applyFont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10" fillId="0" borderId="0" xfId="0" applyFont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14" fontId="11" fillId="0" borderId="0" xfId="1" applyNumberFormat="1" applyFont="1"/>
    <xf numFmtId="0" fontId="11" fillId="0" borderId="0" xfId="1" applyFont="1"/>
    <xf numFmtId="0" fontId="9" fillId="0" borderId="0" xfId="2" applyFont="1"/>
    <xf numFmtId="0" fontId="10" fillId="0" borderId="0" xfId="2" applyFont="1"/>
  </cellXfs>
  <cellStyles count="3">
    <cellStyle name="Normal" xfId="0" builtinId="0"/>
    <cellStyle name="Normal 2" xfId="1" xr:uid="{6ABD60A1-36C6-42C1-8E96-41E639D5B2ED}"/>
    <cellStyle name="Normal 3" xfId="2" xr:uid="{382AA6BD-6CBE-402D-A79C-12D3358734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8BAE-173D-4F26-8F1E-F17E15274329}">
  <sheetPr codeName="Sheet1"/>
  <dimension ref="A1:O44"/>
  <sheetViews>
    <sheetView tabSelected="1" workbookViewId="0">
      <selection activeCell="C19" sqref="C19"/>
    </sheetView>
  </sheetViews>
  <sheetFormatPr defaultRowHeight="14.25"/>
  <cols>
    <col min="1" max="1" width="51" style="16" bestFit="1" customWidth="1"/>
    <col min="2" max="2" width="18" style="16" bestFit="1" customWidth="1"/>
    <col min="3" max="3" width="17.85546875" style="16" bestFit="1" customWidth="1"/>
    <col min="4" max="4" width="18" style="16" bestFit="1" customWidth="1"/>
    <col min="5" max="5" width="17.85546875" style="16" bestFit="1" customWidth="1"/>
    <col min="6" max="6" width="18" style="16" bestFit="1" customWidth="1"/>
    <col min="7" max="7" width="17.85546875" style="16" bestFit="1" customWidth="1"/>
    <col min="8" max="8" width="18" style="16" bestFit="1" customWidth="1"/>
    <col min="9" max="9" width="17.85546875" style="16" bestFit="1" customWidth="1"/>
    <col min="10" max="16384" width="9.140625" style="16"/>
  </cols>
  <sheetData>
    <row r="1" spans="1:15">
      <c r="B1" s="16">
        <v>1</v>
      </c>
      <c r="C1" s="16">
        <v>2</v>
      </c>
      <c r="D1" s="16">
        <v>3</v>
      </c>
      <c r="E1" s="16">
        <v>4</v>
      </c>
      <c r="F1" s="16">
        <v>5</v>
      </c>
      <c r="G1" s="16">
        <v>6</v>
      </c>
      <c r="H1" s="16">
        <v>7</v>
      </c>
      <c r="I1" s="16">
        <v>8</v>
      </c>
      <c r="J1" s="16">
        <v>9</v>
      </c>
      <c r="K1" s="16">
        <v>10</v>
      </c>
      <c r="L1" s="16">
        <v>11</v>
      </c>
      <c r="M1" s="16">
        <v>12</v>
      </c>
    </row>
    <row r="2" spans="1:15" ht="15">
      <c r="A2" s="16" t="s">
        <v>17</v>
      </c>
      <c r="B2" s="17">
        <v>300</v>
      </c>
      <c r="C2" s="18">
        <v>174</v>
      </c>
      <c r="D2" s="18">
        <v>145</v>
      </c>
      <c r="E2" s="18">
        <v>195</v>
      </c>
      <c r="F2" s="18">
        <v>222</v>
      </c>
      <c r="G2" s="18">
        <v>277</v>
      </c>
      <c r="H2" s="18">
        <v>349</v>
      </c>
      <c r="I2" s="18">
        <v>341</v>
      </c>
      <c r="J2" s="18">
        <v>259</v>
      </c>
      <c r="K2" s="18">
        <v>313</v>
      </c>
      <c r="L2" s="18">
        <v>250</v>
      </c>
      <c r="M2" s="19">
        <v>307</v>
      </c>
      <c r="O2" s="20" t="s">
        <v>25</v>
      </c>
    </row>
    <row r="3" spans="1:15">
      <c r="A3" s="16" t="s">
        <v>18</v>
      </c>
      <c r="B3" s="21">
        <v>344</v>
      </c>
      <c r="C3" s="16">
        <v>214</v>
      </c>
      <c r="D3" s="16">
        <v>140</v>
      </c>
      <c r="E3" s="16">
        <v>196</v>
      </c>
      <c r="F3" s="16">
        <v>243</v>
      </c>
      <c r="G3" s="16">
        <v>292</v>
      </c>
      <c r="H3" s="16">
        <v>436</v>
      </c>
      <c r="I3" s="16">
        <v>338</v>
      </c>
      <c r="J3" s="16">
        <v>276</v>
      </c>
      <c r="K3" s="16">
        <v>272</v>
      </c>
      <c r="L3" s="16">
        <v>270</v>
      </c>
      <c r="M3" s="22">
        <v>312</v>
      </c>
    </row>
    <row r="4" spans="1:15">
      <c r="A4" s="16" t="s">
        <v>19</v>
      </c>
      <c r="B4" s="21">
        <v>373</v>
      </c>
      <c r="C4" s="16">
        <v>212</v>
      </c>
      <c r="D4" s="16">
        <v>209</v>
      </c>
      <c r="E4" s="16">
        <v>202</v>
      </c>
      <c r="F4" s="16">
        <v>234</v>
      </c>
      <c r="G4" s="16">
        <v>331</v>
      </c>
      <c r="H4" s="16">
        <v>389</v>
      </c>
      <c r="I4" s="16">
        <v>341</v>
      </c>
      <c r="J4" s="16">
        <v>326</v>
      </c>
      <c r="K4" s="16">
        <v>358</v>
      </c>
      <c r="L4" s="16">
        <v>318</v>
      </c>
      <c r="M4" s="22">
        <v>369</v>
      </c>
    </row>
    <row r="5" spans="1:15">
      <c r="A5" s="16" t="s">
        <v>20</v>
      </c>
      <c r="B5" s="21">
        <v>506</v>
      </c>
      <c r="C5" s="16">
        <v>190</v>
      </c>
      <c r="D5" s="16">
        <v>149</v>
      </c>
      <c r="E5" s="16">
        <v>263</v>
      </c>
      <c r="F5" s="16">
        <v>325</v>
      </c>
      <c r="G5" s="16">
        <v>321</v>
      </c>
      <c r="H5" s="16">
        <v>374</v>
      </c>
      <c r="I5" s="16">
        <v>372</v>
      </c>
      <c r="J5" s="16">
        <v>341</v>
      </c>
      <c r="K5" s="16">
        <v>334</v>
      </c>
      <c r="L5" s="16">
        <v>333</v>
      </c>
      <c r="M5" s="22">
        <v>385</v>
      </c>
    </row>
    <row r="6" spans="1:15">
      <c r="A6" s="16" t="s">
        <v>21</v>
      </c>
      <c r="B6" s="21">
        <v>358</v>
      </c>
      <c r="C6" s="16">
        <v>265</v>
      </c>
      <c r="D6" s="16">
        <v>209</v>
      </c>
      <c r="E6" s="16">
        <v>282</v>
      </c>
      <c r="F6" s="16">
        <v>487</v>
      </c>
      <c r="G6" s="16">
        <v>421</v>
      </c>
      <c r="H6" s="16">
        <v>454</v>
      </c>
      <c r="I6" s="16">
        <v>398</v>
      </c>
      <c r="J6" s="16">
        <v>335</v>
      </c>
      <c r="K6" s="16">
        <v>441</v>
      </c>
      <c r="L6" s="16">
        <v>343</v>
      </c>
      <c r="M6" s="22">
        <v>334</v>
      </c>
    </row>
    <row r="7" spans="1:15">
      <c r="A7" s="16" t="s">
        <v>22</v>
      </c>
      <c r="B7" s="21">
        <v>565</v>
      </c>
      <c r="C7" s="16">
        <v>162</v>
      </c>
      <c r="D7" s="16">
        <v>158</v>
      </c>
      <c r="E7" s="16">
        <v>364</v>
      </c>
      <c r="F7" s="16">
        <v>435</v>
      </c>
      <c r="G7" s="16">
        <v>425</v>
      </c>
      <c r="H7" s="16">
        <v>497</v>
      </c>
      <c r="I7" s="16">
        <v>476</v>
      </c>
      <c r="J7" s="16">
        <v>352</v>
      </c>
      <c r="K7" s="16">
        <v>474</v>
      </c>
      <c r="L7" s="16">
        <v>327</v>
      </c>
      <c r="M7" s="22">
        <v>413</v>
      </c>
    </row>
    <row r="8" spans="1:15">
      <c r="A8" s="16" t="s">
        <v>23</v>
      </c>
      <c r="B8" s="21">
        <v>361</v>
      </c>
      <c r="C8" s="16">
        <v>176</v>
      </c>
      <c r="D8" s="16">
        <v>161</v>
      </c>
      <c r="E8" s="16">
        <v>261</v>
      </c>
      <c r="F8" s="16">
        <v>262</v>
      </c>
      <c r="G8" s="16">
        <v>387</v>
      </c>
      <c r="H8" s="16">
        <v>430</v>
      </c>
      <c r="I8" s="16">
        <v>380</v>
      </c>
      <c r="J8" s="16">
        <v>314</v>
      </c>
      <c r="K8" s="16">
        <v>375</v>
      </c>
      <c r="L8" s="16">
        <v>396</v>
      </c>
      <c r="M8" s="22">
        <v>422</v>
      </c>
    </row>
    <row r="9" spans="1:15">
      <c r="A9" s="16" t="s">
        <v>24</v>
      </c>
      <c r="B9" s="23">
        <v>352</v>
      </c>
      <c r="C9" s="24">
        <v>197</v>
      </c>
      <c r="D9" s="24">
        <v>149</v>
      </c>
      <c r="E9" s="24">
        <v>279</v>
      </c>
      <c r="F9" s="24">
        <v>280</v>
      </c>
      <c r="G9" s="24">
        <v>394</v>
      </c>
      <c r="H9" s="24">
        <v>502</v>
      </c>
      <c r="I9" s="24">
        <v>347</v>
      </c>
      <c r="J9" s="24">
        <v>337</v>
      </c>
      <c r="K9" s="24">
        <v>446</v>
      </c>
      <c r="L9" s="24">
        <v>395</v>
      </c>
      <c r="M9" s="25">
        <v>353</v>
      </c>
    </row>
    <row r="11" spans="1:15">
      <c r="A11" s="16" t="s">
        <v>42</v>
      </c>
      <c r="B11" s="26">
        <v>45303</v>
      </c>
    </row>
    <row r="12" spans="1:15">
      <c r="A12" s="16" t="s">
        <v>36</v>
      </c>
      <c r="B12" s="16" t="s">
        <v>13</v>
      </c>
      <c r="D12" s="27">
        <v>106.5</v>
      </c>
      <c r="E12" s="27" t="s">
        <v>1</v>
      </c>
    </row>
    <row r="13" spans="1:15">
      <c r="A13" s="16" t="s">
        <v>37</v>
      </c>
      <c r="B13" s="16">
        <v>1</v>
      </c>
      <c r="D13" s="27">
        <f>D12*2200*0.53</f>
        <v>124179</v>
      </c>
      <c r="E13" s="27" t="s">
        <v>2</v>
      </c>
    </row>
    <row r="14" spans="1:15">
      <c r="A14" s="16" t="s">
        <v>41</v>
      </c>
      <c r="B14" s="27" t="s">
        <v>46</v>
      </c>
      <c r="D14" s="27">
        <v>0.5</v>
      </c>
      <c r="E14" s="27" t="s">
        <v>3</v>
      </c>
    </row>
    <row r="15" spans="1:15">
      <c r="A15" s="16" t="s">
        <v>40</v>
      </c>
      <c r="B15" s="28" t="s">
        <v>47</v>
      </c>
    </row>
    <row r="16" spans="1:15" ht="15">
      <c r="B16" s="29"/>
    </row>
    <row r="17" spans="1:13">
      <c r="A17" s="16" t="s">
        <v>44</v>
      </c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>
      <c r="B18" s="21"/>
      <c r="M18" s="22"/>
    </row>
    <row r="19" spans="1:13">
      <c r="A19" s="16" t="s">
        <v>26</v>
      </c>
      <c r="B19" s="21"/>
      <c r="D19" s="16">
        <v>4686</v>
      </c>
      <c r="E19" s="16">
        <v>4674</v>
      </c>
      <c r="M19" s="22"/>
    </row>
    <row r="20" spans="1:13">
      <c r="A20" s="27" t="s">
        <v>45</v>
      </c>
      <c r="B20" s="21"/>
      <c r="D20" s="16">
        <v>4677</v>
      </c>
      <c r="E20" s="16">
        <v>5084</v>
      </c>
      <c r="M20" s="22"/>
    </row>
    <row r="21" spans="1:13">
      <c r="B21" s="21"/>
      <c r="D21" s="16">
        <v>5242</v>
      </c>
      <c r="E21" s="16">
        <v>4851</v>
      </c>
      <c r="M21" s="22"/>
    </row>
    <row r="22" spans="1:13">
      <c r="B22" s="21"/>
      <c r="D22" s="16">
        <v>4932</v>
      </c>
      <c r="E22" s="16">
        <v>5120</v>
      </c>
      <c r="M22" s="22"/>
    </row>
    <row r="23" spans="1:13">
      <c r="B23" s="21"/>
      <c r="M23" s="22"/>
    </row>
    <row r="24" spans="1:13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5"/>
    </row>
    <row r="27" spans="1:13">
      <c r="B27" s="16" t="s">
        <v>38</v>
      </c>
      <c r="C27" s="16" t="s">
        <v>38</v>
      </c>
      <c r="D27" s="16" t="s">
        <v>38</v>
      </c>
      <c r="E27" s="16" t="s">
        <v>38</v>
      </c>
      <c r="F27" s="16" t="s">
        <v>38</v>
      </c>
      <c r="G27" s="16" t="s">
        <v>38</v>
      </c>
      <c r="H27" s="16" t="s">
        <v>38</v>
      </c>
      <c r="I27" s="16" t="s">
        <v>38</v>
      </c>
    </row>
    <row r="28" spans="1:13">
      <c r="B28" s="16">
        <v>1</v>
      </c>
      <c r="C28" s="16">
        <v>1</v>
      </c>
      <c r="D28" s="16">
        <v>2</v>
      </c>
      <c r="E28" s="16">
        <v>2</v>
      </c>
      <c r="F28" s="16">
        <v>3</v>
      </c>
      <c r="G28" s="16">
        <v>3</v>
      </c>
      <c r="H28" s="16">
        <v>4</v>
      </c>
      <c r="I28" s="16">
        <v>4</v>
      </c>
    </row>
    <row r="29" spans="1:13">
      <c r="C29" s="16" t="s">
        <v>35</v>
      </c>
      <c r="E29" s="16" t="s">
        <v>35</v>
      </c>
      <c r="G29" s="16" t="s">
        <v>35</v>
      </c>
      <c r="I29" s="16" t="s">
        <v>35</v>
      </c>
    </row>
    <row r="30" spans="1:13">
      <c r="B30" s="16" t="s">
        <v>26</v>
      </c>
      <c r="C30" s="16" t="s">
        <v>27</v>
      </c>
      <c r="D30" s="16" t="s">
        <v>29</v>
      </c>
      <c r="E30" s="16" t="s">
        <v>30</v>
      </c>
      <c r="F30" s="16" t="s">
        <v>31</v>
      </c>
      <c r="G30" s="16" t="s">
        <v>32</v>
      </c>
      <c r="H30" s="16" t="s">
        <v>33</v>
      </c>
      <c r="I30" s="16" t="s">
        <v>34</v>
      </c>
    </row>
    <row r="31" spans="1:13">
      <c r="B31" s="16" t="s">
        <v>48</v>
      </c>
      <c r="C31" s="16">
        <f>-6</f>
        <v>-6</v>
      </c>
      <c r="D31" s="16" t="s">
        <v>49</v>
      </c>
      <c r="E31" s="16">
        <v>-5</v>
      </c>
      <c r="F31" s="16" t="s">
        <v>50</v>
      </c>
      <c r="G31" s="16">
        <v>-6</v>
      </c>
      <c r="H31" s="16" t="s">
        <v>51</v>
      </c>
      <c r="I31" s="16">
        <v>-7</v>
      </c>
    </row>
    <row r="32" spans="1:13">
      <c r="B32" s="16" t="s">
        <v>17</v>
      </c>
      <c r="C32" s="16" t="s">
        <v>18</v>
      </c>
      <c r="D32" s="16" t="s">
        <v>19</v>
      </c>
      <c r="E32" s="16" t="s">
        <v>20</v>
      </c>
      <c r="F32" s="16" t="s">
        <v>21</v>
      </c>
      <c r="G32" s="16" t="s">
        <v>22</v>
      </c>
      <c r="H32" s="16" t="s">
        <v>23</v>
      </c>
      <c r="I32" s="16" t="s">
        <v>24</v>
      </c>
    </row>
    <row r="33" spans="1:10">
      <c r="A33" s="16">
        <v>1</v>
      </c>
      <c r="B33" s="16">
        <f>B2</f>
        <v>300</v>
      </c>
      <c r="C33" s="16">
        <f>B3</f>
        <v>344</v>
      </c>
      <c r="D33" s="16">
        <f>B4</f>
        <v>373</v>
      </c>
      <c r="E33" s="16">
        <f>B5</f>
        <v>506</v>
      </c>
      <c r="F33" s="16">
        <f>B6</f>
        <v>358</v>
      </c>
      <c r="G33" s="16">
        <f>B7</f>
        <v>565</v>
      </c>
      <c r="H33" s="16">
        <f>B8</f>
        <v>361</v>
      </c>
      <c r="I33" s="16">
        <f>B9</f>
        <v>352</v>
      </c>
      <c r="J33" s="16" t="s">
        <v>28</v>
      </c>
    </row>
    <row r="34" spans="1:10">
      <c r="A34" s="16">
        <v>2</v>
      </c>
      <c r="B34" s="16">
        <f>C2</f>
        <v>174</v>
      </c>
      <c r="C34" s="16">
        <f>C3</f>
        <v>214</v>
      </c>
      <c r="D34" s="16">
        <f>C4</f>
        <v>212</v>
      </c>
      <c r="E34" s="16">
        <f>C5</f>
        <v>190</v>
      </c>
      <c r="F34" s="16">
        <f>C6</f>
        <v>265</v>
      </c>
      <c r="G34" s="16">
        <f>C7</f>
        <v>162</v>
      </c>
      <c r="H34" s="16">
        <f>C8</f>
        <v>176</v>
      </c>
      <c r="I34" s="16">
        <f>C9</f>
        <v>197</v>
      </c>
    </row>
    <row r="35" spans="1:10">
      <c r="A35" s="16">
        <v>3</v>
      </c>
      <c r="B35" s="16">
        <f>D2</f>
        <v>145</v>
      </c>
      <c r="C35" s="16">
        <f>D3</f>
        <v>140</v>
      </c>
      <c r="D35" s="16">
        <f>D4</f>
        <v>209</v>
      </c>
      <c r="E35" s="16">
        <f>D5</f>
        <v>149</v>
      </c>
      <c r="F35" s="16">
        <f>D6</f>
        <v>209</v>
      </c>
      <c r="G35" s="16">
        <f>D7</f>
        <v>158</v>
      </c>
      <c r="H35" s="16">
        <f>D8</f>
        <v>161</v>
      </c>
      <c r="I35" s="16">
        <f>D9</f>
        <v>149</v>
      </c>
    </row>
    <row r="36" spans="1:10">
      <c r="A36" s="16">
        <v>4</v>
      </c>
      <c r="B36" s="16">
        <f>E2</f>
        <v>195</v>
      </c>
      <c r="C36" s="16">
        <f>E3</f>
        <v>196</v>
      </c>
      <c r="D36" s="16">
        <f>E4</f>
        <v>202</v>
      </c>
      <c r="E36" s="16">
        <f>E5</f>
        <v>263</v>
      </c>
      <c r="F36" s="16">
        <f>E6</f>
        <v>282</v>
      </c>
      <c r="G36" s="16">
        <f>E7</f>
        <v>364</v>
      </c>
      <c r="H36" s="16">
        <f>E8</f>
        <v>261</v>
      </c>
      <c r="I36" s="16">
        <f>E9</f>
        <v>279</v>
      </c>
    </row>
    <row r="37" spans="1:10">
      <c r="A37" s="16">
        <v>5</v>
      </c>
      <c r="B37" s="16">
        <f>F2</f>
        <v>222</v>
      </c>
      <c r="C37" s="16">
        <f>F3</f>
        <v>243</v>
      </c>
      <c r="D37" s="16">
        <f>F4</f>
        <v>234</v>
      </c>
      <c r="E37" s="16">
        <f>F5</f>
        <v>325</v>
      </c>
      <c r="F37" s="16">
        <f>F6</f>
        <v>487</v>
      </c>
      <c r="G37" s="16">
        <f>F7</f>
        <v>435</v>
      </c>
      <c r="H37" s="16">
        <f>F8</f>
        <v>262</v>
      </c>
      <c r="I37" s="16">
        <f>F9</f>
        <v>280</v>
      </c>
    </row>
    <row r="38" spans="1:10">
      <c r="A38" s="16">
        <v>6</v>
      </c>
      <c r="B38" s="16">
        <f>G2</f>
        <v>277</v>
      </c>
      <c r="C38" s="16">
        <f>G3</f>
        <v>292</v>
      </c>
      <c r="D38" s="16">
        <f>G4</f>
        <v>331</v>
      </c>
      <c r="E38" s="16">
        <f>G5</f>
        <v>321</v>
      </c>
      <c r="F38" s="16">
        <f>G6</f>
        <v>421</v>
      </c>
      <c r="G38" s="16">
        <f>G7</f>
        <v>425</v>
      </c>
      <c r="H38" s="16">
        <f>G8</f>
        <v>387</v>
      </c>
      <c r="I38" s="16">
        <f>G9</f>
        <v>394</v>
      </c>
    </row>
    <row r="39" spans="1:10">
      <c r="A39" s="16">
        <v>7</v>
      </c>
      <c r="B39" s="16">
        <f>H2</f>
        <v>349</v>
      </c>
      <c r="C39" s="16">
        <f>H3</f>
        <v>436</v>
      </c>
      <c r="D39" s="16">
        <f>H4</f>
        <v>389</v>
      </c>
      <c r="E39" s="16">
        <f>H5</f>
        <v>374</v>
      </c>
      <c r="F39" s="16">
        <f>H6</f>
        <v>454</v>
      </c>
      <c r="G39" s="16">
        <f>H7</f>
        <v>497</v>
      </c>
      <c r="H39" s="16">
        <f>H8</f>
        <v>430</v>
      </c>
      <c r="I39" s="16">
        <f>H9</f>
        <v>502</v>
      </c>
    </row>
    <row r="40" spans="1:10">
      <c r="A40" s="16">
        <v>8</v>
      </c>
      <c r="B40" s="16">
        <f>I2</f>
        <v>341</v>
      </c>
      <c r="C40" s="16">
        <f>I3</f>
        <v>338</v>
      </c>
      <c r="D40" s="16">
        <f>I4</f>
        <v>341</v>
      </c>
      <c r="E40" s="16">
        <f>I5</f>
        <v>372</v>
      </c>
      <c r="F40" s="16">
        <f>I6</f>
        <v>398</v>
      </c>
      <c r="G40" s="16">
        <f>I7</f>
        <v>476</v>
      </c>
      <c r="H40" s="16">
        <f>I8</f>
        <v>380</v>
      </c>
      <c r="I40" s="16">
        <f>I9</f>
        <v>347</v>
      </c>
    </row>
    <row r="41" spans="1:10">
      <c r="A41" s="16">
        <v>9</v>
      </c>
      <c r="B41" s="16">
        <f>J2</f>
        <v>259</v>
      </c>
      <c r="C41" s="16">
        <f>J3</f>
        <v>276</v>
      </c>
      <c r="D41" s="16">
        <f>J4</f>
        <v>326</v>
      </c>
      <c r="E41" s="16">
        <f>J5</f>
        <v>341</v>
      </c>
      <c r="F41" s="16">
        <f>J6</f>
        <v>335</v>
      </c>
      <c r="G41" s="16">
        <f>J7</f>
        <v>352</v>
      </c>
      <c r="H41" s="16">
        <f>J8</f>
        <v>314</v>
      </c>
      <c r="I41" s="16">
        <f>J9</f>
        <v>337</v>
      </c>
    </row>
    <row r="42" spans="1:10">
      <c r="A42" s="16">
        <v>10</v>
      </c>
      <c r="B42" s="16">
        <f>K2</f>
        <v>313</v>
      </c>
      <c r="C42" s="16">
        <f>K3</f>
        <v>272</v>
      </c>
      <c r="D42" s="16">
        <f>K4</f>
        <v>358</v>
      </c>
      <c r="E42" s="16">
        <f>K5</f>
        <v>334</v>
      </c>
      <c r="F42" s="16">
        <f>K6</f>
        <v>441</v>
      </c>
      <c r="G42" s="16">
        <f>K7</f>
        <v>474</v>
      </c>
      <c r="H42" s="16">
        <f>K8</f>
        <v>375</v>
      </c>
      <c r="I42" s="16">
        <f>K9</f>
        <v>446</v>
      </c>
    </row>
    <row r="43" spans="1:10">
      <c r="A43" s="16">
        <v>11</v>
      </c>
      <c r="B43" s="16">
        <f>L2</f>
        <v>250</v>
      </c>
      <c r="C43" s="16">
        <f>L3</f>
        <v>270</v>
      </c>
      <c r="D43" s="16">
        <f>L4</f>
        <v>318</v>
      </c>
      <c r="E43" s="16">
        <f>L5</f>
        <v>333</v>
      </c>
      <c r="F43" s="16">
        <f>L6</f>
        <v>343</v>
      </c>
      <c r="G43" s="16">
        <f>L7</f>
        <v>327</v>
      </c>
      <c r="H43" s="16">
        <f>L8</f>
        <v>396</v>
      </c>
      <c r="I43" s="16">
        <f>L9</f>
        <v>395</v>
      </c>
    </row>
    <row r="44" spans="1:10">
      <c r="A44" s="16">
        <v>12</v>
      </c>
      <c r="B44" s="16">
        <f>M2</f>
        <v>307</v>
      </c>
      <c r="C44" s="16">
        <f>M3</f>
        <v>312</v>
      </c>
      <c r="D44" s="16">
        <f>M4</f>
        <v>369</v>
      </c>
      <c r="E44" s="16">
        <f>M5</f>
        <v>385</v>
      </c>
      <c r="F44" s="16">
        <f>M6</f>
        <v>334</v>
      </c>
      <c r="G44" s="16">
        <f>M7</f>
        <v>413</v>
      </c>
      <c r="H44" s="16">
        <f>M8</f>
        <v>422</v>
      </c>
      <c r="I44" s="16">
        <f>M9</f>
        <v>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749F-7E0F-4B51-A74F-A5A5BD3B45F2}">
  <sheetPr codeName="Sheet2"/>
  <dimension ref="A1:P217"/>
  <sheetViews>
    <sheetView workbookViewId="0">
      <selection activeCell="A5" sqref="A5"/>
    </sheetView>
  </sheetViews>
  <sheetFormatPr defaultColWidth="12.5703125" defaultRowHeight="12.75"/>
  <cols>
    <col min="1" max="1" width="32.5703125" style="1" customWidth="1"/>
    <col min="2" max="2" width="11.5703125" style="1" bestFit="1" customWidth="1"/>
    <col min="3" max="5" width="10.140625" style="1" customWidth="1"/>
    <col min="6" max="7" width="10.140625" style="1" bestFit="1" customWidth="1"/>
    <col min="8" max="11" width="10.140625" style="1" customWidth="1"/>
    <col min="12" max="12" width="11.140625" style="1" bestFit="1" customWidth="1"/>
    <col min="13" max="256" width="10.140625" style="1" customWidth="1"/>
    <col min="257" max="257" width="14.7109375" style="1" customWidth="1"/>
    <col min="258" max="258" width="11.5703125" style="1" bestFit="1" customWidth="1"/>
    <col min="259" max="512" width="10.140625" style="1" customWidth="1"/>
    <col min="513" max="513" width="14.7109375" style="1" customWidth="1"/>
    <col min="514" max="514" width="11.5703125" style="1" bestFit="1" customWidth="1"/>
    <col min="515" max="768" width="10.140625" style="1" customWidth="1"/>
    <col min="769" max="769" width="14.7109375" style="1" customWidth="1"/>
    <col min="770" max="770" width="11.5703125" style="1" bestFit="1" customWidth="1"/>
    <col min="771" max="1024" width="10.140625" style="1" customWidth="1"/>
    <col min="1025" max="1025" width="14.7109375" style="1" customWidth="1"/>
    <col min="1026" max="1026" width="11.5703125" style="1" bestFit="1" customWidth="1"/>
    <col min="1027" max="1280" width="10.140625" style="1" customWidth="1"/>
    <col min="1281" max="1281" width="14.7109375" style="1" customWidth="1"/>
    <col min="1282" max="1282" width="11.5703125" style="1" bestFit="1" customWidth="1"/>
    <col min="1283" max="1536" width="10.140625" style="1" customWidth="1"/>
    <col min="1537" max="1537" width="14.7109375" style="1" customWidth="1"/>
    <col min="1538" max="1538" width="11.5703125" style="1" bestFit="1" customWidth="1"/>
    <col min="1539" max="1792" width="10.140625" style="1" customWidth="1"/>
    <col min="1793" max="1793" width="14.7109375" style="1" customWidth="1"/>
    <col min="1794" max="1794" width="11.5703125" style="1" bestFit="1" customWidth="1"/>
    <col min="1795" max="2048" width="10.140625" style="1" customWidth="1"/>
    <col min="2049" max="2049" width="14.7109375" style="1" customWidth="1"/>
    <col min="2050" max="2050" width="11.5703125" style="1" bestFit="1" customWidth="1"/>
    <col min="2051" max="2304" width="10.140625" style="1" customWidth="1"/>
    <col min="2305" max="2305" width="14.7109375" style="1" customWidth="1"/>
    <col min="2306" max="2306" width="11.5703125" style="1" bestFit="1" customWidth="1"/>
    <col min="2307" max="2560" width="10.140625" style="1" customWidth="1"/>
    <col min="2561" max="2561" width="14.7109375" style="1" customWidth="1"/>
    <col min="2562" max="2562" width="11.5703125" style="1" bestFit="1" customWidth="1"/>
    <col min="2563" max="2816" width="10.140625" style="1" customWidth="1"/>
    <col min="2817" max="2817" width="14.7109375" style="1" customWidth="1"/>
    <col min="2818" max="2818" width="11.5703125" style="1" bestFit="1" customWidth="1"/>
    <col min="2819" max="3072" width="10.140625" style="1" customWidth="1"/>
    <col min="3073" max="3073" width="14.7109375" style="1" customWidth="1"/>
    <col min="3074" max="3074" width="11.5703125" style="1" bestFit="1" customWidth="1"/>
    <col min="3075" max="3328" width="10.140625" style="1" customWidth="1"/>
    <col min="3329" max="3329" width="14.7109375" style="1" customWidth="1"/>
    <col min="3330" max="3330" width="11.5703125" style="1" bestFit="1" customWidth="1"/>
    <col min="3331" max="3584" width="10.140625" style="1" customWidth="1"/>
    <col min="3585" max="3585" width="14.7109375" style="1" customWidth="1"/>
    <col min="3586" max="3586" width="11.5703125" style="1" bestFit="1" customWidth="1"/>
    <col min="3587" max="3840" width="10.140625" style="1" customWidth="1"/>
    <col min="3841" max="3841" width="14.7109375" style="1" customWidth="1"/>
    <col min="3842" max="3842" width="11.5703125" style="1" bestFit="1" customWidth="1"/>
    <col min="3843" max="4096" width="10.140625" style="1" customWidth="1"/>
    <col min="4097" max="4097" width="14.7109375" style="1" customWidth="1"/>
    <col min="4098" max="4098" width="11.5703125" style="1" bestFit="1" customWidth="1"/>
    <col min="4099" max="4352" width="10.140625" style="1" customWidth="1"/>
    <col min="4353" max="4353" width="14.7109375" style="1" customWidth="1"/>
    <col min="4354" max="4354" width="11.5703125" style="1" bestFit="1" customWidth="1"/>
    <col min="4355" max="4608" width="10.140625" style="1" customWidth="1"/>
    <col min="4609" max="4609" width="14.7109375" style="1" customWidth="1"/>
    <col min="4610" max="4610" width="11.5703125" style="1" bestFit="1" customWidth="1"/>
    <col min="4611" max="4864" width="10.140625" style="1" customWidth="1"/>
    <col min="4865" max="4865" width="14.7109375" style="1" customWidth="1"/>
    <col min="4866" max="4866" width="11.5703125" style="1" bestFit="1" customWidth="1"/>
    <col min="4867" max="5120" width="10.140625" style="1" customWidth="1"/>
    <col min="5121" max="5121" width="14.7109375" style="1" customWidth="1"/>
    <col min="5122" max="5122" width="11.5703125" style="1" bestFit="1" customWidth="1"/>
    <col min="5123" max="5376" width="10.140625" style="1" customWidth="1"/>
    <col min="5377" max="5377" width="14.7109375" style="1" customWidth="1"/>
    <col min="5378" max="5378" width="11.5703125" style="1" bestFit="1" customWidth="1"/>
    <col min="5379" max="5632" width="10.140625" style="1" customWidth="1"/>
    <col min="5633" max="5633" width="14.7109375" style="1" customWidth="1"/>
    <col min="5634" max="5634" width="11.5703125" style="1" bestFit="1" customWidth="1"/>
    <col min="5635" max="5888" width="10.140625" style="1" customWidth="1"/>
    <col min="5889" max="5889" width="14.7109375" style="1" customWidth="1"/>
    <col min="5890" max="5890" width="11.5703125" style="1" bestFit="1" customWidth="1"/>
    <col min="5891" max="6144" width="10.140625" style="1" customWidth="1"/>
    <col min="6145" max="6145" width="14.7109375" style="1" customWidth="1"/>
    <col min="6146" max="6146" width="11.5703125" style="1" bestFit="1" customWidth="1"/>
    <col min="6147" max="6400" width="10.140625" style="1" customWidth="1"/>
    <col min="6401" max="6401" width="14.7109375" style="1" customWidth="1"/>
    <col min="6402" max="6402" width="11.5703125" style="1" bestFit="1" customWidth="1"/>
    <col min="6403" max="6656" width="10.140625" style="1" customWidth="1"/>
    <col min="6657" max="6657" width="14.7109375" style="1" customWidth="1"/>
    <col min="6658" max="6658" width="11.5703125" style="1" bestFit="1" customWidth="1"/>
    <col min="6659" max="6912" width="10.140625" style="1" customWidth="1"/>
    <col min="6913" max="6913" width="14.7109375" style="1" customWidth="1"/>
    <col min="6914" max="6914" width="11.5703125" style="1" bestFit="1" customWidth="1"/>
    <col min="6915" max="7168" width="10.140625" style="1" customWidth="1"/>
    <col min="7169" max="7169" width="14.7109375" style="1" customWidth="1"/>
    <col min="7170" max="7170" width="11.5703125" style="1" bestFit="1" customWidth="1"/>
    <col min="7171" max="7424" width="10.140625" style="1" customWidth="1"/>
    <col min="7425" max="7425" width="14.7109375" style="1" customWidth="1"/>
    <col min="7426" max="7426" width="11.5703125" style="1" bestFit="1" customWidth="1"/>
    <col min="7427" max="7680" width="10.140625" style="1" customWidth="1"/>
    <col min="7681" max="7681" width="14.7109375" style="1" customWidth="1"/>
    <col min="7682" max="7682" width="11.5703125" style="1" bestFit="1" customWidth="1"/>
    <col min="7683" max="7936" width="10.140625" style="1" customWidth="1"/>
    <col min="7937" max="7937" width="14.7109375" style="1" customWidth="1"/>
    <col min="7938" max="7938" width="11.5703125" style="1" bestFit="1" customWidth="1"/>
    <col min="7939" max="8192" width="10.140625" style="1" customWidth="1"/>
    <col min="8193" max="8193" width="14.7109375" style="1" customWidth="1"/>
    <col min="8194" max="8194" width="11.5703125" style="1" bestFit="1" customWidth="1"/>
    <col min="8195" max="8448" width="10.140625" style="1" customWidth="1"/>
    <col min="8449" max="8449" width="14.7109375" style="1" customWidth="1"/>
    <col min="8450" max="8450" width="11.5703125" style="1" bestFit="1" customWidth="1"/>
    <col min="8451" max="8704" width="10.140625" style="1" customWidth="1"/>
    <col min="8705" max="8705" width="14.7109375" style="1" customWidth="1"/>
    <col min="8706" max="8706" width="11.5703125" style="1" bestFit="1" customWidth="1"/>
    <col min="8707" max="8960" width="10.140625" style="1" customWidth="1"/>
    <col min="8961" max="8961" width="14.7109375" style="1" customWidth="1"/>
    <col min="8962" max="8962" width="11.5703125" style="1" bestFit="1" customWidth="1"/>
    <col min="8963" max="9216" width="10.140625" style="1" customWidth="1"/>
    <col min="9217" max="9217" width="14.7109375" style="1" customWidth="1"/>
    <col min="9218" max="9218" width="11.5703125" style="1" bestFit="1" customWidth="1"/>
    <col min="9219" max="9472" width="10.140625" style="1" customWidth="1"/>
    <col min="9473" max="9473" width="14.7109375" style="1" customWidth="1"/>
    <col min="9474" max="9474" width="11.5703125" style="1" bestFit="1" customWidth="1"/>
    <col min="9475" max="9728" width="10.140625" style="1" customWidth="1"/>
    <col min="9729" max="9729" width="14.7109375" style="1" customWidth="1"/>
    <col min="9730" max="9730" width="11.5703125" style="1" bestFit="1" customWidth="1"/>
    <col min="9731" max="9984" width="10.140625" style="1" customWidth="1"/>
    <col min="9985" max="9985" width="14.7109375" style="1" customWidth="1"/>
    <col min="9986" max="9986" width="11.5703125" style="1" bestFit="1" customWidth="1"/>
    <col min="9987" max="10240" width="10.140625" style="1" customWidth="1"/>
    <col min="10241" max="10241" width="14.7109375" style="1" customWidth="1"/>
    <col min="10242" max="10242" width="11.5703125" style="1" bestFit="1" customWidth="1"/>
    <col min="10243" max="10496" width="10.140625" style="1" customWidth="1"/>
    <col min="10497" max="10497" width="14.7109375" style="1" customWidth="1"/>
    <col min="10498" max="10498" width="11.5703125" style="1" bestFit="1" customWidth="1"/>
    <col min="10499" max="10752" width="10.140625" style="1" customWidth="1"/>
    <col min="10753" max="10753" width="14.7109375" style="1" customWidth="1"/>
    <col min="10754" max="10754" width="11.5703125" style="1" bestFit="1" customWidth="1"/>
    <col min="10755" max="11008" width="10.140625" style="1" customWidth="1"/>
    <col min="11009" max="11009" width="14.7109375" style="1" customWidth="1"/>
    <col min="11010" max="11010" width="11.5703125" style="1" bestFit="1" customWidth="1"/>
    <col min="11011" max="11264" width="10.140625" style="1" customWidth="1"/>
    <col min="11265" max="11265" width="14.7109375" style="1" customWidth="1"/>
    <col min="11266" max="11266" width="11.5703125" style="1" bestFit="1" customWidth="1"/>
    <col min="11267" max="11520" width="10.140625" style="1" customWidth="1"/>
    <col min="11521" max="11521" width="14.7109375" style="1" customWidth="1"/>
    <col min="11522" max="11522" width="11.5703125" style="1" bestFit="1" customWidth="1"/>
    <col min="11523" max="11776" width="10.140625" style="1" customWidth="1"/>
    <col min="11777" max="11777" width="14.7109375" style="1" customWidth="1"/>
    <col min="11778" max="11778" width="11.5703125" style="1" bestFit="1" customWidth="1"/>
    <col min="11779" max="12032" width="10.140625" style="1" customWidth="1"/>
    <col min="12033" max="12033" width="14.7109375" style="1" customWidth="1"/>
    <col min="12034" max="12034" width="11.5703125" style="1" bestFit="1" customWidth="1"/>
    <col min="12035" max="12288" width="10.140625" style="1" customWidth="1"/>
    <col min="12289" max="12289" width="14.7109375" style="1" customWidth="1"/>
    <col min="12290" max="12290" width="11.5703125" style="1" bestFit="1" customWidth="1"/>
    <col min="12291" max="12544" width="10.140625" style="1" customWidth="1"/>
    <col min="12545" max="12545" width="14.7109375" style="1" customWidth="1"/>
    <col min="12546" max="12546" width="11.5703125" style="1" bestFit="1" customWidth="1"/>
    <col min="12547" max="12800" width="10.140625" style="1" customWidth="1"/>
    <col min="12801" max="12801" width="14.7109375" style="1" customWidth="1"/>
    <col min="12802" max="12802" width="11.5703125" style="1" bestFit="1" customWidth="1"/>
    <col min="12803" max="13056" width="10.140625" style="1" customWidth="1"/>
    <col min="13057" max="13057" width="14.7109375" style="1" customWidth="1"/>
    <col min="13058" max="13058" width="11.5703125" style="1" bestFit="1" customWidth="1"/>
    <col min="13059" max="13312" width="10.140625" style="1" customWidth="1"/>
    <col min="13313" max="13313" width="14.7109375" style="1" customWidth="1"/>
    <col min="13314" max="13314" width="11.5703125" style="1" bestFit="1" customWidth="1"/>
    <col min="13315" max="13568" width="10.140625" style="1" customWidth="1"/>
    <col min="13569" max="13569" width="14.7109375" style="1" customWidth="1"/>
    <col min="13570" max="13570" width="11.5703125" style="1" bestFit="1" customWidth="1"/>
    <col min="13571" max="13824" width="10.140625" style="1" customWidth="1"/>
    <col min="13825" max="13825" width="14.7109375" style="1" customWidth="1"/>
    <col min="13826" max="13826" width="11.5703125" style="1" bestFit="1" customWidth="1"/>
    <col min="13827" max="14080" width="10.140625" style="1" customWidth="1"/>
    <col min="14081" max="14081" width="14.7109375" style="1" customWidth="1"/>
    <col min="14082" max="14082" width="11.5703125" style="1" bestFit="1" customWidth="1"/>
    <col min="14083" max="14336" width="10.140625" style="1" customWidth="1"/>
    <col min="14337" max="14337" width="14.7109375" style="1" customWidth="1"/>
    <col min="14338" max="14338" width="11.5703125" style="1" bestFit="1" customWidth="1"/>
    <col min="14339" max="14592" width="10.140625" style="1" customWidth="1"/>
    <col min="14593" max="14593" width="14.7109375" style="1" customWidth="1"/>
    <col min="14594" max="14594" width="11.5703125" style="1" bestFit="1" customWidth="1"/>
    <col min="14595" max="14848" width="10.140625" style="1" customWidth="1"/>
    <col min="14849" max="14849" width="14.7109375" style="1" customWidth="1"/>
    <col min="14850" max="14850" width="11.5703125" style="1" bestFit="1" customWidth="1"/>
    <col min="14851" max="15104" width="10.140625" style="1" customWidth="1"/>
    <col min="15105" max="15105" width="14.7109375" style="1" customWidth="1"/>
    <col min="15106" max="15106" width="11.5703125" style="1" bestFit="1" customWidth="1"/>
    <col min="15107" max="15360" width="10.140625" style="1" customWidth="1"/>
    <col min="15361" max="15361" width="14.7109375" style="1" customWidth="1"/>
    <col min="15362" max="15362" width="11.5703125" style="1" bestFit="1" customWidth="1"/>
    <col min="15363" max="15616" width="10.140625" style="1" customWidth="1"/>
    <col min="15617" max="15617" width="14.7109375" style="1" customWidth="1"/>
    <col min="15618" max="15618" width="11.5703125" style="1" bestFit="1" customWidth="1"/>
    <col min="15619" max="15872" width="10.140625" style="1" customWidth="1"/>
    <col min="15873" max="15873" width="14.7109375" style="1" customWidth="1"/>
    <col min="15874" max="15874" width="11.5703125" style="1" bestFit="1" customWidth="1"/>
    <col min="15875" max="16128" width="10.140625" style="1" customWidth="1"/>
    <col min="16129" max="16129" width="14.7109375" style="1" customWidth="1"/>
    <col min="16130" max="16130" width="11.5703125" style="1" bestFit="1" customWidth="1"/>
    <col min="16131" max="16384" width="10.140625" style="1" customWidth="1"/>
  </cols>
  <sheetData>
    <row r="1" spans="1:16" ht="15.75">
      <c r="A1" s="1" t="s">
        <v>0</v>
      </c>
      <c r="B1" s="2">
        <f>Sheet1!B11</f>
        <v>45303</v>
      </c>
      <c r="E1" s="1">
        <f>Sheet1!D12</f>
        <v>106.5</v>
      </c>
      <c r="F1" s="1" t="s">
        <v>1</v>
      </c>
      <c r="H1" s="3"/>
      <c r="K1" s="3"/>
      <c r="L1" s="3"/>
      <c r="M1" s="3"/>
    </row>
    <row r="2" spans="1:16" ht="15.75">
      <c r="E2" s="1">
        <f>Sheet1!D13</f>
        <v>124179</v>
      </c>
      <c r="F2" s="1" t="s">
        <v>2</v>
      </c>
      <c r="H2" s="3"/>
      <c r="K2" s="3"/>
      <c r="L2" s="3"/>
      <c r="M2" s="3"/>
    </row>
    <row r="3" spans="1:16" ht="15.75">
      <c r="B3" s="4"/>
      <c r="E3" s="1">
        <f>Sheet1!D14</f>
        <v>0.5</v>
      </c>
      <c r="F3" s="1" t="s">
        <v>3</v>
      </c>
      <c r="H3" s="3"/>
      <c r="K3" s="3"/>
      <c r="L3" s="3"/>
      <c r="M3" s="3"/>
    </row>
    <row r="4" spans="1:16" ht="15.75">
      <c r="B4" s="4"/>
      <c r="E4" s="1">
        <f>AVERAGE(Sheet1!B17:M24)*10</f>
        <v>49082.5</v>
      </c>
      <c r="F4" s="1" t="s">
        <v>4</v>
      </c>
      <c r="G4" s="1" t="s">
        <v>43</v>
      </c>
      <c r="H4" s="3"/>
      <c r="K4" s="3"/>
      <c r="L4" s="3"/>
      <c r="M4" s="3"/>
    </row>
    <row r="5" spans="1:16" ht="15.75">
      <c r="A5" s="1" t="str">
        <f>Sheet1!B14</f>
        <v>comment 1</v>
      </c>
      <c r="D5" s="5"/>
      <c r="E5" s="5">
        <f>E4/(E3*E2)</f>
        <v>0.79051208336353163</v>
      </c>
      <c r="F5" s="6" t="s">
        <v>5</v>
      </c>
      <c r="H5" s="3"/>
      <c r="I5" s="4"/>
      <c r="K5" s="3"/>
      <c r="M5" s="3"/>
    </row>
    <row r="6" spans="1:16" ht="15.75">
      <c r="A6" s="1" t="str">
        <f>Sheet1!B15</f>
        <v>comment 2</v>
      </c>
      <c r="E6" s="6"/>
      <c r="H6" s="3"/>
      <c r="K6" s="3"/>
    </row>
    <row r="7" spans="1:16" ht="15.75">
      <c r="A7" s="3" t="str">
        <f>Sheet1!B12</f>
        <v>blue</v>
      </c>
      <c r="E7" s="6"/>
      <c r="H7" s="3"/>
      <c r="K7" s="3"/>
    </row>
    <row r="8" spans="1:16" ht="15.75">
      <c r="A8" s="1" t="s">
        <v>37</v>
      </c>
      <c r="B8" s="1" t="s">
        <v>39</v>
      </c>
      <c r="E8" s="6"/>
      <c r="H8" s="3"/>
      <c r="K8" s="3"/>
    </row>
    <row r="9" spans="1:16" ht="15.75">
      <c r="A9" s="1">
        <f>Sheet1!B13</f>
        <v>1</v>
      </c>
      <c r="B9" s="1">
        <f>Sheet1!B28</f>
        <v>1</v>
      </c>
      <c r="E9" s="6"/>
      <c r="H9" s="3"/>
      <c r="K9" s="3"/>
    </row>
    <row r="10" spans="1:16" ht="15.75"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K10" s="3"/>
      <c r="P10" s="4"/>
    </row>
    <row r="11" spans="1:16" ht="15.75">
      <c r="A11" s="4" t="s">
        <v>52</v>
      </c>
      <c r="B11" s="3">
        <f>Sheet1!B33</f>
        <v>300</v>
      </c>
      <c r="C11" s="3">
        <f>Sheet1!C33</f>
        <v>344</v>
      </c>
      <c r="D11" s="5"/>
      <c r="E11" s="5"/>
      <c r="H11" s="5">
        <f>J14*100/$J$14</f>
        <v>100</v>
      </c>
      <c r="L11" s="4" t="s">
        <v>11</v>
      </c>
      <c r="M11" s="4" t="s">
        <v>12</v>
      </c>
    </row>
    <row r="12" spans="1:16" ht="15.75">
      <c r="A12" s="7" t="str">
        <f>Sheet1!B31</f>
        <v>Drug 1</v>
      </c>
      <c r="B12" s="3">
        <f>Sheet1!B34</f>
        <v>174</v>
      </c>
      <c r="C12" s="3">
        <f>Sheet1!C34</f>
        <v>214</v>
      </c>
      <c r="D12" s="5"/>
      <c r="E12" s="5"/>
      <c r="H12" s="5"/>
      <c r="J12" s="8"/>
      <c r="L12" s="1">
        <f>Sheet1!B2</f>
        <v>300</v>
      </c>
      <c r="M12" s="1">
        <f>Sheet1!C2</f>
        <v>174</v>
      </c>
    </row>
    <row r="13" spans="1:16" ht="15.75">
      <c r="B13" s="3">
        <f>Sheet1!B35</f>
        <v>145</v>
      </c>
      <c r="C13" s="3">
        <f>Sheet1!C35</f>
        <v>140</v>
      </c>
      <c r="D13" s="5">
        <f t="shared" ref="D13:D21" si="0">AVERAGE(B13:C13)</f>
        <v>142.5</v>
      </c>
      <c r="E13" s="5">
        <f>D13-$J$18</f>
        <v>-56.25</v>
      </c>
      <c r="F13" s="9">
        <f t="shared" ref="F13:F21" si="1">10^G13</f>
        <v>9.9999999999999995E-7</v>
      </c>
      <c r="G13" s="5">
        <f>Sheet1!C31</f>
        <v>-6</v>
      </c>
      <c r="H13" s="5">
        <f t="shared" ref="H13:H21" si="2">E13*100/$J$16</f>
        <v>-31.315240083507305</v>
      </c>
      <c r="J13" s="10" t="s">
        <v>14</v>
      </c>
      <c r="L13" s="1">
        <f>Sheet1!B3</f>
        <v>344</v>
      </c>
      <c r="M13" s="1">
        <f>Sheet1!C3</f>
        <v>214</v>
      </c>
      <c r="P13" s="4"/>
    </row>
    <row r="14" spans="1:16" ht="15.75">
      <c r="B14" s="3">
        <f>Sheet1!B36</f>
        <v>195</v>
      </c>
      <c r="C14" s="3">
        <f>Sheet1!C36</f>
        <v>196</v>
      </c>
      <c r="D14" s="5">
        <f t="shared" si="0"/>
        <v>195.5</v>
      </c>
      <c r="E14" s="5">
        <f t="shared" ref="E14:E21" si="3">D14-$J$18</f>
        <v>-3.25</v>
      </c>
      <c r="F14" s="9">
        <f t="shared" si="1"/>
        <v>3.1622776601683734E-7</v>
      </c>
      <c r="G14" s="5">
        <f>G13-0.5</f>
        <v>-6.5</v>
      </c>
      <c r="H14" s="5">
        <f t="shared" si="2"/>
        <v>-1.8093249826026443</v>
      </c>
      <c r="J14" s="10">
        <f>AVERAGE(L12:L27)</f>
        <v>378.375</v>
      </c>
      <c r="L14" s="1">
        <f>Sheet1!B4</f>
        <v>373</v>
      </c>
      <c r="M14" s="1">
        <f>Sheet1!C4</f>
        <v>212</v>
      </c>
    </row>
    <row r="15" spans="1:16" ht="15.75">
      <c r="B15" s="3">
        <f>Sheet1!B37</f>
        <v>222</v>
      </c>
      <c r="C15" s="3">
        <f>Sheet1!C37</f>
        <v>243</v>
      </c>
      <c r="D15" s="5">
        <f t="shared" si="0"/>
        <v>232.5</v>
      </c>
      <c r="E15" s="5">
        <f t="shared" si="3"/>
        <v>33.75</v>
      </c>
      <c r="F15" s="9">
        <f t="shared" si="1"/>
        <v>9.9999999999999995E-8</v>
      </c>
      <c r="G15" s="5">
        <f t="shared" ref="G15:G21" si="4">G14-0.5</f>
        <v>-7</v>
      </c>
      <c r="H15" s="5">
        <f t="shared" si="2"/>
        <v>18.789144050104383</v>
      </c>
      <c r="J15" s="10" t="s">
        <v>15</v>
      </c>
      <c r="L15" s="1">
        <f>Sheet1!B5</f>
        <v>506</v>
      </c>
      <c r="M15" s="1">
        <f>Sheet1!C5</f>
        <v>190</v>
      </c>
    </row>
    <row r="16" spans="1:16" ht="15.75">
      <c r="B16" s="3">
        <f>Sheet1!B38</f>
        <v>277</v>
      </c>
      <c r="C16" s="3">
        <f>Sheet1!C38</f>
        <v>292</v>
      </c>
      <c r="D16" s="5">
        <f t="shared" si="0"/>
        <v>284.5</v>
      </c>
      <c r="E16" s="5">
        <f t="shared" si="3"/>
        <v>85.75</v>
      </c>
      <c r="F16" s="9">
        <f t="shared" si="1"/>
        <v>3.1622776601683699E-8</v>
      </c>
      <c r="G16" s="5">
        <f t="shared" si="4"/>
        <v>-7.5</v>
      </c>
      <c r="H16" s="5">
        <f t="shared" si="2"/>
        <v>47.738343771746692</v>
      </c>
      <c r="J16" s="10">
        <f>J14-J18</f>
        <v>179.625</v>
      </c>
      <c r="L16" s="1">
        <f>Sheet1!B6</f>
        <v>358</v>
      </c>
      <c r="M16" s="1">
        <f>Sheet1!C6</f>
        <v>265</v>
      </c>
    </row>
    <row r="17" spans="1:13" ht="15.75">
      <c r="B17" s="3">
        <f>Sheet1!B39</f>
        <v>349</v>
      </c>
      <c r="C17" s="3">
        <f>Sheet1!C39</f>
        <v>436</v>
      </c>
      <c r="D17" s="5">
        <f t="shared" si="0"/>
        <v>392.5</v>
      </c>
      <c r="E17" s="5">
        <f t="shared" si="3"/>
        <v>193.75</v>
      </c>
      <c r="F17" s="9">
        <f t="shared" si="1"/>
        <v>1E-8</v>
      </c>
      <c r="G17" s="5">
        <f t="shared" si="4"/>
        <v>-8</v>
      </c>
      <c r="H17" s="5">
        <f t="shared" si="2"/>
        <v>107.86360473208073</v>
      </c>
      <c r="J17" s="10" t="s">
        <v>16</v>
      </c>
      <c r="L17" s="1">
        <f>Sheet1!B7</f>
        <v>565</v>
      </c>
      <c r="M17" s="1">
        <f>Sheet1!C7</f>
        <v>162</v>
      </c>
    </row>
    <row r="18" spans="1:13" ht="15.75">
      <c r="A18" s="3"/>
      <c r="B18" s="3">
        <f>Sheet1!B40</f>
        <v>341</v>
      </c>
      <c r="C18" s="3">
        <f>Sheet1!C40</f>
        <v>338</v>
      </c>
      <c r="D18" s="5">
        <f t="shared" si="0"/>
        <v>339.5</v>
      </c>
      <c r="E18" s="5">
        <f t="shared" si="3"/>
        <v>140.75</v>
      </c>
      <c r="F18" s="9">
        <f t="shared" si="1"/>
        <v>3.1622776601683779E-9</v>
      </c>
      <c r="G18" s="5">
        <f t="shared" si="4"/>
        <v>-8.5</v>
      </c>
      <c r="H18" s="5">
        <f t="shared" si="2"/>
        <v>78.357689631176058</v>
      </c>
      <c r="J18" s="10">
        <f>AVERAGE(M12:M19)</f>
        <v>198.75</v>
      </c>
      <c r="L18" s="1">
        <f>Sheet1!B8</f>
        <v>361</v>
      </c>
      <c r="M18" s="1">
        <f>Sheet1!C8</f>
        <v>176</v>
      </c>
    </row>
    <row r="19" spans="1:13" ht="15.75">
      <c r="B19" s="3">
        <f>Sheet1!B41</f>
        <v>259</v>
      </c>
      <c r="C19" s="3">
        <f>Sheet1!C41</f>
        <v>276</v>
      </c>
      <c r="D19" s="5">
        <f t="shared" si="0"/>
        <v>267.5</v>
      </c>
      <c r="E19" s="5">
        <f t="shared" si="3"/>
        <v>68.75</v>
      </c>
      <c r="F19" s="9">
        <f t="shared" si="1"/>
        <v>1.0000000000000001E-9</v>
      </c>
      <c r="G19" s="5">
        <f t="shared" si="4"/>
        <v>-9</v>
      </c>
      <c r="H19" s="5">
        <f t="shared" si="2"/>
        <v>38.274182324286706</v>
      </c>
      <c r="L19" s="1">
        <f>Sheet1!B9</f>
        <v>352</v>
      </c>
      <c r="M19" s="1">
        <f>Sheet1!C9</f>
        <v>197</v>
      </c>
    </row>
    <row r="20" spans="1:13" ht="15.75">
      <c r="B20" s="3">
        <f>Sheet1!B42</f>
        <v>313</v>
      </c>
      <c r="C20" s="3">
        <f>Sheet1!C42</f>
        <v>272</v>
      </c>
      <c r="D20" s="5">
        <f t="shared" si="0"/>
        <v>292.5</v>
      </c>
      <c r="E20" s="5">
        <f t="shared" si="3"/>
        <v>93.75</v>
      </c>
      <c r="F20" s="9">
        <f t="shared" si="1"/>
        <v>3.1622776601683744E-10</v>
      </c>
      <c r="G20" s="5">
        <f t="shared" si="4"/>
        <v>-9.5</v>
      </c>
      <c r="H20" s="5">
        <f t="shared" si="2"/>
        <v>52.192066805845513</v>
      </c>
      <c r="K20" s="12"/>
      <c r="L20" s="1">
        <f>Sheet1!M2</f>
        <v>307</v>
      </c>
      <c r="M20" s="12"/>
    </row>
    <row r="21" spans="1:13" ht="15.75">
      <c r="B21" s="3">
        <f>Sheet1!B43</f>
        <v>250</v>
      </c>
      <c r="C21" s="3">
        <f>Sheet1!C43</f>
        <v>270</v>
      </c>
      <c r="D21" s="5">
        <f t="shared" si="0"/>
        <v>260</v>
      </c>
      <c r="E21" s="5">
        <f t="shared" si="3"/>
        <v>61.25</v>
      </c>
      <c r="F21" s="9">
        <f t="shared" si="1"/>
        <v>1E-10</v>
      </c>
      <c r="G21" s="5">
        <f t="shared" si="4"/>
        <v>-10</v>
      </c>
      <c r="H21" s="5">
        <f t="shared" si="2"/>
        <v>34.09881697981907</v>
      </c>
      <c r="K21" s="12"/>
      <c r="L21" s="1">
        <f>Sheet1!M3</f>
        <v>312</v>
      </c>
    </row>
    <row r="22" spans="1:13" ht="15.75">
      <c r="B22" s="3">
        <f>Sheet1!B44</f>
        <v>307</v>
      </c>
      <c r="C22" s="3">
        <f>Sheet1!C44</f>
        <v>312</v>
      </c>
      <c r="D22" s="5"/>
      <c r="E22" s="5"/>
      <c r="F22" s="9"/>
      <c r="G22" s="5"/>
      <c r="H22" s="5"/>
      <c r="L22" s="1">
        <f>Sheet1!M4</f>
        <v>369</v>
      </c>
    </row>
    <row r="23" spans="1:13" ht="15.75">
      <c r="B23" s="3"/>
      <c r="C23" s="3"/>
      <c r="L23" s="1">
        <f>Sheet1!M5</f>
        <v>385</v>
      </c>
    </row>
    <row r="24" spans="1:13" ht="15.75">
      <c r="B24" s="3"/>
      <c r="C24" s="3"/>
      <c r="D24" s="5"/>
      <c r="E24" s="5"/>
      <c r="H24" s="5"/>
      <c r="L24" s="1">
        <f>Sheet1!M6</f>
        <v>334</v>
      </c>
    </row>
    <row r="25" spans="1:13" ht="15.75">
      <c r="A25" s="7"/>
      <c r="B25" s="3"/>
      <c r="C25" s="3"/>
      <c r="D25" s="5"/>
      <c r="E25" s="5"/>
      <c r="H25" s="5"/>
      <c r="L25" s="1">
        <f>Sheet1!M7</f>
        <v>413</v>
      </c>
    </row>
    <row r="26" spans="1:13" ht="15.75">
      <c r="A26" s="3"/>
      <c r="B26" s="3"/>
      <c r="C26" s="3"/>
      <c r="D26" s="5"/>
      <c r="E26" s="5"/>
      <c r="F26" s="9"/>
      <c r="G26" s="5"/>
      <c r="H26" s="5"/>
      <c r="L26" s="1">
        <f>Sheet1!M8</f>
        <v>422</v>
      </c>
    </row>
    <row r="27" spans="1:13" ht="15.75">
      <c r="B27" s="3"/>
      <c r="C27" s="3"/>
      <c r="D27" s="5"/>
      <c r="E27" s="5"/>
      <c r="F27" s="9"/>
      <c r="G27" s="5"/>
      <c r="H27" s="5"/>
      <c r="L27" s="1">
        <f>Sheet1!M9</f>
        <v>353</v>
      </c>
    </row>
    <row r="28" spans="1:13" ht="15.75">
      <c r="A28" s="3"/>
      <c r="B28" s="3"/>
      <c r="C28" s="3"/>
      <c r="D28" s="5"/>
      <c r="E28" s="5"/>
      <c r="F28" s="9"/>
      <c r="G28" s="5"/>
      <c r="H28" s="5"/>
    </row>
    <row r="29" spans="1:13" ht="15.75">
      <c r="A29" s="3"/>
      <c r="B29" s="3"/>
      <c r="C29" s="3"/>
      <c r="D29" s="5"/>
      <c r="E29" s="5"/>
      <c r="F29" s="9"/>
      <c r="G29" s="5"/>
      <c r="H29" s="5"/>
    </row>
    <row r="30" spans="1:13" ht="15.75">
      <c r="A30" s="3"/>
      <c r="B30" s="3"/>
      <c r="C30" s="3"/>
      <c r="D30" s="5"/>
      <c r="E30" s="5"/>
      <c r="F30" s="9"/>
      <c r="G30" s="5"/>
      <c r="H30" s="5"/>
    </row>
    <row r="31" spans="1:13" ht="15.75">
      <c r="B31" s="3"/>
      <c r="C31" s="3"/>
      <c r="D31" s="5"/>
      <c r="E31" s="5"/>
      <c r="F31" s="9"/>
      <c r="G31" s="5"/>
      <c r="H31" s="5"/>
    </row>
    <row r="32" spans="1:13" ht="15.75">
      <c r="A32" s="3"/>
      <c r="B32" s="3"/>
      <c r="C32" s="3"/>
      <c r="D32" s="5"/>
      <c r="E32" s="5"/>
      <c r="F32" s="9"/>
      <c r="G32" s="5"/>
      <c r="H32" s="5"/>
    </row>
    <row r="33" spans="1:8" ht="15.75">
      <c r="B33" s="3"/>
      <c r="C33" s="3"/>
      <c r="D33" s="5"/>
      <c r="E33" s="5"/>
      <c r="F33" s="9"/>
      <c r="G33" s="5"/>
      <c r="H33" s="5"/>
    </row>
    <row r="34" spans="1:8" ht="15.75">
      <c r="A34" s="3"/>
      <c r="B34" s="3"/>
      <c r="C34" s="3"/>
      <c r="D34" s="5"/>
      <c r="E34" s="5"/>
      <c r="F34" s="9"/>
      <c r="G34" s="5"/>
      <c r="H34" s="5"/>
    </row>
    <row r="35" spans="1:8" ht="15.75">
      <c r="B35" s="3"/>
      <c r="C35" s="3"/>
      <c r="D35" s="5"/>
      <c r="E35" s="5"/>
      <c r="F35" s="9"/>
      <c r="G35" s="5"/>
      <c r="H35" s="5"/>
    </row>
    <row r="36" spans="1:8" ht="15.75">
      <c r="B36" s="3"/>
      <c r="C36" s="3"/>
    </row>
    <row r="37" spans="1:8" ht="15.75">
      <c r="B37" s="3"/>
      <c r="C37" s="3"/>
      <c r="D37" s="5"/>
      <c r="E37" s="5"/>
      <c r="H37" s="5"/>
    </row>
    <row r="38" spans="1:8" ht="15.75">
      <c r="B38" s="3"/>
      <c r="C38" s="3"/>
      <c r="D38" s="5"/>
      <c r="E38" s="5"/>
      <c r="H38" s="5"/>
    </row>
    <row r="39" spans="1:8" ht="15.75">
      <c r="A39" s="3"/>
      <c r="B39" s="3"/>
      <c r="C39" s="3"/>
      <c r="D39" s="5"/>
      <c r="E39" s="5"/>
      <c r="F39" s="9"/>
      <c r="G39" s="5"/>
      <c r="H39" s="5"/>
    </row>
    <row r="40" spans="1:8" ht="15.75">
      <c r="B40" s="3"/>
      <c r="C40" s="3"/>
      <c r="D40" s="5"/>
      <c r="E40" s="5"/>
      <c r="F40" s="9"/>
      <c r="G40" s="5"/>
      <c r="H40" s="5"/>
    </row>
    <row r="41" spans="1:8" ht="15.75">
      <c r="B41" s="3"/>
      <c r="C41" s="3"/>
      <c r="D41" s="5"/>
      <c r="E41" s="5"/>
      <c r="F41" s="9"/>
      <c r="G41" s="5"/>
      <c r="H41" s="5"/>
    </row>
    <row r="42" spans="1:8" ht="15.75">
      <c r="A42" s="3"/>
      <c r="B42" s="3"/>
      <c r="C42" s="3"/>
      <c r="D42" s="5"/>
      <c r="E42" s="5"/>
      <c r="F42" s="9"/>
      <c r="G42" s="5"/>
      <c r="H42" s="5"/>
    </row>
    <row r="43" spans="1:8" ht="15.75">
      <c r="B43" s="3"/>
      <c r="C43" s="3"/>
      <c r="D43" s="5"/>
      <c r="E43" s="5"/>
      <c r="F43" s="9"/>
      <c r="G43" s="5"/>
      <c r="H43" s="5"/>
    </row>
    <row r="44" spans="1:8" ht="15.75">
      <c r="B44" s="3"/>
      <c r="C44" s="3"/>
      <c r="D44" s="5"/>
      <c r="E44" s="5"/>
      <c r="F44" s="9"/>
      <c r="G44" s="5"/>
      <c r="H44" s="5"/>
    </row>
    <row r="45" spans="1:8" ht="15.75">
      <c r="B45" s="3"/>
      <c r="C45" s="3"/>
      <c r="D45" s="5"/>
      <c r="E45" s="5"/>
      <c r="F45" s="9"/>
      <c r="G45" s="5"/>
      <c r="H45" s="5"/>
    </row>
    <row r="46" spans="1:8" ht="15.75">
      <c r="B46" s="3"/>
      <c r="C46" s="3"/>
      <c r="D46" s="5"/>
      <c r="E46" s="5"/>
      <c r="F46" s="9"/>
      <c r="G46" s="5"/>
      <c r="H46" s="5"/>
    </row>
    <row r="47" spans="1:8" ht="15.75">
      <c r="B47" s="3"/>
      <c r="C47" s="3"/>
      <c r="D47" s="5"/>
      <c r="E47" s="5"/>
      <c r="F47" s="9"/>
      <c r="G47" s="5"/>
      <c r="H47" s="13"/>
    </row>
    <row r="48" spans="1:8" ht="15.75">
      <c r="B48" s="3"/>
      <c r="C48" s="3"/>
      <c r="D48" s="5"/>
      <c r="E48" s="5"/>
      <c r="F48" s="9"/>
      <c r="G48" s="5"/>
      <c r="H48" s="5"/>
    </row>
    <row r="49" spans="1:8" ht="15.75">
      <c r="B49" s="3"/>
      <c r="C49" s="3"/>
    </row>
    <row r="50" spans="1:8" ht="15.75">
      <c r="B50" s="3"/>
      <c r="C50" s="3"/>
      <c r="D50" s="5"/>
      <c r="E50" s="5"/>
      <c r="H50" s="5"/>
    </row>
    <row r="51" spans="1:8" ht="15.75">
      <c r="A51" s="7"/>
      <c r="B51" s="3"/>
      <c r="C51" s="3"/>
      <c r="D51" s="5"/>
      <c r="E51" s="5"/>
      <c r="H51" s="5"/>
    </row>
    <row r="52" spans="1:8" ht="15.75">
      <c r="B52" s="3"/>
      <c r="C52" s="3"/>
      <c r="D52" s="5"/>
      <c r="E52" s="5"/>
      <c r="F52" s="9"/>
      <c r="G52" s="5"/>
      <c r="H52" s="5"/>
    </row>
    <row r="53" spans="1:8" ht="15.75">
      <c r="A53" s="11"/>
      <c r="B53" s="3"/>
      <c r="C53" s="3"/>
      <c r="D53" s="5"/>
      <c r="E53" s="5"/>
      <c r="F53" s="9"/>
      <c r="G53" s="5"/>
      <c r="H53" s="5"/>
    </row>
    <row r="54" spans="1:8" ht="15.75">
      <c r="B54" s="3"/>
      <c r="C54" s="3"/>
      <c r="D54" s="5"/>
      <c r="E54" s="5"/>
      <c r="F54" s="9"/>
      <c r="G54" s="5"/>
      <c r="H54" s="5"/>
    </row>
    <row r="55" spans="1:8" ht="15.75">
      <c r="B55" s="3"/>
      <c r="C55" s="3"/>
      <c r="D55" s="5"/>
      <c r="E55" s="5"/>
      <c r="F55" s="9"/>
      <c r="G55" s="5"/>
      <c r="H55" s="5"/>
    </row>
    <row r="56" spans="1:8" ht="15.75">
      <c r="A56" s="3"/>
      <c r="B56" s="3"/>
      <c r="C56" s="3"/>
      <c r="D56" s="5"/>
      <c r="E56" s="5"/>
      <c r="F56" s="9"/>
      <c r="G56" s="5"/>
      <c r="H56" s="5"/>
    </row>
    <row r="57" spans="1:8" ht="15.75">
      <c r="B57" s="3"/>
      <c r="C57" s="3"/>
      <c r="D57" s="5"/>
      <c r="E57" s="5"/>
      <c r="F57" s="9"/>
      <c r="G57" s="5"/>
      <c r="H57" s="5"/>
    </row>
    <row r="58" spans="1:8" ht="15.75">
      <c r="B58" s="3"/>
      <c r="C58" s="3"/>
      <c r="D58" s="5"/>
      <c r="E58" s="5"/>
      <c r="F58" s="9"/>
      <c r="G58" s="5"/>
      <c r="H58" s="5"/>
    </row>
    <row r="59" spans="1:8" ht="15.75">
      <c r="B59" s="3"/>
      <c r="C59" s="3"/>
      <c r="D59" s="5"/>
      <c r="E59" s="5"/>
      <c r="F59" s="9"/>
      <c r="G59" s="5"/>
      <c r="H59" s="5"/>
    </row>
    <row r="60" spans="1:8" ht="15.75">
      <c r="B60" s="3"/>
      <c r="C60" s="3"/>
      <c r="D60" s="5"/>
      <c r="E60" s="5"/>
      <c r="F60" s="9"/>
      <c r="G60" s="5"/>
      <c r="H60" s="5"/>
    </row>
    <row r="61" spans="1:8" ht="15.75">
      <c r="A61" s="3"/>
      <c r="B61" s="3"/>
      <c r="C61" s="3"/>
      <c r="D61" s="5"/>
      <c r="E61" s="5"/>
      <c r="F61" s="9"/>
      <c r="G61" s="5"/>
      <c r="H61" s="5"/>
    </row>
    <row r="62" spans="1:8" ht="15.75">
      <c r="B62" s="3"/>
      <c r="C62" s="3"/>
    </row>
    <row r="63" spans="1:8" ht="15.75">
      <c r="B63" s="3"/>
      <c r="C63" s="3"/>
      <c r="D63" s="5"/>
      <c r="E63" s="5"/>
      <c r="H63" s="5"/>
    </row>
    <row r="64" spans="1:8" ht="15.75">
      <c r="A64" s="14"/>
      <c r="B64" s="3"/>
      <c r="C64" s="3"/>
      <c r="D64" s="5"/>
      <c r="E64" s="5"/>
      <c r="H64" s="5"/>
    </row>
    <row r="65" spans="1:8" ht="15.75">
      <c r="B65" s="3"/>
      <c r="C65" s="3"/>
      <c r="D65" s="5"/>
      <c r="E65" s="5"/>
      <c r="F65" s="9"/>
      <c r="G65" s="5"/>
      <c r="H65" s="5"/>
    </row>
    <row r="66" spans="1:8" ht="15.75">
      <c r="B66" s="3"/>
      <c r="C66" s="3"/>
      <c r="D66" s="5"/>
      <c r="E66" s="5"/>
      <c r="F66" s="9"/>
      <c r="G66" s="5"/>
      <c r="H66" s="5"/>
    </row>
    <row r="67" spans="1:8" ht="15.75">
      <c r="B67" s="3"/>
      <c r="C67" s="3"/>
      <c r="D67" s="5"/>
      <c r="E67" s="5"/>
      <c r="F67" s="9"/>
      <c r="G67" s="5"/>
      <c r="H67" s="5"/>
    </row>
    <row r="68" spans="1:8" ht="15.75">
      <c r="B68" s="3"/>
      <c r="C68" s="3"/>
      <c r="D68" s="5"/>
      <c r="E68" s="5"/>
      <c r="F68" s="9"/>
      <c r="G68" s="5"/>
      <c r="H68" s="5"/>
    </row>
    <row r="69" spans="1:8" ht="15.75">
      <c r="B69" s="3"/>
      <c r="C69" s="3"/>
      <c r="D69" s="5"/>
      <c r="E69" s="5"/>
      <c r="F69" s="9"/>
      <c r="G69" s="5"/>
      <c r="H69" s="5"/>
    </row>
    <row r="70" spans="1:8" ht="15.75">
      <c r="B70" s="3"/>
      <c r="C70" s="3"/>
      <c r="D70" s="5"/>
      <c r="E70" s="5"/>
      <c r="F70" s="9"/>
      <c r="G70" s="5"/>
      <c r="H70" s="5"/>
    </row>
    <row r="71" spans="1:8" ht="15.75">
      <c r="B71" s="3"/>
      <c r="C71" s="3"/>
      <c r="D71" s="5"/>
      <c r="E71" s="5"/>
      <c r="F71" s="9"/>
      <c r="G71" s="5"/>
      <c r="H71" s="5"/>
    </row>
    <row r="72" spans="1:8" ht="15.75">
      <c r="B72" s="3"/>
      <c r="C72" s="3"/>
      <c r="D72" s="5"/>
      <c r="E72" s="5"/>
      <c r="F72" s="9"/>
      <c r="G72" s="5"/>
      <c r="H72" s="5"/>
    </row>
    <row r="73" spans="1:8" ht="15.75">
      <c r="B73" s="3"/>
      <c r="C73" s="3"/>
      <c r="D73" s="5"/>
      <c r="E73" s="5"/>
      <c r="F73" s="9"/>
      <c r="G73" s="5"/>
      <c r="H73" s="5"/>
    </row>
    <row r="74" spans="1:8" ht="15.75">
      <c r="B74" s="3"/>
      <c r="C74" s="3"/>
      <c r="D74" s="5"/>
      <c r="E74" s="5"/>
      <c r="F74" s="9"/>
      <c r="G74" s="5"/>
      <c r="H74" s="5"/>
    </row>
    <row r="75" spans="1:8" ht="15.75">
      <c r="B75" s="3"/>
      <c r="C75" s="3"/>
    </row>
    <row r="76" spans="1:8" ht="15.75">
      <c r="B76" s="3"/>
      <c r="C76" s="3"/>
      <c r="D76" s="5"/>
      <c r="E76" s="5"/>
      <c r="H76" s="5"/>
    </row>
    <row r="77" spans="1:8" ht="15.75">
      <c r="A77" s="14"/>
      <c r="B77" s="3"/>
      <c r="C77" s="3"/>
      <c r="D77" s="5"/>
      <c r="E77" s="5"/>
      <c r="H77" s="5"/>
    </row>
    <row r="78" spans="1:8" ht="15.75">
      <c r="A78" s="3"/>
      <c r="B78" s="3"/>
      <c r="C78" s="3"/>
      <c r="D78" s="5"/>
      <c r="E78" s="5"/>
      <c r="F78" s="9"/>
      <c r="G78" s="5"/>
      <c r="H78" s="5"/>
    </row>
    <row r="79" spans="1:8" ht="15.75">
      <c r="B79" s="3"/>
      <c r="C79" s="3"/>
      <c r="D79" s="5"/>
      <c r="E79" s="5"/>
      <c r="F79" s="9"/>
      <c r="G79" s="5"/>
      <c r="H79" s="5"/>
    </row>
    <row r="80" spans="1:8" ht="15.75">
      <c r="A80" s="3"/>
      <c r="B80" s="3"/>
      <c r="C80" s="3"/>
      <c r="D80" s="5"/>
      <c r="E80" s="5"/>
      <c r="F80" s="9"/>
      <c r="G80" s="5"/>
      <c r="H80" s="5"/>
    </row>
    <row r="81" spans="1:8" ht="15.75">
      <c r="B81" s="3"/>
      <c r="C81" s="3"/>
      <c r="D81" s="5"/>
      <c r="E81" s="5"/>
      <c r="F81" s="9"/>
      <c r="G81" s="5"/>
      <c r="H81" s="5"/>
    </row>
    <row r="82" spans="1:8" ht="15.75">
      <c r="B82" s="3"/>
      <c r="C82" s="3"/>
      <c r="D82" s="5"/>
      <c r="E82" s="5"/>
      <c r="F82" s="9"/>
      <c r="G82" s="5"/>
      <c r="H82" s="5"/>
    </row>
    <row r="83" spans="1:8" ht="15.75">
      <c r="B83" s="3"/>
      <c r="C83" s="3"/>
      <c r="D83" s="5"/>
      <c r="E83" s="5"/>
      <c r="F83" s="9"/>
      <c r="G83" s="5"/>
      <c r="H83" s="5"/>
    </row>
    <row r="84" spans="1:8" ht="15.75">
      <c r="B84" s="3"/>
      <c r="C84" s="3"/>
      <c r="D84" s="5"/>
      <c r="E84" s="5"/>
      <c r="F84" s="9"/>
      <c r="G84" s="5"/>
      <c r="H84" s="5"/>
    </row>
    <row r="85" spans="1:8" ht="15.75">
      <c r="B85" s="3"/>
      <c r="C85" s="3"/>
      <c r="D85" s="5"/>
      <c r="E85" s="5"/>
      <c r="F85" s="9"/>
      <c r="G85" s="5"/>
      <c r="H85" s="5"/>
    </row>
    <row r="86" spans="1:8" ht="15.75">
      <c r="B86" s="3"/>
      <c r="C86" s="3"/>
      <c r="D86" s="5"/>
      <c r="E86" s="5"/>
      <c r="F86" s="9"/>
      <c r="G86" s="5"/>
      <c r="H86" s="5"/>
    </row>
    <row r="87" spans="1:8" ht="15.75">
      <c r="B87" s="3"/>
      <c r="C87" s="3"/>
      <c r="D87" s="5"/>
      <c r="E87" s="5"/>
      <c r="F87" s="9"/>
      <c r="G87" s="5"/>
      <c r="H87" s="5"/>
    </row>
    <row r="88" spans="1:8" ht="15.75">
      <c r="B88" s="3"/>
      <c r="C88" s="3"/>
    </row>
    <row r="89" spans="1:8" ht="15.75">
      <c r="B89" s="3"/>
      <c r="C89" s="3"/>
      <c r="D89" s="5"/>
      <c r="E89" s="5"/>
      <c r="H89" s="5"/>
    </row>
    <row r="90" spans="1:8" ht="15.75">
      <c r="A90" s="14"/>
      <c r="B90" s="3"/>
      <c r="C90" s="3"/>
      <c r="D90" s="5"/>
      <c r="E90" s="5"/>
      <c r="H90" s="5"/>
    </row>
    <row r="91" spans="1:8" ht="15.75">
      <c r="A91" s="3"/>
      <c r="B91" s="3"/>
      <c r="C91" s="3"/>
      <c r="D91" s="5"/>
      <c r="E91" s="5"/>
      <c r="F91" s="9"/>
      <c r="G91" s="5"/>
      <c r="H91" s="5"/>
    </row>
    <row r="92" spans="1:8" ht="15.75">
      <c r="B92" s="3"/>
      <c r="C92" s="3"/>
      <c r="D92" s="5"/>
      <c r="E92" s="5"/>
      <c r="F92" s="9"/>
      <c r="G92" s="5"/>
      <c r="H92" s="5"/>
    </row>
    <row r="93" spans="1:8" ht="15.75">
      <c r="B93" s="3"/>
      <c r="C93" s="3"/>
      <c r="D93" s="5"/>
      <c r="E93" s="5"/>
      <c r="F93" s="9"/>
      <c r="G93" s="5"/>
      <c r="H93" s="5"/>
    </row>
    <row r="94" spans="1:8" ht="15.75">
      <c r="A94" s="3"/>
      <c r="B94" s="3"/>
      <c r="C94" s="3"/>
      <c r="D94" s="5"/>
      <c r="E94" s="5"/>
      <c r="F94" s="9"/>
      <c r="G94" s="5"/>
      <c r="H94" s="5"/>
    </row>
    <row r="95" spans="1:8" ht="15.75">
      <c r="B95" s="3"/>
      <c r="C95" s="3"/>
      <c r="D95" s="5"/>
      <c r="E95" s="5"/>
      <c r="F95" s="9"/>
      <c r="G95" s="5"/>
      <c r="H95" s="5"/>
    </row>
    <row r="96" spans="1:8" ht="15.75">
      <c r="B96" s="3"/>
      <c r="C96" s="3"/>
      <c r="D96" s="5"/>
      <c r="E96" s="5"/>
      <c r="F96" s="9"/>
      <c r="G96" s="5"/>
      <c r="H96" s="5"/>
    </row>
    <row r="97" spans="1:8" ht="15.75">
      <c r="B97" s="3"/>
      <c r="C97" s="3"/>
      <c r="D97" s="5"/>
      <c r="E97" s="5"/>
      <c r="F97" s="9"/>
      <c r="G97" s="5"/>
      <c r="H97" s="5"/>
    </row>
    <row r="98" spans="1:8" ht="15.75">
      <c r="B98" s="3"/>
      <c r="C98" s="3"/>
      <c r="D98" s="5"/>
      <c r="E98" s="5"/>
      <c r="F98" s="9"/>
      <c r="G98" s="5"/>
      <c r="H98" s="5"/>
    </row>
    <row r="99" spans="1:8" ht="15.75">
      <c r="B99" s="3"/>
      <c r="C99" s="3"/>
      <c r="D99" s="5"/>
      <c r="E99" s="5"/>
      <c r="F99" s="9"/>
      <c r="G99" s="5"/>
      <c r="H99" s="5"/>
    </row>
    <row r="100" spans="1:8" ht="15.75">
      <c r="B100" s="3"/>
      <c r="C100" s="3"/>
      <c r="D100" s="5"/>
      <c r="E100" s="5"/>
      <c r="F100" s="9"/>
      <c r="G100" s="5"/>
      <c r="H100" s="5"/>
    </row>
    <row r="101" spans="1:8" ht="15.75">
      <c r="B101" s="3"/>
      <c r="C101" s="3"/>
    </row>
    <row r="102" spans="1:8" ht="15.75">
      <c r="B102" s="3"/>
      <c r="C102" s="3"/>
      <c r="D102" s="5"/>
      <c r="E102" s="5"/>
      <c r="H102" s="5"/>
    </row>
    <row r="103" spans="1:8" ht="15.75">
      <c r="A103" s="14"/>
      <c r="B103" s="3"/>
      <c r="C103" s="3"/>
      <c r="D103" s="5"/>
      <c r="E103" s="5"/>
      <c r="H103" s="5"/>
    </row>
    <row r="104" spans="1:8" ht="15.75">
      <c r="B104" s="3"/>
      <c r="C104" s="3"/>
      <c r="D104" s="5"/>
      <c r="E104" s="5"/>
      <c r="F104" s="9"/>
      <c r="G104" s="5"/>
      <c r="H104" s="5"/>
    </row>
    <row r="105" spans="1:8" ht="15.75">
      <c r="A105" s="3"/>
      <c r="B105" s="3"/>
      <c r="C105" s="3"/>
      <c r="D105" s="5"/>
      <c r="E105" s="5"/>
      <c r="F105" s="9"/>
      <c r="G105" s="5"/>
      <c r="H105" s="5"/>
    </row>
    <row r="106" spans="1:8" ht="15.75">
      <c r="B106" s="3"/>
      <c r="C106" s="3"/>
      <c r="D106" s="5"/>
      <c r="E106" s="5"/>
      <c r="F106" s="9"/>
      <c r="G106" s="5"/>
      <c r="H106" s="5"/>
    </row>
    <row r="107" spans="1:8" ht="15.75">
      <c r="B107" s="3"/>
      <c r="C107" s="3"/>
      <c r="D107" s="5"/>
      <c r="E107" s="5"/>
      <c r="F107" s="9"/>
      <c r="G107" s="5"/>
      <c r="H107" s="5"/>
    </row>
    <row r="108" spans="1:8" ht="15.75">
      <c r="A108" s="3"/>
      <c r="B108" s="3"/>
      <c r="C108" s="3"/>
      <c r="D108" s="5"/>
      <c r="E108" s="5"/>
      <c r="F108" s="9"/>
      <c r="G108" s="5"/>
      <c r="H108" s="5"/>
    </row>
    <row r="109" spans="1:8" ht="15.75">
      <c r="A109" s="3"/>
      <c r="B109" s="3"/>
      <c r="C109" s="3"/>
      <c r="D109" s="5"/>
      <c r="E109" s="5"/>
      <c r="F109" s="9"/>
      <c r="G109" s="5"/>
      <c r="H109" s="5"/>
    </row>
    <row r="110" spans="1:8" ht="15.75">
      <c r="B110" s="3"/>
      <c r="C110" s="3"/>
      <c r="D110" s="5"/>
      <c r="E110" s="5"/>
      <c r="F110" s="9"/>
      <c r="G110" s="5"/>
      <c r="H110" s="5"/>
    </row>
    <row r="111" spans="1:8" ht="15.75">
      <c r="B111" s="3"/>
      <c r="C111" s="3"/>
      <c r="D111" s="5"/>
      <c r="E111" s="5"/>
      <c r="F111" s="9"/>
      <c r="G111" s="5"/>
      <c r="H111" s="5"/>
    </row>
    <row r="112" spans="1:8" ht="15.75">
      <c r="B112" s="3"/>
      <c r="C112" s="3"/>
      <c r="D112" s="5"/>
      <c r="E112" s="5"/>
      <c r="F112" s="9"/>
      <c r="G112" s="5"/>
      <c r="H112" s="5"/>
    </row>
    <row r="113" spans="1:8" ht="15.75">
      <c r="A113" s="3"/>
      <c r="B113" s="3"/>
      <c r="C113" s="3"/>
      <c r="D113" s="5"/>
      <c r="E113" s="5"/>
      <c r="F113" s="9"/>
      <c r="G113" s="5"/>
      <c r="H113" s="5"/>
    </row>
    <row r="114" spans="1:8" ht="15.75" customHeight="1">
      <c r="B114" s="3"/>
      <c r="C114" s="3"/>
    </row>
    <row r="115" spans="1:8" ht="15.75" customHeight="1">
      <c r="D115" s="5"/>
      <c r="E115" s="5"/>
      <c r="H115" s="5"/>
    </row>
    <row r="116" spans="1:8" ht="15.75" customHeight="1">
      <c r="D116" s="5"/>
      <c r="E116" s="5"/>
      <c r="H116" s="5"/>
    </row>
    <row r="117" spans="1:8" ht="15.75" customHeight="1">
      <c r="A117" s="3"/>
      <c r="D117" s="5"/>
      <c r="E117" s="5"/>
      <c r="F117" s="9"/>
      <c r="G117" s="5"/>
      <c r="H117" s="5"/>
    </row>
    <row r="118" spans="1:8" ht="15.75" customHeight="1">
      <c r="D118" s="5"/>
      <c r="E118" s="5"/>
      <c r="F118" s="9"/>
      <c r="G118" s="5"/>
      <c r="H118" s="5"/>
    </row>
    <row r="119" spans="1:8" ht="15.75" customHeight="1">
      <c r="D119" s="5"/>
      <c r="E119" s="5"/>
      <c r="F119" s="9"/>
      <c r="G119" s="5"/>
      <c r="H119" s="5"/>
    </row>
    <row r="120" spans="1:8" ht="15.75" customHeight="1">
      <c r="D120" s="5"/>
      <c r="E120" s="5"/>
      <c r="F120" s="9"/>
      <c r="G120" s="5"/>
      <c r="H120" s="5"/>
    </row>
    <row r="121" spans="1:8" ht="15.75" customHeight="1">
      <c r="D121" s="5"/>
      <c r="E121" s="5"/>
      <c r="F121" s="9"/>
      <c r="G121" s="5"/>
      <c r="H121" s="5"/>
    </row>
    <row r="122" spans="1:8" ht="15.75" customHeight="1">
      <c r="D122" s="5"/>
      <c r="E122" s="5"/>
      <c r="F122" s="9"/>
      <c r="G122" s="5"/>
      <c r="H122" s="5"/>
    </row>
    <row r="123" spans="1:8" ht="15.75" customHeight="1">
      <c r="D123" s="5"/>
      <c r="E123" s="5"/>
      <c r="F123" s="9"/>
      <c r="G123" s="5"/>
      <c r="H123" s="5"/>
    </row>
    <row r="124" spans="1:8" ht="15.75" customHeight="1">
      <c r="D124" s="5"/>
      <c r="E124" s="5"/>
      <c r="F124" s="9"/>
      <c r="G124" s="5"/>
      <c r="H124" s="5"/>
    </row>
    <row r="125" spans="1:8" ht="15.75" customHeight="1">
      <c r="D125" s="5"/>
      <c r="E125" s="5"/>
      <c r="F125" s="9"/>
      <c r="G125" s="5"/>
      <c r="H125" s="5"/>
    </row>
    <row r="126" spans="1:8" ht="15.75" customHeight="1">
      <c r="D126" s="5"/>
      <c r="E126" s="5"/>
      <c r="F126" s="9"/>
      <c r="G126" s="5"/>
      <c r="H126" s="5"/>
    </row>
    <row r="127" spans="1:8" ht="15.75" customHeight="1"/>
    <row r="128" spans="1:8" ht="15.75" customHeight="1">
      <c r="D128" s="5"/>
      <c r="E128" s="5"/>
      <c r="H128" s="5"/>
    </row>
    <row r="129" spans="1:8" ht="15.75" customHeight="1">
      <c r="D129" s="5"/>
      <c r="E129" s="5"/>
      <c r="H129" s="5"/>
    </row>
    <row r="130" spans="1:8" ht="15.75" customHeight="1">
      <c r="A130" s="3"/>
      <c r="D130" s="5"/>
      <c r="E130" s="5"/>
      <c r="F130" s="9"/>
      <c r="G130" s="5"/>
      <c r="H130" s="5"/>
    </row>
    <row r="131" spans="1:8" ht="15.75" customHeight="1">
      <c r="D131" s="5"/>
      <c r="E131" s="5"/>
      <c r="F131" s="9"/>
      <c r="G131" s="5"/>
      <c r="H131" s="5"/>
    </row>
    <row r="132" spans="1:8" ht="15.75" customHeight="1">
      <c r="D132" s="5"/>
      <c r="E132" s="5"/>
      <c r="F132" s="9"/>
      <c r="G132" s="5"/>
      <c r="H132" s="5"/>
    </row>
    <row r="133" spans="1:8" ht="15.75" customHeight="1">
      <c r="D133" s="5"/>
      <c r="E133" s="5"/>
      <c r="F133" s="9"/>
      <c r="G133" s="5"/>
      <c r="H133" s="5"/>
    </row>
    <row r="134" spans="1:8" ht="15.75" customHeight="1">
      <c r="D134" s="5"/>
      <c r="E134" s="5"/>
      <c r="F134" s="9"/>
      <c r="G134" s="5"/>
      <c r="H134" s="5"/>
    </row>
    <row r="135" spans="1:8" ht="15.75" customHeight="1">
      <c r="D135" s="5"/>
      <c r="E135" s="5"/>
      <c r="F135" s="9"/>
      <c r="G135" s="5"/>
      <c r="H135" s="5"/>
    </row>
    <row r="136" spans="1:8" ht="15.75" customHeight="1">
      <c r="D136" s="5"/>
      <c r="E136" s="5"/>
      <c r="F136" s="9"/>
      <c r="G136" s="5"/>
      <c r="H136" s="5"/>
    </row>
    <row r="137" spans="1:8" ht="15.75" customHeight="1">
      <c r="D137" s="5"/>
      <c r="E137" s="5"/>
      <c r="F137" s="9"/>
      <c r="G137" s="5"/>
      <c r="H137" s="5"/>
    </row>
    <row r="138" spans="1:8" ht="15.75" customHeight="1">
      <c r="D138" s="5"/>
      <c r="E138" s="5"/>
      <c r="F138" s="9"/>
      <c r="G138" s="5"/>
      <c r="H138" s="5"/>
    </row>
    <row r="139" spans="1:8" ht="15.75" customHeight="1">
      <c r="D139" s="5"/>
      <c r="E139" s="5"/>
      <c r="F139" s="9"/>
      <c r="G139" s="5"/>
      <c r="H139" s="5"/>
    </row>
    <row r="140" spans="1:8" ht="15.75" customHeight="1"/>
    <row r="141" spans="1:8" ht="15.75" customHeight="1">
      <c r="D141" s="5"/>
      <c r="E141" s="5"/>
      <c r="H141" s="5"/>
    </row>
    <row r="142" spans="1:8" ht="15.75" customHeight="1">
      <c r="D142" s="5"/>
      <c r="E142" s="5"/>
      <c r="H142" s="5"/>
    </row>
    <row r="143" spans="1:8" ht="15.75" customHeight="1">
      <c r="A143" s="3"/>
      <c r="D143" s="5"/>
      <c r="E143" s="5"/>
      <c r="F143" s="9"/>
      <c r="G143" s="5"/>
      <c r="H143" s="5"/>
    </row>
    <row r="144" spans="1:8" ht="15.75" customHeight="1">
      <c r="D144" s="5"/>
      <c r="E144" s="5"/>
      <c r="F144" s="9"/>
      <c r="G144" s="5"/>
      <c r="H144" s="5"/>
    </row>
    <row r="145" spans="1:8" ht="15.75" customHeight="1">
      <c r="D145" s="5"/>
      <c r="E145" s="5"/>
      <c r="F145" s="9"/>
      <c r="G145" s="5"/>
      <c r="H145" s="5"/>
    </row>
    <row r="146" spans="1:8" ht="15.75" customHeight="1">
      <c r="A146" s="3"/>
      <c r="D146" s="5"/>
      <c r="E146" s="5"/>
      <c r="F146" s="9"/>
      <c r="G146" s="5"/>
      <c r="H146" s="5"/>
    </row>
    <row r="147" spans="1:8" ht="15.75" customHeight="1">
      <c r="D147" s="5"/>
      <c r="E147" s="5"/>
      <c r="F147" s="9"/>
      <c r="G147" s="5"/>
      <c r="H147" s="5"/>
    </row>
    <row r="148" spans="1:8" ht="15.75" customHeight="1">
      <c r="D148" s="5"/>
      <c r="E148" s="5"/>
      <c r="F148" s="9"/>
      <c r="G148" s="5"/>
      <c r="H148" s="5"/>
    </row>
    <row r="149" spans="1:8" ht="15.75" customHeight="1">
      <c r="D149" s="5"/>
      <c r="E149" s="5"/>
      <c r="F149" s="9"/>
      <c r="G149" s="5"/>
      <c r="H149" s="5"/>
    </row>
    <row r="150" spans="1:8" ht="15.75" customHeight="1">
      <c r="D150" s="5"/>
      <c r="E150" s="5"/>
      <c r="F150" s="9"/>
      <c r="G150" s="5"/>
      <c r="H150" s="5"/>
    </row>
    <row r="151" spans="1:8" ht="15.75" customHeight="1">
      <c r="D151" s="5"/>
      <c r="E151" s="5"/>
      <c r="F151" s="9"/>
      <c r="G151" s="5"/>
      <c r="H151" s="5"/>
    </row>
    <row r="152" spans="1:8" ht="15.75" customHeight="1">
      <c r="D152" s="5"/>
      <c r="E152" s="5"/>
      <c r="F152" s="9"/>
      <c r="G152" s="5"/>
      <c r="H152" s="5"/>
    </row>
    <row r="153" spans="1:8" ht="15.75" customHeight="1"/>
    <row r="154" spans="1:8" ht="15.75" customHeight="1">
      <c r="D154" s="5"/>
      <c r="E154" s="5"/>
      <c r="H154" s="5"/>
    </row>
    <row r="155" spans="1:8" ht="15.75" customHeight="1">
      <c r="D155" s="5"/>
      <c r="E155" s="5"/>
      <c r="H155" s="5"/>
    </row>
    <row r="156" spans="1:8" ht="15.75" customHeight="1">
      <c r="D156" s="5"/>
      <c r="E156" s="5"/>
      <c r="F156" s="9"/>
      <c r="G156" s="5"/>
      <c r="H156" s="5"/>
    </row>
    <row r="157" spans="1:8" ht="15.75" customHeight="1">
      <c r="D157" s="5"/>
      <c r="E157" s="5"/>
      <c r="F157" s="9"/>
      <c r="G157" s="5"/>
      <c r="H157" s="5"/>
    </row>
    <row r="158" spans="1:8" ht="15.75" customHeight="1">
      <c r="D158" s="5"/>
      <c r="E158" s="5"/>
      <c r="F158" s="9"/>
      <c r="G158" s="5"/>
      <c r="H158" s="5"/>
    </row>
    <row r="159" spans="1:8" ht="15.75" customHeight="1">
      <c r="D159" s="5"/>
      <c r="E159" s="5"/>
      <c r="F159" s="9"/>
      <c r="G159" s="5"/>
      <c r="H159" s="5"/>
    </row>
    <row r="160" spans="1:8" ht="15.75" customHeight="1">
      <c r="D160" s="5"/>
      <c r="E160" s="5"/>
      <c r="F160" s="9"/>
      <c r="G160" s="5"/>
      <c r="H160" s="5"/>
    </row>
    <row r="161" spans="1:8" ht="15.75" customHeight="1">
      <c r="D161" s="5"/>
      <c r="E161" s="5"/>
      <c r="F161" s="9"/>
      <c r="G161" s="5"/>
      <c r="H161" s="5"/>
    </row>
    <row r="162" spans="1:8" ht="15.75" customHeight="1">
      <c r="D162" s="5"/>
      <c r="E162" s="5"/>
      <c r="F162" s="9"/>
      <c r="G162" s="5"/>
      <c r="H162" s="5"/>
    </row>
    <row r="163" spans="1:8" ht="15.75" customHeight="1">
      <c r="D163" s="5"/>
      <c r="E163" s="5"/>
      <c r="F163" s="9"/>
      <c r="G163" s="5"/>
      <c r="H163" s="5"/>
    </row>
    <row r="164" spans="1:8" ht="15.75" customHeight="1">
      <c r="D164" s="5"/>
      <c r="E164" s="5"/>
      <c r="F164" s="9"/>
      <c r="G164" s="5"/>
      <c r="H164" s="5"/>
    </row>
    <row r="165" spans="1:8" ht="15.75" customHeight="1">
      <c r="A165" s="3"/>
      <c r="D165" s="5"/>
      <c r="E165" s="5"/>
      <c r="F165" s="9"/>
      <c r="G165" s="5"/>
      <c r="H165" s="5"/>
    </row>
    <row r="166" spans="1:8" ht="15.75" customHeight="1">
      <c r="H166" s="15"/>
    </row>
    <row r="167" spans="1:8">
      <c r="D167" s="5"/>
      <c r="E167" s="5"/>
      <c r="H167" s="5"/>
    </row>
    <row r="168" spans="1:8">
      <c r="D168" s="5"/>
      <c r="E168" s="5"/>
      <c r="H168" s="5"/>
    </row>
    <row r="169" spans="1:8">
      <c r="D169" s="5"/>
      <c r="E169" s="5"/>
      <c r="F169" s="9"/>
      <c r="G169" s="5"/>
      <c r="H169" s="5"/>
    </row>
    <row r="170" spans="1:8">
      <c r="D170" s="5"/>
      <c r="E170" s="5"/>
      <c r="F170" s="9"/>
      <c r="G170" s="5"/>
      <c r="H170" s="5"/>
    </row>
    <row r="171" spans="1:8">
      <c r="D171" s="5"/>
      <c r="E171" s="5"/>
      <c r="F171" s="9"/>
      <c r="G171" s="5"/>
      <c r="H171" s="5"/>
    </row>
    <row r="172" spans="1:8">
      <c r="D172" s="5"/>
      <c r="E172" s="5"/>
      <c r="F172" s="9"/>
      <c r="G172" s="5"/>
      <c r="H172" s="5"/>
    </row>
    <row r="173" spans="1:8">
      <c r="D173" s="5"/>
      <c r="E173" s="5"/>
      <c r="F173" s="9"/>
      <c r="G173" s="5"/>
      <c r="H173" s="5"/>
    </row>
    <row r="174" spans="1:8">
      <c r="D174" s="5"/>
      <c r="E174" s="5"/>
      <c r="F174" s="9"/>
      <c r="G174" s="5"/>
      <c r="H174" s="5"/>
    </row>
    <row r="175" spans="1:8">
      <c r="D175" s="5"/>
      <c r="E175" s="5"/>
      <c r="F175" s="9"/>
      <c r="G175" s="5"/>
      <c r="H175" s="5"/>
    </row>
    <row r="176" spans="1:8">
      <c r="D176" s="5"/>
      <c r="E176" s="5"/>
      <c r="F176" s="9"/>
      <c r="G176" s="5"/>
      <c r="H176" s="5"/>
    </row>
    <row r="177" spans="4:8">
      <c r="D177" s="5"/>
      <c r="E177" s="5"/>
      <c r="F177" s="9"/>
      <c r="G177" s="5"/>
      <c r="H177" s="5"/>
    </row>
    <row r="178" spans="4:8">
      <c r="D178" s="5"/>
      <c r="E178" s="5"/>
      <c r="F178" s="9"/>
      <c r="G178" s="5"/>
      <c r="H178" s="5"/>
    </row>
    <row r="179" spans="4:8">
      <c r="H179" s="15"/>
    </row>
    <row r="180" spans="4:8">
      <c r="D180" s="5"/>
      <c r="E180" s="5"/>
      <c r="H180" s="5"/>
    </row>
    <row r="181" spans="4:8">
      <c r="D181" s="5"/>
      <c r="E181" s="5"/>
      <c r="H181" s="5"/>
    </row>
    <row r="182" spans="4:8">
      <c r="D182" s="5"/>
      <c r="E182" s="5"/>
      <c r="F182" s="9"/>
      <c r="G182" s="5"/>
      <c r="H182" s="5"/>
    </row>
    <row r="183" spans="4:8">
      <c r="D183" s="5"/>
      <c r="E183" s="5"/>
      <c r="F183" s="9"/>
      <c r="G183" s="5"/>
      <c r="H183" s="5"/>
    </row>
    <row r="184" spans="4:8">
      <c r="D184" s="5"/>
      <c r="E184" s="5"/>
      <c r="F184" s="9"/>
      <c r="G184" s="5"/>
      <c r="H184" s="5"/>
    </row>
    <row r="185" spans="4:8">
      <c r="D185" s="5"/>
      <c r="E185" s="5"/>
      <c r="F185" s="9"/>
      <c r="G185" s="5"/>
      <c r="H185" s="5"/>
    </row>
    <row r="186" spans="4:8">
      <c r="D186" s="5"/>
      <c r="E186" s="5"/>
      <c r="F186" s="9"/>
      <c r="G186" s="5"/>
      <c r="H186" s="5"/>
    </row>
    <row r="187" spans="4:8">
      <c r="D187" s="5"/>
      <c r="E187" s="5"/>
      <c r="F187" s="9"/>
      <c r="G187" s="5"/>
      <c r="H187" s="5"/>
    </row>
    <row r="188" spans="4:8">
      <c r="D188" s="5"/>
      <c r="E188" s="5"/>
      <c r="F188" s="9"/>
      <c r="G188" s="5"/>
      <c r="H188" s="5"/>
    </row>
    <row r="189" spans="4:8">
      <c r="D189" s="5"/>
      <c r="E189" s="5"/>
      <c r="F189" s="9"/>
      <c r="G189" s="5"/>
      <c r="H189" s="5"/>
    </row>
    <row r="190" spans="4:8">
      <c r="D190" s="5"/>
      <c r="E190" s="5"/>
      <c r="F190" s="9"/>
      <c r="G190" s="5"/>
      <c r="H190" s="5"/>
    </row>
    <row r="191" spans="4:8">
      <c r="D191" s="5"/>
      <c r="E191" s="5"/>
      <c r="F191" s="9"/>
      <c r="G191" s="5"/>
      <c r="H191" s="5"/>
    </row>
    <row r="192" spans="4:8">
      <c r="H192" s="15"/>
    </row>
    <row r="193" spans="4:8">
      <c r="D193" s="5"/>
      <c r="E193" s="5"/>
      <c r="H193" s="5"/>
    </row>
    <row r="194" spans="4:8">
      <c r="D194" s="5"/>
      <c r="E194" s="5"/>
      <c r="H194" s="5"/>
    </row>
    <row r="195" spans="4:8">
      <c r="D195" s="5"/>
      <c r="E195" s="5"/>
      <c r="F195" s="9"/>
      <c r="G195" s="5"/>
      <c r="H195" s="5"/>
    </row>
    <row r="196" spans="4:8">
      <c r="D196" s="5"/>
      <c r="E196" s="5"/>
      <c r="F196" s="9"/>
      <c r="G196" s="5"/>
      <c r="H196" s="5"/>
    </row>
    <row r="197" spans="4:8">
      <c r="D197" s="5"/>
      <c r="E197" s="5"/>
      <c r="F197" s="9"/>
      <c r="G197" s="5"/>
      <c r="H197" s="5"/>
    </row>
    <row r="198" spans="4:8">
      <c r="D198" s="5"/>
      <c r="E198" s="5"/>
      <c r="F198" s="9"/>
      <c r="G198" s="5"/>
      <c r="H198" s="5"/>
    </row>
    <row r="199" spans="4:8">
      <c r="D199" s="5"/>
      <c r="E199" s="5"/>
      <c r="F199" s="9"/>
      <c r="G199" s="5"/>
      <c r="H199" s="5"/>
    </row>
    <row r="200" spans="4:8">
      <c r="D200" s="5"/>
      <c r="E200" s="5"/>
      <c r="F200" s="9"/>
      <c r="G200" s="5"/>
      <c r="H200" s="5"/>
    </row>
    <row r="201" spans="4:8">
      <c r="D201" s="5"/>
      <c r="E201" s="5"/>
      <c r="F201" s="9"/>
      <c r="G201" s="5"/>
      <c r="H201" s="5"/>
    </row>
    <row r="202" spans="4:8">
      <c r="D202" s="5"/>
      <c r="E202" s="5"/>
      <c r="F202" s="9"/>
      <c r="G202" s="5"/>
      <c r="H202" s="5"/>
    </row>
    <row r="203" spans="4:8">
      <c r="D203" s="5"/>
      <c r="E203" s="5"/>
      <c r="F203" s="9"/>
      <c r="G203" s="5"/>
      <c r="H203" s="5"/>
    </row>
    <row r="204" spans="4:8">
      <c r="D204" s="5"/>
      <c r="E204" s="5"/>
      <c r="F204" s="9"/>
      <c r="G204" s="5"/>
      <c r="H204" s="5"/>
    </row>
    <row r="205" spans="4:8">
      <c r="H205" s="15"/>
    </row>
    <row r="206" spans="4:8">
      <c r="D206" s="5"/>
      <c r="E206" s="5"/>
      <c r="H206" s="5"/>
    </row>
    <row r="207" spans="4:8">
      <c r="D207" s="5"/>
      <c r="E207" s="5"/>
      <c r="H207" s="5"/>
    </row>
    <row r="208" spans="4:8">
      <c r="D208" s="5"/>
      <c r="E208" s="5"/>
      <c r="F208" s="9"/>
      <c r="G208" s="5"/>
      <c r="H208" s="5"/>
    </row>
    <row r="209" spans="4:8">
      <c r="D209" s="5"/>
      <c r="E209" s="5"/>
      <c r="F209" s="9"/>
      <c r="G209" s="5"/>
      <c r="H209" s="5"/>
    </row>
    <row r="210" spans="4:8">
      <c r="D210" s="5"/>
      <c r="E210" s="5"/>
      <c r="F210" s="9"/>
      <c r="G210" s="5"/>
      <c r="H210" s="5"/>
    </row>
    <row r="211" spans="4:8">
      <c r="D211" s="5"/>
      <c r="E211" s="5"/>
      <c r="F211" s="9"/>
      <c r="G211" s="5"/>
      <c r="H211" s="5"/>
    </row>
    <row r="212" spans="4:8">
      <c r="D212" s="5"/>
      <c r="E212" s="5"/>
      <c r="F212" s="9"/>
      <c r="G212" s="5"/>
      <c r="H212" s="5"/>
    </row>
    <row r="213" spans="4:8">
      <c r="D213" s="5"/>
      <c r="E213" s="5"/>
      <c r="F213" s="9"/>
      <c r="G213" s="5"/>
      <c r="H213" s="5"/>
    </row>
    <row r="214" spans="4:8">
      <c r="D214" s="5"/>
      <c r="E214" s="5"/>
      <c r="F214" s="9"/>
      <c r="G214" s="5"/>
      <c r="H214" s="5"/>
    </row>
    <row r="215" spans="4:8">
      <c r="D215" s="5"/>
      <c r="E215" s="5"/>
      <c r="F215" s="9"/>
      <c r="G215" s="5"/>
      <c r="H215" s="5"/>
    </row>
    <row r="216" spans="4:8">
      <c r="D216" s="5"/>
      <c r="E216" s="5"/>
      <c r="F216" s="9"/>
      <c r="G216" s="5"/>
      <c r="H216" s="5"/>
    </row>
    <row r="217" spans="4:8">
      <c r="D217" s="5"/>
      <c r="E217" s="5"/>
      <c r="F217" s="9"/>
      <c r="G217" s="5"/>
      <c r="H2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4B47-B3EE-4461-9F27-6CAE37317AAC}">
  <dimension ref="A1:P217"/>
  <sheetViews>
    <sheetView workbookViewId="0">
      <selection activeCell="A13" sqref="A13"/>
    </sheetView>
  </sheetViews>
  <sheetFormatPr defaultColWidth="12.5703125" defaultRowHeight="12.75"/>
  <cols>
    <col min="1" max="1" width="32.5703125" style="1" customWidth="1"/>
    <col min="2" max="2" width="11.5703125" style="1" bestFit="1" customWidth="1"/>
    <col min="3" max="5" width="10.140625" style="1" customWidth="1"/>
    <col min="6" max="7" width="10.140625" style="1" bestFit="1" customWidth="1"/>
    <col min="8" max="11" width="10.140625" style="1" customWidth="1"/>
    <col min="12" max="12" width="11.140625" style="1" bestFit="1" customWidth="1"/>
    <col min="13" max="256" width="10.140625" style="1" customWidth="1"/>
    <col min="257" max="257" width="14.7109375" style="1" customWidth="1"/>
    <col min="258" max="258" width="11.5703125" style="1" bestFit="1" customWidth="1"/>
    <col min="259" max="512" width="10.140625" style="1" customWidth="1"/>
    <col min="513" max="513" width="14.7109375" style="1" customWidth="1"/>
    <col min="514" max="514" width="11.5703125" style="1" bestFit="1" customWidth="1"/>
    <col min="515" max="768" width="10.140625" style="1" customWidth="1"/>
    <col min="769" max="769" width="14.7109375" style="1" customWidth="1"/>
    <col min="770" max="770" width="11.5703125" style="1" bestFit="1" customWidth="1"/>
    <col min="771" max="1024" width="10.140625" style="1" customWidth="1"/>
    <col min="1025" max="1025" width="14.7109375" style="1" customWidth="1"/>
    <col min="1026" max="1026" width="11.5703125" style="1" bestFit="1" customWidth="1"/>
    <col min="1027" max="1280" width="10.140625" style="1" customWidth="1"/>
    <col min="1281" max="1281" width="14.7109375" style="1" customWidth="1"/>
    <col min="1282" max="1282" width="11.5703125" style="1" bestFit="1" customWidth="1"/>
    <col min="1283" max="1536" width="10.140625" style="1" customWidth="1"/>
    <col min="1537" max="1537" width="14.7109375" style="1" customWidth="1"/>
    <col min="1538" max="1538" width="11.5703125" style="1" bestFit="1" customWidth="1"/>
    <col min="1539" max="1792" width="10.140625" style="1" customWidth="1"/>
    <col min="1793" max="1793" width="14.7109375" style="1" customWidth="1"/>
    <col min="1794" max="1794" width="11.5703125" style="1" bestFit="1" customWidth="1"/>
    <col min="1795" max="2048" width="10.140625" style="1" customWidth="1"/>
    <col min="2049" max="2049" width="14.7109375" style="1" customWidth="1"/>
    <col min="2050" max="2050" width="11.5703125" style="1" bestFit="1" customWidth="1"/>
    <col min="2051" max="2304" width="10.140625" style="1" customWidth="1"/>
    <col min="2305" max="2305" width="14.7109375" style="1" customWidth="1"/>
    <col min="2306" max="2306" width="11.5703125" style="1" bestFit="1" customWidth="1"/>
    <col min="2307" max="2560" width="10.140625" style="1" customWidth="1"/>
    <col min="2561" max="2561" width="14.7109375" style="1" customWidth="1"/>
    <col min="2562" max="2562" width="11.5703125" style="1" bestFit="1" customWidth="1"/>
    <col min="2563" max="2816" width="10.140625" style="1" customWidth="1"/>
    <col min="2817" max="2817" width="14.7109375" style="1" customWidth="1"/>
    <col min="2818" max="2818" width="11.5703125" style="1" bestFit="1" customWidth="1"/>
    <col min="2819" max="3072" width="10.140625" style="1" customWidth="1"/>
    <col min="3073" max="3073" width="14.7109375" style="1" customWidth="1"/>
    <col min="3074" max="3074" width="11.5703125" style="1" bestFit="1" customWidth="1"/>
    <col min="3075" max="3328" width="10.140625" style="1" customWidth="1"/>
    <col min="3329" max="3329" width="14.7109375" style="1" customWidth="1"/>
    <col min="3330" max="3330" width="11.5703125" style="1" bestFit="1" customWidth="1"/>
    <col min="3331" max="3584" width="10.140625" style="1" customWidth="1"/>
    <col min="3585" max="3585" width="14.7109375" style="1" customWidth="1"/>
    <col min="3586" max="3586" width="11.5703125" style="1" bestFit="1" customWidth="1"/>
    <col min="3587" max="3840" width="10.140625" style="1" customWidth="1"/>
    <col min="3841" max="3841" width="14.7109375" style="1" customWidth="1"/>
    <col min="3842" max="3842" width="11.5703125" style="1" bestFit="1" customWidth="1"/>
    <col min="3843" max="4096" width="10.140625" style="1" customWidth="1"/>
    <col min="4097" max="4097" width="14.7109375" style="1" customWidth="1"/>
    <col min="4098" max="4098" width="11.5703125" style="1" bestFit="1" customWidth="1"/>
    <col min="4099" max="4352" width="10.140625" style="1" customWidth="1"/>
    <col min="4353" max="4353" width="14.7109375" style="1" customWidth="1"/>
    <col min="4354" max="4354" width="11.5703125" style="1" bestFit="1" customWidth="1"/>
    <col min="4355" max="4608" width="10.140625" style="1" customWidth="1"/>
    <col min="4609" max="4609" width="14.7109375" style="1" customWidth="1"/>
    <col min="4610" max="4610" width="11.5703125" style="1" bestFit="1" customWidth="1"/>
    <col min="4611" max="4864" width="10.140625" style="1" customWidth="1"/>
    <col min="4865" max="4865" width="14.7109375" style="1" customWidth="1"/>
    <col min="4866" max="4866" width="11.5703125" style="1" bestFit="1" customWidth="1"/>
    <col min="4867" max="5120" width="10.140625" style="1" customWidth="1"/>
    <col min="5121" max="5121" width="14.7109375" style="1" customWidth="1"/>
    <col min="5122" max="5122" width="11.5703125" style="1" bestFit="1" customWidth="1"/>
    <col min="5123" max="5376" width="10.140625" style="1" customWidth="1"/>
    <col min="5377" max="5377" width="14.7109375" style="1" customWidth="1"/>
    <col min="5378" max="5378" width="11.5703125" style="1" bestFit="1" customWidth="1"/>
    <col min="5379" max="5632" width="10.140625" style="1" customWidth="1"/>
    <col min="5633" max="5633" width="14.7109375" style="1" customWidth="1"/>
    <col min="5634" max="5634" width="11.5703125" style="1" bestFit="1" customWidth="1"/>
    <col min="5635" max="5888" width="10.140625" style="1" customWidth="1"/>
    <col min="5889" max="5889" width="14.7109375" style="1" customWidth="1"/>
    <col min="5890" max="5890" width="11.5703125" style="1" bestFit="1" customWidth="1"/>
    <col min="5891" max="6144" width="10.140625" style="1" customWidth="1"/>
    <col min="6145" max="6145" width="14.7109375" style="1" customWidth="1"/>
    <col min="6146" max="6146" width="11.5703125" style="1" bestFit="1" customWidth="1"/>
    <col min="6147" max="6400" width="10.140625" style="1" customWidth="1"/>
    <col min="6401" max="6401" width="14.7109375" style="1" customWidth="1"/>
    <col min="6402" max="6402" width="11.5703125" style="1" bestFit="1" customWidth="1"/>
    <col min="6403" max="6656" width="10.140625" style="1" customWidth="1"/>
    <col min="6657" max="6657" width="14.7109375" style="1" customWidth="1"/>
    <col min="6658" max="6658" width="11.5703125" style="1" bestFit="1" customWidth="1"/>
    <col min="6659" max="6912" width="10.140625" style="1" customWidth="1"/>
    <col min="6913" max="6913" width="14.7109375" style="1" customWidth="1"/>
    <col min="6914" max="6914" width="11.5703125" style="1" bestFit="1" customWidth="1"/>
    <col min="6915" max="7168" width="10.140625" style="1" customWidth="1"/>
    <col min="7169" max="7169" width="14.7109375" style="1" customWidth="1"/>
    <col min="7170" max="7170" width="11.5703125" style="1" bestFit="1" customWidth="1"/>
    <col min="7171" max="7424" width="10.140625" style="1" customWidth="1"/>
    <col min="7425" max="7425" width="14.7109375" style="1" customWidth="1"/>
    <col min="7426" max="7426" width="11.5703125" style="1" bestFit="1" customWidth="1"/>
    <col min="7427" max="7680" width="10.140625" style="1" customWidth="1"/>
    <col min="7681" max="7681" width="14.7109375" style="1" customWidth="1"/>
    <col min="7682" max="7682" width="11.5703125" style="1" bestFit="1" customWidth="1"/>
    <col min="7683" max="7936" width="10.140625" style="1" customWidth="1"/>
    <col min="7937" max="7937" width="14.7109375" style="1" customWidth="1"/>
    <col min="7938" max="7938" width="11.5703125" style="1" bestFit="1" customWidth="1"/>
    <col min="7939" max="8192" width="10.140625" style="1" customWidth="1"/>
    <col min="8193" max="8193" width="14.7109375" style="1" customWidth="1"/>
    <col min="8194" max="8194" width="11.5703125" style="1" bestFit="1" customWidth="1"/>
    <col min="8195" max="8448" width="10.140625" style="1" customWidth="1"/>
    <col min="8449" max="8449" width="14.7109375" style="1" customWidth="1"/>
    <col min="8450" max="8450" width="11.5703125" style="1" bestFit="1" customWidth="1"/>
    <col min="8451" max="8704" width="10.140625" style="1" customWidth="1"/>
    <col min="8705" max="8705" width="14.7109375" style="1" customWidth="1"/>
    <col min="8706" max="8706" width="11.5703125" style="1" bestFit="1" customWidth="1"/>
    <col min="8707" max="8960" width="10.140625" style="1" customWidth="1"/>
    <col min="8961" max="8961" width="14.7109375" style="1" customWidth="1"/>
    <col min="8962" max="8962" width="11.5703125" style="1" bestFit="1" customWidth="1"/>
    <col min="8963" max="9216" width="10.140625" style="1" customWidth="1"/>
    <col min="9217" max="9217" width="14.7109375" style="1" customWidth="1"/>
    <col min="9218" max="9218" width="11.5703125" style="1" bestFit="1" customWidth="1"/>
    <col min="9219" max="9472" width="10.140625" style="1" customWidth="1"/>
    <col min="9473" max="9473" width="14.7109375" style="1" customWidth="1"/>
    <col min="9474" max="9474" width="11.5703125" style="1" bestFit="1" customWidth="1"/>
    <col min="9475" max="9728" width="10.140625" style="1" customWidth="1"/>
    <col min="9729" max="9729" width="14.7109375" style="1" customWidth="1"/>
    <col min="9730" max="9730" width="11.5703125" style="1" bestFit="1" customWidth="1"/>
    <col min="9731" max="9984" width="10.140625" style="1" customWidth="1"/>
    <col min="9985" max="9985" width="14.7109375" style="1" customWidth="1"/>
    <col min="9986" max="9986" width="11.5703125" style="1" bestFit="1" customWidth="1"/>
    <col min="9987" max="10240" width="10.140625" style="1" customWidth="1"/>
    <col min="10241" max="10241" width="14.7109375" style="1" customWidth="1"/>
    <col min="10242" max="10242" width="11.5703125" style="1" bestFit="1" customWidth="1"/>
    <col min="10243" max="10496" width="10.140625" style="1" customWidth="1"/>
    <col min="10497" max="10497" width="14.7109375" style="1" customWidth="1"/>
    <col min="10498" max="10498" width="11.5703125" style="1" bestFit="1" customWidth="1"/>
    <col min="10499" max="10752" width="10.140625" style="1" customWidth="1"/>
    <col min="10753" max="10753" width="14.7109375" style="1" customWidth="1"/>
    <col min="10754" max="10754" width="11.5703125" style="1" bestFit="1" customWidth="1"/>
    <col min="10755" max="11008" width="10.140625" style="1" customWidth="1"/>
    <col min="11009" max="11009" width="14.7109375" style="1" customWidth="1"/>
    <col min="11010" max="11010" width="11.5703125" style="1" bestFit="1" customWidth="1"/>
    <col min="11011" max="11264" width="10.140625" style="1" customWidth="1"/>
    <col min="11265" max="11265" width="14.7109375" style="1" customWidth="1"/>
    <col min="11266" max="11266" width="11.5703125" style="1" bestFit="1" customWidth="1"/>
    <col min="11267" max="11520" width="10.140625" style="1" customWidth="1"/>
    <col min="11521" max="11521" width="14.7109375" style="1" customWidth="1"/>
    <col min="11522" max="11522" width="11.5703125" style="1" bestFit="1" customWidth="1"/>
    <col min="11523" max="11776" width="10.140625" style="1" customWidth="1"/>
    <col min="11777" max="11777" width="14.7109375" style="1" customWidth="1"/>
    <col min="11778" max="11778" width="11.5703125" style="1" bestFit="1" customWidth="1"/>
    <col min="11779" max="12032" width="10.140625" style="1" customWidth="1"/>
    <col min="12033" max="12033" width="14.7109375" style="1" customWidth="1"/>
    <col min="12034" max="12034" width="11.5703125" style="1" bestFit="1" customWidth="1"/>
    <col min="12035" max="12288" width="10.140625" style="1" customWidth="1"/>
    <col min="12289" max="12289" width="14.7109375" style="1" customWidth="1"/>
    <col min="12290" max="12290" width="11.5703125" style="1" bestFit="1" customWidth="1"/>
    <col min="12291" max="12544" width="10.140625" style="1" customWidth="1"/>
    <col min="12545" max="12545" width="14.7109375" style="1" customWidth="1"/>
    <col min="12546" max="12546" width="11.5703125" style="1" bestFit="1" customWidth="1"/>
    <col min="12547" max="12800" width="10.140625" style="1" customWidth="1"/>
    <col min="12801" max="12801" width="14.7109375" style="1" customWidth="1"/>
    <col min="12802" max="12802" width="11.5703125" style="1" bestFit="1" customWidth="1"/>
    <col min="12803" max="13056" width="10.140625" style="1" customWidth="1"/>
    <col min="13057" max="13057" width="14.7109375" style="1" customWidth="1"/>
    <col min="13058" max="13058" width="11.5703125" style="1" bestFit="1" customWidth="1"/>
    <col min="13059" max="13312" width="10.140625" style="1" customWidth="1"/>
    <col min="13313" max="13313" width="14.7109375" style="1" customWidth="1"/>
    <col min="13314" max="13314" width="11.5703125" style="1" bestFit="1" customWidth="1"/>
    <col min="13315" max="13568" width="10.140625" style="1" customWidth="1"/>
    <col min="13569" max="13569" width="14.7109375" style="1" customWidth="1"/>
    <col min="13570" max="13570" width="11.5703125" style="1" bestFit="1" customWidth="1"/>
    <col min="13571" max="13824" width="10.140625" style="1" customWidth="1"/>
    <col min="13825" max="13825" width="14.7109375" style="1" customWidth="1"/>
    <col min="13826" max="13826" width="11.5703125" style="1" bestFit="1" customWidth="1"/>
    <col min="13827" max="14080" width="10.140625" style="1" customWidth="1"/>
    <col min="14081" max="14081" width="14.7109375" style="1" customWidth="1"/>
    <col min="14082" max="14082" width="11.5703125" style="1" bestFit="1" customWidth="1"/>
    <col min="14083" max="14336" width="10.140625" style="1" customWidth="1"/>
    <col min="14337" max="14337" width="14.7109375" style="1" customWidth="1"/>
    <col min="14338" max="14338" width="11.5703125" style="1" bestFit="1" customWidth="1"/>
    <col min="14339" max="14592" width="10.140625" style="1" customWidth="1"/>
    <col min="14593" max="14593" width="14.7109375" style="1" customWidth="1"/>
    <col min="14594" max="14594" width="11.5703125" style="1" bestFit="1" customWidth="1"/>
    <col min="14595" max="14848" width="10.140625" style="1" customWidth="1"/>
    <col min="14849" max="14849" width="14.7109375" style="1" customWidth="1"/>
    <col min="14850" max="14850" width="11.5703125" style="1" bestFit="1" customWidth="1"/>
    <col min="14851" max="15104" width="10.140625" style="1" customWidth="1"/>
    <col min="15105" max="15105" width="14.7109375" style="1" customWidth="1"/>
    <col min="15106" max="15106" width="11.5703125" style="1" bestFit="1" customWidth="1"/>
    <col min="15107" max="15360" width="10.140625" style="1" customWidth="1"/>
    <col min="15361" max="15361" width="14.7109375" style="1" customWidth="1"/>
    <col min="15362" max="15362" width="11.5703125" style="1" bestFit="1" customWidth="1"/>
    <col min="15363" max="15616" width="10.140625" style="1" customWidth="1"/>
    <col min="15617" max="15617" width="14.7109375" style="1" customWidth="1"/>
    <col min="15618" max="15618" width="11.5703125" style="1" bestFit="1" customWidth="1"/>
    <col min="15619" max="15872" width="10.140625" style="1" customWidth="1"/>
    <col min="15873" max="15873" width="14.7109375" style="1" customWidth="1"/>
    <col min="15874" max="15874" width="11.5703125" style="1" bestFit="1" customWidth="1"/>
    <col min="15875" max="16128" width="10.140625" style="1" customWidth="1"/>
    <col min="16129" max="16129" width="14.7109375" style="1" customWidth="1"/>
    <col min="16130" max="16130" width="11.5703125" style="1" bestFit="1" customWidth="1"/>
    <col min="16131" max="16384" width="10.140625" style="1" customWidth="1"/>
  </cols>
  <sheetData>
    <row r="1" spans="1:16" ht="15.75">
      <c r="A1" s="1" t="s">
        <v>0</v>
      </c>
      <c r="B1" s="2">
        <f>Sheet1!B11</f>
        <v>45303</v>
      </c>
      <c r="E1" s="1">
        <f>Sheet1!D12</f>
        <v>106.5</v>
      </c>
      <c r="F1" s="1" t="s">
        <v>1</v>
      </c>
      <c r="H1" s="3"/>
      <c r="K1" s="3"/>
      <c r="L1" s="3"/>
      <c r="M1" s="3"/>
    </row>
    <row r="2" spans="1:16" ht="15.75">
      <c r="E2" s="1">
        <f>Sheet1!D13</f>
        <v>124179</v>
      </c>
      <c r="F2" s="1" t="s">
        <v>2</v>
      </c>
      <c r="H2" s="3"/>
      <c r="K2" s="3"/>
      <c r="L2" s="3"/>
      <c r="M2" s="3"/>
    </row>
    <row r="3" spans="1:16" ht="15.75">
      <c r="B3" s="4"/>
      <c r="E3" s="1">
        <f>Sheet1!D14</f>
        <v>0.5</v>
      </c>
      <c r="F3" s="1" t="s">
        <v>3</v>
      </c>
      <c r="H3" s="3"/>
      <c r="K3" s="3"/>
      <c r="L3" s="3"/>
      <c r="M3" s="3"/>
    </row>
    <row r="4" spans="1:16" ht="15.75">
      <c r="B4" s="4"/>
      <c r="E4" s="1">
        <f>AVERAGE(Sheet1!B17:M24)*10</f>
        <v>49082.5</v>
      </c>
      <c r="F4" s="1" t="s">
        <v>4</v>
      </c>
      <c r="G4" s="1" t="s">
        <v>43</v>
      </c>
      <c r="H4" s="3"/>
      <c r="K4" s="3"/>
      <c r="L4" s="3"/>
      <c r="M4" s="3"/>
    </row>
    <row r="5" spans="1:16" ht="15.75">
      <c r="A5" s="1" t="str">
        <f>Sheet1!B14</f>
        <v>comment 1</v>
      </c>
      <c r="D5" s="5"/>
      <c r="E5" s="5">
        <f>E4/(E3*E2)</f>
        <v>0.79051208336353163</v>
      </c>
      <c r="F5" s="6" t="s">
        <v>5</v>
      </c>
      <c r="H5" s="3"/>
      <c r="I5" s="4"/>
      <c r="K5" s="3"/>
      <c r="M5" s="3"/>
    </row>
    <row r="6" spans="1:16" ht="15.75">
      <c r="A6" s="1" t="str">
        <f>Sheet1!B15</f>
        <v>comment 2</v>
      </c>
      <c r="E6" s="6"/>
      <c r="H6" s="3"/>
      <c r="K6" s="3"/>
    </row>
    <row r="7" spans="1:16" ht="15.75">
      <c r="A7" s="3" t="str">
        <f>Sheet1!B12</f>
        <v>blue</v>
      </c>
      <c r="E7" s="6"/>
      <c r="H7" s="3"/>
      <c r="K7" s="3"/>
    </row>
    <row r="8" spans="1:16" ht="15.75">
      <c r="A8" s="1" t="s">
        <v>37</v>
      </c>
      <c r="B8" s="1" t="s">
        <v>39</v>
      </c>
      <c r="E8" s="6"/>
      <c r="H8" s="3"/>
      <c r="K8" s="3"/>
    </row>
    <row r="9" spans="1:16" ht="15.75">
      <c r="A9" s="1">
        <f>Sheet1!B13</f>
        <v>1</v>
      </c>
      <c r="B9" s="1">
        <f>Sheet1!B28</f>
        <v>1</v>
      </c>
      <c r="E9" s="6"/>
      <c r="H9" s="3"/>
      <c r="K9" s="3"/>
    </row>
    <row r="10" spans="1:16" ht="15.75"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K10" s="3"/>
      <c r="P10" s="4"/>
    </row>
    <row r="11" spans="1:16" ht="15.75">
      <c r="A11" s="4" t="s">
        <v>52</v>
      </c>
      <c r="B11" s="3">
        <f>Sheet1!D33</f>
        <v>373</v>
      </c>
      <c r="C11" s="3">
        <f>Sheet1!E33</f>
        <v>506</v>
      </c>
      <c r="D11" s="5"/>
      <c r="E11" s="5"/>
      <c r="H11" s="5">
        <f>J14*100/$J$14</f>
        <v>100</v>
      </c>
      <c r="L11" s="4" t="s">
        <v>11</v>
      </c>
      <c r="M11" s="4" t="s">
        <v>12</v>
      </c>
    </row>
    <row r="12" spans="1:16" ht="15.75">
      <c r="A12" s="7" t="str">
        <f>Sheet1!D31</f>
        <v>Drug 2</v>
      </c>
      <c r="B12" s="3">
        <f>Sheet1!D34</f>
        <v>212</v>
      </c>
      <c r="C12" s="3">
        <f>Sheet1!E34</f>
        <v>190</v>
      </c>
      <c r="D12" s="5"/>
      <c r="E12" s="5"/>
      <c r="H12" s="5"/>
      <c r="J12" s="8"/>
      <c r="L12" s="1">
        <f>Sheet1!B2</f>
        <v>300</v>
      </c>
      <c r="M12" s="1">
        <f>Sheet1!C2</f>
        <v>174</v>
      </c>
    </row>
    <row r="13" spans="1:16" ht="15.75">
      <c r="B13" s="3">
        <f>Sheet1!D35</f>
        <v>209</v>
      </c>
      <c r="C13" s="3">
        <f>Sheet1!E35</f>
        <v>149</v>
      </c>
      <c r="D13" s="5">
        <f t="shared" ref="D13:D21" si="0">AVERAGE(B13:C13)</f>
        <v>179</v>
      </c>
      <c r="E13" s="5">
        <f>D13-$J$18</f>
        <v>-19.75</v>
      </c>
      <c r="F13" s="9">
        <f t="shared" ref="F13:F21" si="1">10^G13</f>
        <v>1.0000000000000001E-5</v>
      </c>
      <c r="G13" s="5">
        <f>Sheet1!E31</f>
        <v>-5</v>
      </c>
      <c r="H13" s="5">
        <f t="shared" ref="H13:H21" si="2">E13*100/$J$16</f>
        <v>-10.995128740431454</v>
      </c>
      <c r="J13" s="10" t="s">
        <v>14</v>
      </c>
      <c r="L13" s="1">
        <f>Sheet1!B3</f>
        <v>344</v>
      </c>
      <c r="M13" s="1">
        <f>Sheet1!C3</f>
        <v>214</v>
      </c>
      <c r="P13" s="4"/>
    </row>
    <row r="14" spans="1:16" ht="15.75">
      <c r="B14" s="3">
        <f>Sheet1!D36</f>
        <v>202</v>
      </c>
      <c r="C14" s="3">
        <f>Sheet1!E36</f>
        <v>263</v>
      </c>
      <c r="D14" s="5">
        <f t="shared" si="0"/>
        <v>232.5</v>
      </c>
      <c r="E14" s="5">
        <f t="shared" ref="E14:E21" si="3">D14-$J$18</f>
        <v>33.75</v>
      </c>
      <c r="F14" s="9">
        <f t="shared" si="1"/>
        <v>3.1622776601683767E-6</v>
      </c>
      <c r="G14" s="5">
        <f>G13-0.5</f>
        <v>-5.5</v>
      </c>
      <c r="H14" s="5">
        <f t="shared" si="2"/>
        <v>18.789144050104383</v>
      </c>
      <c r="J14" s="10">
        <f>AVERAGE(L12:L27)</f>
        <v>378.375</v>
      </c>
      <c r="L14" s="1">
        <f>Sheet1!B4</f>
        <v>373</v>
      </c>
      <c r="M14" s="1">
        <f>Sheet1!C4</f>
        <v>212</v>
      </c>
    </row>
    <row r="15" spans="1:16" ht="15.75">
      <c r="B15" s="3">
        <f>Sheet1!D37</f>
        <v>234</v>
      </c>
      <c r="C15" s="3">
        <f>Sheet1!E37</f>
        <v>325</v>
      </c>
      <c r="D15" s="5">
        <f t="shared" si="0"/>
        <v>279.5</v>
      </c>
      <c r="E15" s="5">
        <f t="shared" si="3"/>
        <v>80.75</v>
      </c>
      <c r="F15" s="9">
        <f t="shared" si="1"/>
        <v>9.9999999999999995E-7</v>
      </c>
      <c r="G15" s="5">
        <f t="shared" ref="G15:G21" si="4">G14-0.5</f>
        <v>-6</v>
      </c>
      <c r="H15" s="5">
        <f t="shared" si="2"/>
        <v>44.954766875434935</v>
      </c>
      <c r="J15" s="10" t="s">
        <v>15</v>
      </c>
      <c r="L15" s="1">
        <f>Sheet1!B5</f>
        <v>506</v>
      </c>
      <c r="M15" s="1">
        <f>Sheet1!C5</f>
        <v>190</v>
      </c>
    </row>
    <row r="16" spans="1:16" ht="15.75">
      <c r="B16" s="3">
        <f>Sheet1!D38</f>
        <v>331</v>
      </c>
      <c r="C16" s="3">
        <f>Sheet1!E38</f>
        <v>321</v>
      </c>
      <c r="D16" s="5">
        <f t="shared" si="0"/>
        <v>326</v>
      </c>
      <c r="E16" s="5">
        <f t="shared" si="3"/>
        <v>127.25</v>
      </c>
      <c r="F16" s="9">
        <f t="shared" si="1"/>
        <v>3.1622776601683734E-7</v>
      </c>
      <c r="G16" s="5">
        <f t="shared" si="4"/>
        <v>-6.5</v>
      </c>
      <c r="H16" s="5">
        <f t="shared" si="2"/>
        <v>70.842032011134307</v>
      </c>
      <c r="J16" s="10">
        <f>J14-J18</f>
        <v>179.625</v>
      </c>
      <c r="L16" s="1">
        <f>Sheet1!B6</f>
        <v>358</v>
      </c>
      <c r="M16" s="1">
        <f>Sheet1!C6</f>
        <v>265</v>
      </c>
    </row>
    <row r="17" spans="1:13" ht="15.75">
      <c r="B17" s="3">
        <f>Sheet1!D39</f>
        <v>389</v>
      </c>
      <c r="C17" s="3">
        <f>Sheet1!E39</f>
        <v>374</v>
      </c>
      <c r="D17" s="5">
        <f t="shared" si="0"/>
        <v>381.5</v>
      </c>
      <c r="E17" s="5">
        <f t="shared" si="3"/>
        <v>182.75</v>
      </c>
      <c r="F17" s="9">
        <f t="shared" si="1"/>
        <v>9.9999999999999995E-8</v>
      </c>
      <c r="G17" s="5">
        <f t="shared" si="4"/>
        <v>-7</v>
      </c>
      <c r="H17" s="5">
        <f t="shared" si="2"/>
        <v>101.73973556019484</v>
      </c>
      <c r="J17" s="10" t="s">
        <v>16</v>
      </c>
      <c r="L17" s="1">
        <f>Sheet1!B7</f>
        <v>565</v>
      </c>
      <c r="M17" s="1">
        <f>Sheet1!C7</f>
        <v>162</v>
      </c>
    </row>
    <row r="18" spans="1:13" ht="15.75">
      <c r="A18" s="3"/>
      <c r="B18" s="3">
        <f>Sheet1!D40</f>
        <v>341</v>
      </c>
      <c r="C18" s="3">
        <f>Sheet1!E40</f>
        <v>372</v>
      </c>
      <c r="D18" s="5">
        <f t="shared" si="0"/>
        <v>356.5</v>
      </c>
      <c r="E18" s="5">
        <f t="shared" si="3"/>
        <v>157.75</v>
      </c>
      <c r="F18" s="9">
        <f t="shared" si="1"/>
        <v>3.1622776601683699E-8</v>
      </c>
      <c r="G18" s="5">
        <f t="shared" si="4"/>
        <v>-7.5</v>
      </c>
      <c r="H18" s="5">
        <f t="shared" si="2"/>
        <v>87.821851078636044</v>
      </c>
      <c r="J18" s="10">
        <f>AVERAGE(M12:M19)</f>
        <v>198.75</v>
      </c>
      <c r="L18" s="1">
        <f>Sheet1!B8</f>
        <v>361</v>
      </c>
      <c r="M18" s="1">
        <f>Sheet1!C8</f>
        <v>176</v>
      </c>
    </row>
    <row r="19" spans="1:13" ht="15.75">
      <c r="B19" s="3">
        <f>Sheet1!D41</f>
        <v>326</v>
      </c>
      <c r="C19" s="3">
        <f>Sheet1!E41</f>
        <v>341</v>
      </c>
      <c r="D19" s="5">
        <f t="shared" si="0"/>
        <v>333.5</v>
      </c>
      <c r="E19" s="5">
        <f t="shared" si="3"/>
        <v>134.75</v>
      </c>
      <c r="F19" s="9">
        <f t="shared" si="1"/>
        <v>1E-8</v>
      </c>
      <c r="G19" s="5">
        <f t="shared" si="4"/>
        <v>-8</v>
      </c>
      <c r="H19" s="5">
        <f t="shared" si="2"/>
        <v>75.017397355601943</v>
      </c>
      <c r="L19" s="1">
        <f>Sheet1!B9</f>
        <v>352</v>
      </c>
      <c r="M19" s="1">
        <f>Sheet1!C9</f>
        <v>197</v>
      </c>
    </row>
    <row r="20" spans="1:13" ht="15.75">
      <c r="B20" s="3">
        <f>Sheet1!D42</f>
        <v>358</v>
      </c>
      <c r="C20" s="3">
        <f>Sheet1!E42</f>
        <v>334</v>
      </c>
      <c r="D20" s="5">
        <f t="shared" si="0"/>
        <v>346</v>
      </c>
      <c r="E20" s="5">
        <f t="shared" si="3"/>
        <v>147.25</v>
      </c>
      <c r="F20" s="9">
        <f t="shared" si="1"/>
        <v>3.1622776601683779E-9</v>
      </c>
      <c r="G20" s="5">
        <f t="shared" si="4"/>
        <v>-8.5</v>
      </c>
      <c r="H20" s="5">
        <f t="shared" si="2"/>
        <v>81.976339596381351</v>
      </c>
      <c r="K20" s="12"/>
      <c r="L20" s="1">
        <f>Sheet1!M2</f>
        <v>307</v>
      </c>
      <c r="M20" s="12"/>
    </row>
    <row r="21" spans="1:13" ht="15.75">
      <c r="B21" s="3">
        <f>Sheet1!D43</f>
        <v>318</v>
      </c>
      <c r="C21" s="3">
        <f>Sheet1!E43</f>
        <v>333</v>
      </c>
      <c r="D21" s="5">
        <f t="shared" si="0"/>
        <v>325.5</v>
      </c>
      <c r="E21" s="5">
        <f t="shared" si="3"/>
        <v>126.75</v>
      </c>
      <c r="F21" s="9">
        <f t="shared" si="1"/>
        <v>1.0000000000000001E-9</v>
      </c>
      <c r="G21" s="5">
        <f t="shared" si="4"/>
        <v>-9</v>
      </c>
      <c r="H21" s="5">
        <f t="shared" si="2"/>
        <v>70.563674321503129</v>
      </c>
      <c r="K21" s="12"/>
      <c r="L21" s="1">
        <f>Sheet1!M3</f>
        <v>312</v>
      </c>
    </row>
    <row r="22" spans="1:13" ht="15.75">
      <c r="B22" s="3">
        <f>Sheet1!D44</f>
        <v>369</v>
      </c>
      <c r="C22" s="3">
        <f>Sheet1!E44</f>
        <v>385</v>
      </c>
      <c r="D22" s="5"/>
      <c r="E22" s="5"/>
      <c r="F22" s="9"/>
      <c r="G22" s="5"/>
      <c r="H22" s="5"/>
      <c r="L22" s="1">
        <f>Sheet1!M4</f>
        <v>369</v>
      </c>
    </row>
    <row r="23" spans="1:13" ht="15.75">
      <c r="B23" s="3"/>
      <c r="C23" s="3"/>
      <c r="L23" s="1">
        <f>Sheet1!M5</f>
        <v>385</v>
      </c>
    </row>
    <row r="24" spans="1:13" ht="15.75">
      <c r="B24" s="3"/>
      <c r="C24" s="3"/>
      <c r="D24" s="5"/>
      <c r="E24" s="5"/>
      <c r="H24" s="5"/>
      <c r="L24" s="1">
        <f>Sheet1!M6</f>
        <v>334</v>
      </c>
    </row>
    <row r="25" spans="1:13" ht="15.75">
      <c r="A25" s="7"/>
      <c r="B25" s="3"/>
      <c r="C25" s="3"/>
      <c r="D25" s="5"/>
      <c r="E25" s="5"/>
      <c r="H25" s="5"/>
      <c r="L25" s="1">
        <f>Sheet1!M7</f>
        <v>413</v>
      </c>
    </row>
    <row r="26" spans="1:13" ht="15.75">
      <c r="A26" s="3"/>
      <c r="B26" s="3"/>
      <c r="C26" s="3"/>
      <c r="D26" s="5"/>
      <c r="E26" s="5"/>
      <c r="F26" s="9"/>
      <c r="G26" s="5"/>
      <c r="H26" s="5"/>
      <c r="L26" s="1">
        <f>Sheet1!M8</f>
        <v>422</v>
      </c>
    </row>
    <row r="27" spans="1:13" ht="15.75">
      <c r="B27" s="3"/>
      <c r="C27" s="3"/>
      <c r="D27" s="5"/>
      <c r="E27" s="5"/>
      <c r="F27" s="9"/>
      <c r="G27" s="5"/>
      <c r="H27" s="5"/>
      <c r="L27" s="1">
        <f>Sheet1!M9</f>
        <v>353</v>
      </c>
    </row>
    <row r="28" spans="1:13" ht="15.75">
      <c r="A28" s="3"/>
      <c r="B28" s="3"/>
      <c r="C28" s="3"/>
      <c r="D28" s="5"/>
      <c r="E28" s="5"/>
      <c r="F28" s="9"/>
      <c r="G28" s="5"/>
      <c r="H28" s="5"/>
    </row>
    <row r="29" spans="1:13" ht="15.75">
      <c r="A29" s="3"/>
      <c r="B29" s="3"/>
      <c r="C29" s="3"/>
      <c r="D29" s="5"/>
      <c r="E29" s="5"/>
      <c r="F29" s="9"/>
      <c r="G29" s="5"/>
      <c r="H29" s="5"/>
    </row>
    <row r="30" spans="1:13" ht="15.75">
      <c r="A30" s="3"/>
      <c r="B30" s="3"/>
      <c r="C30" s="3"/>
      <c r="D30" s="5"/>
      <c r="E30" s="5"/>
      <c r="F30" s="9"/>
      <c r="G30" s="5"/>
      <c r="H30" s="5"/>
    </row>
    <row r="31" spans="1:13" ht="15.75">
      <c r="B31" s="3"/>
      <c r="C31" s="3"/>
      <c r="D31" s="5"/>
      <c r="E31" s="5"/>
      <c r="F31" s="9"/>
      <c r="G31" s="5"/>
      <c r="H31" s="5"/>
    </row>
    <row r="32" spans="1:13" ht="15.75">
      <c r="A32" s="3"/>
      <c r="B32" s="3"/>
      <c r="C32" s="3"/>
      <c r="D32" s="5"/>
      <c r="E32" s="5"/>
      <c r="F32" s="9"/>
      <c r="G32" s="5"/>
      <c r="H32" s="5"/>
    </row>
    <row r="33" spans="1:8" ht="15.75">
      <c r="B33" s="3"/>
      <c r="C33" s="3"/>
      <c r="D33" s="5"/>
      <c r="E33" s="5"/>
      <c r="F33" s="9"/>
      <c r="G33" s="5"/>
      <c r="H33" s="5"/>
    </row>
    <row r="34" spans="1:8" ht="15.75">
      <c r="A34" s="3"/>
      <c r="B34" s="3"/>
      <c r="C34" s="3"/>
      <c r="D34" s="5"/>
      <c r="E34" s="5"/>
      <c r="F34" s="9"/>
      <c r="G34" s="5"/>
      <c r="H34" s="5"/>
    </row>
    <row r="35" spans="1:8" ht="15.75">
      <c r="B35" s="3"/>
      <c r="C35" s="3"/>
      <c r="D35" s="5"/>
      <c r="E35" s="5"/>
      <c r="F35" s="9"/>
      <c r="G35" s="5"/>
      <c r="H35" s="5"/>
    </row>
    <row r="36" spans="1:8" ht="15.75">
      <c r="B36" s="3"/>
      <c r="C36" s="3"/>
    </row>
    <row r="37" spans="1:8" ht="15.75">
      <c r="B37" s="3"/>
      <c r="C37" s="3"/>
      <c r="D37" s="5"/>
      <c r="E37" s="5"/>
      <c r="H37" s="5"/>
    </row>
    <row r="38" spans="1:8" ht="15.75">
      <c r="B38" s="3"/>
      <c r="C38" s="3"/>
      <c r="D38" s="5"/>
      <c r="E38" s="5"/>
      <c r="H38" s="5"/>
    </row>
    <row r="39" spans="1:8" ht="15.75">
      <c r="A39" s="3"/>
      <c r="B39" s="3"/>
      <c r="C39" s="3"/>
      <c r="D39" s="5"/>
      <c r="E39" s="5"/>
      <c r="F39" s="9"/>
      <c r="G39" s="5"/>
      <c r="H39" s="5"/>
    </row>
    <row r="40" spans="1:8" ht="15.75">
      <c r="B40" s="3"/>
      <c r="C40" s="3"/>
      <c r="D40" s="5"/>
      <c r="E40" s="5"/>
      <c r="F40" s="9"/>
      <c r="G40" s="5"/>
      <c r="H40" s="5"/>
    </row>
    <row r="41" spans="1:8" ht="15.75">
      <c r="B41" s="3"/>
      <c r="C41" s="3"/>
      <c r="D41" s="5"/>
      <c r="E41" s="5"/>
      <c r="F41" s="9"/>
      <c r="G41" s="5"/>
      <c r="H41" s="5"/>
    </row>
    <row r="42" spans="1:8" ht="15.75">
      <c r="A42" s="3"/>
      <c r="B42" s="3"/>
      <c r="C42" s="3"/>
      <c r="D42" s="5"/>
      <c r="E42" s="5"/>
      <c r="F42" s="9"/>
      <c r="G42" s="5"/>
      <c r="H42" s="5"/>
    </row>
    <row r="43" spans="1:8" ht="15.75">
      <c r="B43" s="3"/>
      <c r="C43" s="3"/>
      <c r="D43" s="5"/>
      <c r="E43" s="5"/>
      <c r="F43" s="9"/>
      <c r="G43" s="5"/>
      <c r="H43" s="5"/>
    </row>
    <row r="44" spans="1:8" ht="15.75">
      <c r="B44" s="3"/>
      <c r="C44" s="3"/>
      <c r="D44" s="5"/>
      <c r="E44" s="5"/>
      <c r="F44" s="9"/>
      <c r="G44" s="5"/>
      <c r="H44" s="5"/>
    </row>
    <row r="45" spans="1:8" ht="15.75">
      <c r="B45" s="3"/>
      <c r="C45" s="3"/>
      <c r="D45" s="5"/>
      <c r="E45" s="5"/>
      <c r="F45" s="9"/>
      <c r="G45" s="5"/>
      <c r="H45" s="5"/>
    </row>
    <row r="46" spans="1:8" ht="15.75">
      <c r="B46" s="3"/>
      <c r="C46" s="3"/>
      <c r="D46" s="5"/>
      <c r="E46" s="5"/>
      <c r="F46" s="9"/>
      <c r="G46" s="5"/>
      <c r="H46" s="5"/>
    </row>
    <row r="47" spans="1:8" ht="15.75">
      <c r="B47" s="3"/>
      <c r="C47" s="3"/>
      <c r="D47" s="5"/>
      <c r="E47" s="5"/>
      <c r="F47" s="9"/>
      <c r="G47" s="5"/>
      <c r="H47" s="13"/>
    </row>
    <row r="48" spans="1:8" ht="15.75">
      <c r="B48" s="3"/>
      <c r="C48" s="3"/>
      <c r="D48" s="5"/>
      <c r="E48" s="5"/>
      <c r="F48" s="9"/>
      <c r="G48" s="5"/>
      <c r="H48" s="5"/>
    </row>
    <row r="49" spans="1:8" ht="15.75">
      <c r="B49" s="3"/>
      <c r="C49" s="3"/>
    </row>
    <row r="50" spans="1:8" ht="15.75">
      <c r="B50" s="3"/>
      <c r="C50" s="3"/>
      <c r="D50" s="5"/>
      <c r="E50" s="5"/>
      <c r="H50" s="5"/>
    </row>
    <row r="51" spans="1:8" ht="15.75">
      <c r="A51" s="7"/>
      <c r="B51" s="3"/>
      <c r="C51" s="3"/>
      <c r="D51" s="5"/>
      <c r="E51" s="5"/>
      <c r="H51" s="5"/>
    </row>
    <row r="52" spans="1:8" ht="15.75">
      <c r="B52" s="3"/>
      <c r="C52" s="3"/>
      <c r="D52" s="5"/>
      <c r="E52" s="5"/>
      <c r="F52" s="9"/>
      <c r="G52" s="5"/>
      <c r="H52" s="5"/>
    </row>
    <row r="53" spans="1:8" ht="15.75">
      <c r="A53" s="11"/>
      <c r="B53" s="3"/>
      <c r="C53" s="3"/>
      <c r="D53" s="5"/>
      <c r="E53" s="5"/>
      <c r="F53" s="9"/>
      <c r="G53" s="5"/>
      <c r="H53" s="5"/>
    </row>
    <row r="54" spans="1:8" ht="15.75">
      <c r="B54" s="3"/>
      <c r="C54" s="3"/>
      <c r="D54" s="5"/>
      <c r="E54" s="5"/>
      <c r="F54" s="9"/>
      <c r="G54" s="5"/>
      <c r="H54" s="5"/>
    </row>
    <row r="55" spans="1:8" ht="15.75">
      <c r="B55" s="3"/>
      <c r="C55" s="3"/>
      <c r="D55" s="5"/>
      <c r="E55" s="5"/>
      <c r="F55" s="9"/>
      <c r="G55" s="5"/>
      <c r="H55" s="5"/>
    </row>
    <row r="56" spans="1:8" ht="15.75">
      <c r="A56" s="3"/>
      <c r="B56" s="3"/>
      <c r="C56" s="3"/>
      <c r="D56" s="5"/>
      <c r="E56" s="5"/>
      <c r="F56" s="9"/>
      <c r="G56" s="5"/>
      <c r="H56" s="5"/>
    </row>
    <row r="57" spans="1:8" ht="15.75">
      <c r="B57" s="3"/>
      <c r="C57" s="3"/>
      <c r="D57" s="5"/>
      <c r="E57" s="5"/>
      <c r="F57" s="9"/>
      <c r="G57" s="5"/>
      <c r="H57" s="5"/>
    </row>
    <row r="58" spans="1:8" ht="15.75">
      <c r="B58" s="3"/>
      <c r="C58" s="3"/>
      <c r="D58" s="5"/>
      <c r="E58" s="5"/>
      <c r="F58" s="9"/>
      <c r="G58" s="5"/>
      <c r="H58" s="5"/>
    </row>
    <row r="59" spans="1:8" ht="15.75">
      <c r="B59" s="3"/>
      <c r="C59" s="3"/>
      <c r="D59" s="5"/>
      <c r="E59" s="5"/>
      <c r="F59" s="9"/>
      <c r="G59" s="5"/>
      <c r="H59" s="5"/>
    </row>
    <row r="60" spans="1:8" ht="15.75">
      <c r="B60" s="3"/>
      <c r="C60" s="3"/>
      <c r="D60" s="5"/>
      <c r="E60" s="5"/>
      <c r="F60" s="9"/>
      <c r="G60" s="5"/>
      <c r="H60" s="5"/>
    </row>
    <row r="61" spans="1:8" ht="15.75">
      <c r="A61" s="3"/>
      <c r="B61" s="3"/>
      <c r="C61" s="3"/>
      <c r="D61" s="5"/>
      <c r="E61" s="5"/>
      <c r="F61" s="9"/>
      <c r="G61" s="5"/>
      <c r="H61" s="5"/>
    </row>
    <row r="62" spans="1:8" ht="15.75">
      <c r="B62" s="3"/>
      <c r="C62" s="3"/>
    </row>
    <row r="63" spans="1:8" ht="15.75">
      <c r="B63" s="3"/>
      <c r="C63" s="3"/>
      <c r="D63" s="5"/>
      <c r="E63" s="5"/>
      <c r="H63" s="5"/>
    </row>
    <row r="64" spans="1:8" ht="15.75">
      <c r="A64" s="14"/>
      <c r="B64" s="3"/>
      <c r="C64" s="3"/>
      <c r="D64" s="5"/>
      <c r="E64" s="5"/>
      <c r="H64" s="5"/>
    </row>
    <row r="65" spans="1:8" ht="15.75">
      <c r="B65" s="3"/>
      <c r="C65" s="3"/>
      <c r="D65" s="5"/>
      <c r="E65" s="5"/>
      <c r="F65" s="9"/>
      <c r="G65" s="5"/>
      <c r="H65" s="5"/>
    </row>
    <row r="66" spans="1:8" ht="15.75">
      <c r="B66" s="3"/>
      <c r="C66" s="3"/>
      <c r="D66" s="5"/>
      <c r="E66" s="5"/>
      <c r="F66" s="9"/>
      <c r="G66" s="5"/>
      <c r="H66" s="5"/>
    </row>
    <row r="67" spans="1:8" ht="15.75">
      <c r="B67" s="3"/>
      <c r="C67" s="3"/>
      <c r="D67" s="5"/>
      <c r="E67" s="5"/>
      <c r="F67" s="9"/>
      <c r="G67" s="5"/>
      <c r="H67" s="5"/>
    </row>
    <row r="68" spans="1:8" ht="15.75">
      <c r="B68" s="3"/>
      <c r="C68" s="3"/>
      <c r="D68" s="5"/>
      <c r="E68" s="5"/>
      <c r="F68" s="9"/>
      <c r="G68" s="5"/>
      <c r="H68" s="5"/>
    </row>
    <row r="69" spans="1:8" ht="15.75">
      <c r="B69" s="3"/>
      <c r="C69" s="3"/>
      <c r="D69" s="5"/>
      <c r="E69" s="5"/>
      <c r="F69" s="9"/>
      <c r="G69" s="5"/>
      <c r="H69" s="5"/>
    </row>
    <row r="70" spans="1:8" ht="15.75">
      <c r="B70" s="3"/>
      <c r="C70" s="3"/>
      <c r="D70" s="5"/>
      <c r="E70" s="5"/>
      <c r="F70" s="9"/>
      <c r="G70" s="5"/>
      <c r="H70" s="5"/>
    </row>
    <row r="71" spans="1:8" ht="15.75">
      <c r="B71" s="3"/>
      <c r="C71" s="3"/>
      <c r="D71" s="5"/>
      <c r="E71" s="5"/>
      <c r="F71" s="9"/>
      <c r="G71" s="5"/>
      <c r="H71" s="5"/>
    </row>
    <row r="72" spans="1:8" ht="15.75">
      <c r="B72" s="3"/>
      <c r="C72" s="3"/>
      <c r="D72" s="5"/>
      <c r="E72" s="5"/>
      <c r="F72" s="9"/>
      <c r="G72" s="5"/>
      <c r="H72" s="5"/>
    </row>
    <row r="73" spans="1:8" ht="15.75">
      <c r="B73" s="3"/>
      <c r="C73" s="3"/>
      <c r="D73" s="5"/>
      <c r="E73" s="5"/>
      <c r="F73" s="9"/>
      <c r="G73" s="5"/>
      <c r="H73" s="5"/>
    </row>
    <row r="74" spans="1:8" ht="15.75">
      <c r="B74" s="3"/>
      <c r="C74" s="3"/>
      <c r="D74" s="5"/>
      <c r="E74" s="5"/>
      <c r="F74" s="9"/>
      <c r="G74" s="5"/>
      <c r="H74" s="5"/>
    </row>
    <row r="75" spans="1:8" ht="15.75">
      <c r="B75" s="3"/>
      <c r="C75" s="3"/>
    </row>
    <row r="76" spans="1:8" ht="15.75">
      <c r="B76" s="3"/>
      <c r="C76" s="3"/>
      <c r="D76" s="5"/>
      <c r="E76" s="5"/>
      <c r="H76" s="5"/>
    </row>
    <row r="77" spans="1:8" ht="15.75">
      <c r="A77" s="14"/>
      <c r="B77" s="3"/>
      <c r="C77" s="3"/>
      <c r="D77" s="5"/>
      <c r="E77" s="5"/>
      <c r="H77" s="5"/>
    </row>
    <row r="78" spans="1:8" ht="15.75">
      <c r="A78" s="3"/>
      <c r="B78" s="3"/>
      <c r="C78" s="3"/>
      <c r="D78" s="5"/>
      <c r="E78" s="5"/>
      <c r="F78" s="9"/>
      <c r="G78" s="5"/>
      <c r="H78" s="5"/>
    </row>
    <row r="79" spans="1:8" ht="15.75">
      <c r="B79" s="3"/>
      <c r="C79" s="3"/>
      <c r="D79" s="5"/>
      <c r="E79" s="5"/>
      <c r="F79" s="9"/>
      <c r="G79" s="5"/>
      <c r="H79" s="5"/>
    </row>
    <row r="80" spans="1:8" ht="15.75">
      <c r="A80" s="3"/>
      <c r="B80" s="3"/>
      <c r="C80" s="3"/>
      <c r="D80" s="5"/>
      <c r="E80" s="5"/>
      <c r="F80" s="9"/>
      <c r="G80" s="5"/>
      <c r="H80" s="5"/>
    </row>
    <row r="81" spans="1:8" ht="15.75">
      <c r="B81" s="3"/>
      <c r="C81" s="3"/>
      <c r="D81" s="5"/>
      <c r="E81" s="5"/>
      <c r="F81" s="9"/>
      <c r="G81" s="5"/>
      <c r="H81" s="5"/>
    </row>
    <row r="82" spans="1:8" ht="15.75">
      <c r="B82" s="3"/>
      <c r="C82" s="3"/>
      <c r="D82" s="5"/>
      <c r="E82" s="5"/>
      <c r="F82" s="9"/>
      <c r="G82" s="5"/>
      <c r="H82" s="5"/>
    </row>
    <row r="83" spans="1:8" ht="15.75">
      <c r="B83" s="3"/>
      <c r="C83" s="3"/>
      <c r="D83" s="5"/>
      <c r="E83" s="5"/>
      <c r="F83" s="9"/>
      <c r="G83" s="5"/>
      <c r="H83" s="5"/>
    </row>
    <row r="84" spans="1:8" ht="15.75">
      <c r="B84" s="3"/>
      <c r="C84" s="3"/>
      <c r="D84" s="5"/>
      <c r="E84" s="5"/>
      <c r="F84" s="9"/>
      <c r="G84" s="5"/>
      <c r="H84" s="5"/>
    </row>
    <row r="85" spans="1:8" ht="15.75">
      <c r="B85" s="3"/>
      <c r="C85" s="3"/>
      <c r="D85" s="5"/>
      <c r="E85" s="5"/>
      <c r="F85" s="9"/>
      <c r="G85" s="5"/>
      <c r="H85" s="5"/>
    </row>
    <row r="86" spans="1:8" ht="15.75">
      <c r="B86" s="3"/>
      <c r="C86" s="3"/>
      <c r="D86" s="5"/>
      <c r="E86" s="5"/>
      <c r="F86" s="9"/>
      <c r="G86" s="5"/>
      <c r="H86" s="5"/>
    </row>
    <row r="87" spans="1:8" ht="15.75">
      <c r="B87" s="3"/>
      <c r="C87" s="3"/>
      <c r="D87" s="5"/>
      <c r="E87" s="5"/>
      <c r="F87" s="9"/>
      <c r="G87" s="5"/>
      <c r="H87" s="5"/>
    </row>
    <row r="88" spans="1:8" ht="15.75">
      <c r="B88" s="3"/>
      <c r="C88" s="3"/>
    </row>
    <row r="89" spans="1:8" ht="15.75">
      <c r="B89" s="3"/>
      <c r="C89" s="3"/>
      <c r="D89" s="5"/>
      <c r="E89" s="5"/>
      <c r="H89" s="5"/>
    </row>
    <row r="90" spans="1:8" ht="15.75">
      <c r="A90" s="14"/>
      <c r="B90" s="3"/>
      <c r="C90" s="3"/>
      <c r="D90" s="5"/>
      <c r="E90" s="5"/>
      <c r="H90" s="5"/>
    </row>
    <row r="91" spans="1:8" ht="15.75">
      <c r="A91" s="3"/>
      <c r="B91" s="3"/>
      <c r="C91" s="3"/>
      <c r="D91" s="5"/>
      <c r="E91" s="5"/>
      <c r="F91" s="9"/>
      <c r="G91" s="5"/>
      <c r="H91" s="5"/>
    </row>
    <row r="92" spans="1:8" ht="15.75">
      <c r="B92" s="3"/>
      <c r="C92" s="3"/>
      <c r="D92" s="5"/>
      <c r="E92" s="5"/>
      <c r="F92" s="9"/>
      <c r="G92" s="5"/>
      <c r="H92" s="5"/>
    </row>
    <row r="93" spans="1:8" ht="15.75">
      <c r="B93" s="3"/>
      <c r="C93" s="3"/>
      <c r="D93" s="5"/>
      <c r="E93" s="5"/>
      <c r="F93" s="9"/>
      <c r="G93" s="5"/>
      <c r="H93" s="5"/>
    </row>
    <row r="94" spans="1:8" ht="15.75">
      <c r="A94" s="3"/>
      <c r="B94" s="3"/>
      <c r="C94" s="3"/>
      <c r="D94" s="5"/>
      <c r="E94" s="5"/>
      <c r="F94" s="9"/>
      <c r="G94" s="5"/>
      <c r="H94" s="5"/>
    </row>
    <row r="95" spans="1:8" ht="15.75">
      <c r="B95" s="3"/>
      <c r="C95" s="3"/>
      <c r="D95" s="5"/>
      <c r="E95" s="5"/>
      <c r="F95" s="9"/>
      <c r="G95" s="5"/>
      <c r="H95" s="5"/>
    </row>
    <row r="96" spans="1:8" ht="15.75">
      <c r="B96" s="3"/>
      <c r="C96" s="3"/>
      <c r="D96" s="5"/>
      <c r="E96" s="5"/>
      <c r="F96" s="9"/>
      <c r="G96" s="5"/>
      <c r="H96" s="5"/>
    </row>
    <row r="97" spans="1:8" ht="15.75">
      <c r="B97" s="3"/>
      <c r="C97" s="3"/>
      <c r="D97" s="5"/>
      <c r="E97" s="5"/>
      <c r="F97" s="9"/>
      <c r="G97" s="5"/>
      <c r="H97" s="5"/>
    </row>
    <row r="98" spans="1:8" ht="15.75">
      <c r="B98" s="3"/>
      <c r="C98" s="3"/>
      <c r="D98" s="5"/>
      <c r="E98" s="5"/>
      <c r="F98" s="9"/>
      <c r="G98" s="5"/>
      <c r="H98" s="5"/>
    </row>
    <row r="99" spans="1:8" ht="15.75">
      <c r="B99" s="3"/>
      <c r="C99" s="3"/>
      <c r="D99" s="5"/>
      <c r="E99" s="5"/>
      <c r="F99" s="9"/>
      <c r="G99" s="5"/>
      <c r="H99" s="5"/>
    </row>
    <row r="100" spans="1:8" ht="15.75">
      <c r="B100" s="3"/>
      <c r="C100" s="3"/>
      <c r="D100" s="5"/>
      <c r="E100" s="5"/>
      <c r="F100" s="9"/>
      <c r="G100" s="5"/>
      <c r="H100" s="5"/>
    </row>
    <row r="101" spans="1:8" ht="15.75">
      <c r="B101" s="3"/>
      <c r="C101" s="3"/>
    </row>
    <row r="102" spans="1:8" ht="15.75">
      <c r="B102" s="3"/>
      <c r="C102" s="3"/>
      <c r="D102" s="5"/>
      <c r="E102" s="5"/>
      <c r="H102" s="5"/>
    </row>
    <row r="103" spans="1:8" ht="15.75">
      <c r="A103" s="14"/>
      <c r="B103" s="3"/>
      <c r="C103" s="3"/>
      <c r="D103" s="5"/>
      <c r="E103" s="5"/>
      <c r="H103" s="5"/>
    </row>
    <row r="104" spans="1:8" ht="15.75">
      <c r="B104" s="3"/>
      <c r="C104" s="3"/>
      <c r="D104" s="5"/>
      <c r="E104" s="5"/>
      <c r="F104" s="9"/>
      <c r="G104" s="5"/>
      <c r="H104" s="5"/>
    </row>
    <row r="105" spans="1:8" ht="15.75">
      <c r="A105" s="3"/>
      <c r="B105" s="3"/>
      <c r="C105" s="3"/>
      <c r="D105" s="5"/>
      <c r="E105" s="5"/>
      <c r="F105" s="9"/>
      <c r="G105" s="5"/>
      <c r="H105" s="5"/>
    </row>
    <row r="106" spans="1:8" ht="15.75">
      <c r="B106" s="3"/>
      <c r="C106" s="3"/>
      <c r="D106" s="5"/>
      <c r="E106" s="5"/>
      <c r="F106" s="9"/>
      <c r="G106" s="5"/>
      <c r="H106" s="5"/>
    </row>
    <row r="107" spans="1:8" ht="15.75">
      <c r="B107" s="3"/>
      <c r="C107" s="3"/>
      <c r="D107" s="5"/>
      <c r="E107" s="5"/>
      <c r="F107" s="9"/>
      <c r="G107" s="5"/>
      <c r="H107" s="5"/>
    </row>
    <row r="108" spans="1:8" ht="15.75">
      <c r="A108" s="3"/>
      <c r="B108" s="3"/>
      <c r="C108" s="3"/>
      <c r="D108" s="5"/>
      <c r="E108" s="5"/>
      <c r="F108" s="9"/>
      <c r="G108" s="5"/>
      <c r="H108" s="5"/>
    </row>
    <row r="109" spans="1:8" ht="15.75">
      <c r="A109" s="3"/>
      <c r="B109" s="3"/>
      <c r="C109" s="3"/>
      <c r="D109" s="5"/>
      <c r="E109" s="5"/>
      <c r="F109" s="9"/>
      <c r="G109" s="5"/>
      <c r="H109" s="5"/>
    </row>
    <row r="110" spans="1:8" ht="15.75">
      <c r="B110" s="3"/>
      <c r="C110" s="3"/>
      <c r="D110" s="5"/>
      <c r="E110" s="5"/>
      <c r="F110" s="9"/>
      <c r="G110" s="5"/>
      <c r="H110" s="5"/>
    </row>
    <row r="111" spans="1:8" ht="15.75">
      <c r="B111" s="3"/>
      <c r="C111" s="3"/>
      <c r="D111" s="5"/>
      <c r="E111" s="5"/>
      <c r="F111" s="9"/>
      <c r="G111" s="5"/>
      <c r="H111" s="5"/>
    </row>
    <row r="112" spans="1:8" ht="15.75">
      <c r="B112" s="3"/>
      <c r="C112" s="3"/>
      <c r="D112" s="5"/>
      <c r="E112" s="5"/>
      <c r="F112" s="9"/>
      <c r="G112" s="5"/>
      <c r="H112" s="5"/>
    </row>
    <row r="113" spans="1:8" ht="15.75">
      <c r="A113" s="3"/>
      <c r="B113" s="3"/>
      <c r="C113" s="3"/>
      <c r="D113" s="5"/>
      <c r="E113" s="5"/>
      <c r="F113" s="9"/>
      <c r="G113" s="5"/>
      <c r="H113" s="5"/>
    </row>
    <row r="114" spans="1:8" ht="15.75" customHeight="1">
      <c r="B114" s="3"/>
      <c r="C114" s="3"/>
    </row>
    <row r="115" spans="1:8" ht="15.75" customHeight="1">
      <c r="D115" s="5"/>
      <c r="E115" s="5"/>
      <c r="H115" s="5"/>
    </row>
    <row r="116" spans="1:8" ht="15.75" customHeight="1">
      <c r="D116" s="5"/>
      <c r="E116" s="5"/>
      <c r="H116" s="5"/>
    </row>
    <row r="117" spans="1:8" ht="15.75" customHeight="1">
      <c r="A117" s="3"/>
      <c r="D117" s="5"/>
      <c r="E117" s="5"/>
      <c r="F117" s="9"/>
      <c r="G117" s="5"/>
      <c r="H117" s="5"/>
    </row>
    <row r="118" spans="1:8" ht="15.75" customHeight="1">
      <c r="D118" s="5"/>
      <c r="E118" s="5"/>
      <c r="F118" s="9"/>
      <c r="G118" s="5"/>
      <c r="H118" s="5"/>
    </row>
    <row r="119" spans="1:8" ht="15.75" customHeight="1">
      <c r="D119" s="5"/>
      <c r="E119" s="5"/>
      <c r="F119" s="9"/>
      <c r="G119" s="5"/>
      <c r="H119" s="5"/>
    </row>
    <row r="120" spans="1:8" ht="15.75" customHeight="1">
      <c r="D120" s="5"/>
      <c r="E120" s="5"/>
      <c r="F120" s="9"/>
      <c r="G120" s="5"/>
      <c r="H120" s="5"/>
    </row>
    <row r="121" spans="1:8" ht="15.75" customHeight="1">
      <c r="D121" s="5"/>
      <c r="E121" s="5"/>
      <c r="F121" s="9"/>
      <c r="G121" s="5"/>
      <c r="H121" s="5"/>
    </row>
    <row r="122" spans="1:8" ht="15.75" customHeight="1">
      <c r="D122" s="5"/>
      <c r="E122" s="5"/>
      <c r="F122" s="9"/>
      <c r="G122" s="5"/>
      <c r="H122" s="5"/>
    </row>
    <row r="123" spans="1:8" ht="15.75" customHeight="1">
      <c r="D123" s="5"/>
      <c r="E123" s="5"/>
      <c r="F123" s="9"/>
      <c r="G123" s="5"/>
      <c r="H123" s="5"/>
    </row>
    <row r="124" spans="1:8" ht="15.75" customHeight="1">
      <c r="D124" s="5"/>
      <c r="E124" s="5"/>
      <c r="F124" s="9"/>
      <c r="G124" s="5"/>
      <c r="H124" s="5"/>
    </row>
    <row r="125" spans="1:8" ht="15.75" customHeight="1">
      <c r="D125" s="5"/>
      <c r="E125" s="5"/>
      <c r="F125" s="9"/>
      <c r="G125" s="5"/>
      <c r="H125" s="5"/>
    </row>
    <row r="126" spans="1:8" ht="15.75" customHeight="1">
      <c r="D126" s="5"/>
      <c r="E126" s="5"/>
      <c r="F126" s="9"/>
      <c r="G126" s="5"/>
      <c r="H126" s="5"/>
    </row>
    <row r="127" spans="1:8" ht="15.75" customHeight="1"/>
    <row r="128" spans="1:8" ht="15.75" customHeight="1">
      <c r="D128" s="5"/>
      <c r="E128" s="5"/>
      <c r="H128" s="5"/>
    </row>
    <row r="129" spans="1:8" ht="15.75" customHeight="1">
      <c r="D129" s="5"/>
      <c r="E129" s="5"/>
      <c r="H129" s="5"/>
    </row>
    <row r="130" spans="1:8" ht="15.75" customHeight="1">
      <c r="A130" s="3"/>
      <c r="D130" s="5"/>
      <c r="E130" s="5"/>
      <c r="F130" s="9"/>
      <c r="G130" s="5"/>
      <c r="H130" s="5"/>
    </row>
    <row r="131" spans="1:8" ht="15.75" customHeight="1">
      <c r="D131" s="5"/>
      <c r="E131" s="5"/>
      <c r="F131" s="9"/>
      <c r="G131" s="5"/>
      <c r="H131" s="5"/>
    </row>
    <row r="132" spans="1:8" ht="15.75" customHeight="1">
      <c r="D132" s="5"/>
      <c r="E132" s="5"/>
      <c r="F132" s="9"/>
      <c r="G132" s="5"/>
      <c r="H132" s="5"/>
    </row>
    <row r="133" spans="1:8" ht="15.75" customHeight="1">
      <c r="D133" s="5"/>
      <c r="E133" s="5"/>
      <c r="F133" s="9"/>
      <c r="G133" s="5"/>
      <c r="H133" s="5"/>
    </row>
    <row r="134" spans="1:8" ht="15.75" customHeight="1">
      <c r="D134" s="5"/>
      <c r="E134" s="5"/>
      <c r="F134" s="9"/>
      <c r="G134" s="5"/>
      <c r="H134" s="5"/>
    </row>
    <row r="135" spans="1:8" ht="15.75" customHeight="1">
      <c r="D135" s="5"/>
      <c r="E135" s="5"/>
      <c r="F135" s="9"/>
      <c r="G135" s="5"/>
      <c r="H135" s="5"/>
    </row>
    <row r="136" spans="1:8" ht="15.75" customHeight="1">
      <c r="D136" s="5"/>
      <c r="E136" s="5"/>
      <c r="F136" s="9"/>
      <c r="G136" s="5"/>
      <c r="H136" s="5"/>
    </row>
    <row r="137" spans="1:8" ht="15.75" customHeight="1">
      <c r="D137" s="5"/>
      <c r="E137" s="5"/>
      <c r="F137" s="9"/>
      <c r="G137" s="5"/>
      <c r="H137" s="5"/>
    </row>
    <row r="138" spans="1:8" ht="15.75" customHeight="1">
      <c r="D138" s="5"/>
      <c r="E138" s="5"/>
      <c r="F138" s="9"/>
      <c r="G138" s="5"/>
      <c r="H138" s="5"/>
    </row>
    <row r="139" spans="1:8" ht="15.75" customHeight="1">
      <c r="D139" s="5"/>
      <c r="E139" s="5"/>
      <c r="F139" s="9"/>
      <c r="G139" s="5"/>
      <c r="H139" s="5"/>
    </row>
    <row r="140" spans="1:8" ht="15.75" customHeight="1"/>
    <row r="141" spans="1:8" ht="15.75" customHeight="1">
      <c r="D141" s="5"/>
      <c r="E141" s="5"/>
      <c r="H141" s="5"/>
    </row>
    <row r="142" spans="1:8" ht="15.75" customHeight="1">
      <c r="D142" s="5"/>
      <c r="E142" s="5"/>
      <c r="H142" s="5"/>
    </row>
    <row r="143" spans="1:8" ht="15.75" customHeight="1">
      <c r="A143" s="3"/>
      <c r="D143" s="5"/>
      <c r="E143" s="5"/>
      <c r="F143" s="9"/>
      <c r="G143" s="5"/>
      <c r="H143" s="5"/>
    </row>
    <row r="144" spans="1:8" ht="15.75" customHeight="1">
      <c r="D144" s="5"/>
      <c r="E144" s="5"/>
      <c r="F144" s="9"/>
      <c r="G144" s="5"/>
      <c r="H144" s="5"/>
    </row>
    <row r="145" spans="1:8" ht="15.75" customHeight="1">
      <c r="D145" s="5"/>
      <c r="E145" s="5"/>
      <c r="F145" s="9"/>
      <c r="G145" s="5"/>
      <c r="H145" s="5"/>
    </row>
    <row r="146" spans="1:8" ht="15.75" customHeight="1">
      <c r="A146" s="3"/>
      <c r="D146" s="5"/>
      <c r="E146" s="5"/>
      <c r="F146" s="9"/>
      <c r="G146" s="5"/>
      <c r="H146" s="5"/>
    </row>
    <row r="147" spans="1:8" ht="15.75" customHeight="1">
      <c r="D147" s="5"/>
      <c r="E147" s="5"/>
      <c r="F147" s="9"/>
      <c r="G147" s="5"/>
      <c r="H147" s="5"/>
    </row>
    <row r="148" spans="1:8" ht="15.75" customHeight="1">
      <c r="D148" s="5"/>
      <c r="E148" s="5"/>
      <c r="F148" s="9"/>
      <c r="G148" s="5"/>
      <c r="H148" s="5"/>
    </row>
    <row r="149" spans="1:8" ht="15.75" customHeight="1">
      <c r="D149" s="5"/>
      <c r="E149" s="5"/>
      <c r="F149" s="9"/>
      <c r="G149" s="5"/>
      <c r="H149" s="5"/>
    </row>
    <row r="150" spans="1:8" ht="15.75" customHeight="1">
      <c r="D150" s="5"/>
      <c r="E150" s="5"/>
      <c r="F150" s="9"/>
      <c r="G150" s="5"/>
      <c r="H150" s="5"/>
    </row>
    <row r="151" spans="1:8" ht="15.75" customHeight="1">
      <c r="D151" s="5"/>
      <c r="E151" s="5"/>
      <c r="F151" s="9"/>
      <c r="G151" s="5"/>
      <c r="H151" s="5"/>
    </row>
    <row r="152" spans="1:8" ht="15.75" customHeight="1">
      <c r="D152" s="5"/>
      <c r="E152" s="5"/>
      <c r="F152" s="9"/>
      <c r="G152" s="5"/>
      <c r="H152" s="5"/>
    </row>
    <row r="153" spans="1:8" ht="15.75" customHeight="1"/>
    <row r="154" spans="1:8" ht="15.75" customHeight="1">
      <c r="D154" s="5"/>
      <c r="E154" s="5"/>
      <c r="H154" s="5"/>
    </row>
    <row r="155" spans="1:8" ht="15.75" customHeight="1">
      <c r="D155" s="5"/>
      <c r="E155" s="5"/>
      <c r="H155" s="5"/>
    </row>
    <row r="156" spans="1:8" ht="15.75" customHeight="1">
      <c r="D156" s="5"/>
      <c r="E156" s="5"/>
      <c r="F156" s="9"/>
      <c r="G156" s="5"/>
      <c r="H156" s="5"/>
    </row>
    <row r="157" spans="1:8" ht="15.75" customHeight="1">
      <c r="D157" s="5"/>
      <c r="E157" s="5"/>
      <c r="F157" s="9"/>
      <c r="G157" s="5"/>
      <c r="H157" s="5"/>
    </row>
    <row r="158" spans="1:8" ht="15.75" customHeight="1">
      <c r="D158" s="5"/>
      <c r="E158" s="5"/>
      <c r="F158" s="9"/>
      <c r="G158" s="5"/>
      <c r="H158" s="5"/>
    </row>
    <row r="159" spans="1:8" ht="15.75" customHeight="1">
      <c r="D159" s="5"/>
      <c r="E159" s="5"/>
      <c r="F159" s="9"/>
      <c r="G159" s="5"/>
      <c r="H159" s="5"/>
    </row>
    <row r="160" spans="1:8" ht="15.75" customHeight="1">
      <c r="D160" s="5"/>
      <c r="E160" s="5"/>
      <c r="F160" s="9"/>
      <c r="G160" s="5"/>
      <c r="H160" s="5"/>
    </row>
    <row r="161" spans="1:8" ht="15.75" customHeight="1">
      <c r="D161" s="5"/>
      <c r="E161" s="5"/>
      <c r="F161" s="9"/>
      <c r="G161" s="5"/>
      <c r="H161" s="5"/>
    </row>
    <row r="162" spans="1:8" ht="15.75" customHeight="1">
      <c r="D162" s="5"/>
      <c r="E162" s="5"/>
      <c r="F162" s="9"/>
      <c r="G162" s="5"/>
      <c r="H162" s="5"/>
    </row>
    <row r="163" spans="1:8" ht="15.75" customHeight="1">
      <c r="D163" s="5"/>
      <c r="E163" s="5"/>
      <c r="F163" s="9"/>
      <c r="G163" s="5"/>
      <c r="H163" s="5"/>
    </row>
    <row r="164" spans="1:8" ht="15.75" customHeight="1">
      <c r="D164" s="5"/>
      <c r="E164" s="5"/>
      <c r="F164" s="9"/>
      <c r="G164" s="5"/>
      <c r="H164" s="5"/>
    </row>
    <row r="165" spans="1:8" ht="15.75" customHeight="1">
      <c r="A165" s="3"/>
      <c r="D165" s="5"/>
      <c r="E165" s="5"/>
      <c r="F165" s="9"/>
      <c r="G165" s="5"/>
      <c r="H165" s="5"/>
    </row>
    <row r="166" spans="1:8" ht="15.75" customHeight="1">
      <c r="H166" s="15"/>
    </row>
    <row r="167" spans="1:8">
      <c r="D167" s="5"/>
      <c r="E167" s="5"/>
      <c r="H167" s="5"/>
    </row>
    <row r="168" spans="1:8">
      <c r="D168" s="5"/>
      <c r="E168" s="5"/>
      <c r="H168" s="5"/>
    </row>
    <row r="169" spans="1:8">
      <c r="D169" s="5"/>
      <c r="E169" s="5"/>
      <c r="F169" s="9"/>
      <c r="G169" s="5"/>
      <c r="H169" s="5"/>
    </row>
    <row r="170" spans="1:8">
      <c r="D170" s="5"/>
      <c r="E170" s="5"/>
      <c r="F170" s="9"/>
      <c r="G170" s="5"/>
      <c r="H170" s="5"/>
    </row>
    <row r="171" spans="1:8">
      <c r="D171" s="5"/>
      <c r="E171" s="5"/>
      <c r="F171" s="9"/>
      <c r="G171" s="5"/>
      <c r="H171" s="5"/>
    </row>
    <row r="172" spans="1:8">
      <c r="D172" s="5"/>
      <c r="E172" s="5"/>
      <c r="F172" s="9"/>
      <c r="G172" s="5"/>
      <c r="H172" s="5"/>
    </row>
    <row r="173" spans="1:8">
      <c r="D173" s="5"/>
      <c r="E173" s="5"/>
      <c r="F173" s="9"/>
      <c r="G173" s="5"/>
      <c r="H173" s="5"/>
    </row>
    <row r="174" spans="1:8">
      <c r="D174" s="5"/>
      <c r="E174" s="5"/>
      <c r="F174" s="9"/>
      <c r="G174" s="5"/>
      <c r="H174" s="5"/>
    </row>
    <row r="175" spans="1:8">
      <c r="D175" s="5"/>
      <c r="E175" s="5"/>
      <c r="F175" s="9"/>
      <c r="G175" s="5"/>
      <c r="H175" s="5"/>
    </row>
    <row r="176" spans="1:8">
      <c r="D176" s="5"/>
      <c r="E176" s="5"/>
      <c r="F176" s="9"/>
      <c r="G176" s="5"/>
      <c r="H176" s="5"/>
    </row>
    <row r="177" spans="4:8">
      <c r="D177" s="5"/>
      <c r="E177" s="5"/>
      <c r="F177" s="9"/>
      <c r="G177" s="5"/>
      <c r="H177" s="5"/>
    </row>
    <row r="178" spans="4:8">
      <c r="D178" s="5"/>
      <c r="E178" s="5"/>
      <c r="F178" s="9"/>
      <c r="G178" s="5"/>
      <c r="H178" s="5"/>
    </row>
    <row r="179" spans="4:8">
      <c r="H179" s="15"/>
    </row>
    <row r="180" spans="4:8">
      <c r="D180" s="5"/>
      <c r="E180" s="5"/>
      <c r="H180" s="5"/>
    </row>
    <row r="181" spans="4:8">
      <c r="D181" s="5"/>
      <c r="E181" s="5"/>
      <c r="H181" s="5"/>
    </row>
    <row r="182" spans="4:8">
      <c r="D182" s="5"/>
      <c r="E182" s="5"/>
      <c r="F182" s="9"/>
      <c r="G182" s="5"/>
      <c r="H182" s="5"/>
    </row>
    <row r="183" spans="4:8">
      <c r="D183" s="5"/>
      <c r="E183" s="5"/>
      <c r="F183" s="9"/>
      <c r="G183" s="5"/>
      <c r="H183" s="5"/>
    </row>
    <row r="184" spans="4:8">
      <c r="D184" s="5"/>
      <c r="E184" s="5"/>
      <c r="F184" s="9"/>
      <c r="G184" s="5"/>
      <c r="H184" s="5"/>
    </row>
    <row r="185" spans="4:8">
      <c r="D185" s="5"/>
      <c r="E185" s="5"/>
      <c r="F185" s="9"/>
      <c r="G185" s="5"/>
      <c r="H185" s="5"/>
    </row>
    <row r="186" spans="4:8">
      <c r="D186" s="5"/>
      <c r="E186" s="5"/>
      <c r="F186" s="9"/>
      <c r="G186" s="5"/>
      <c r="H186" s="5"/>
    </row>
    <row r="187" spans="4:8">
      <c r="D187" s="5"/>
      <c r="E187" s="5"/>
      <c r="F187" s="9"/>
      <c r="G187" s="5"/>
      <c r="H187" s="5"/>
    </row>
    <row r="188" spans="4:8">
      <c r="D188" s="5"/>
      <c r="E188" s="5"/>
      <c r="F188" s="9"/>
      <c r="G188" s="5"/>
      <c r="H188" s="5"/>
    </row>
    <row r="189" spans="4:8">
      <c r="D189" s="5"/>
      <c r="E189" s="5"/>
      <c r="F189" s="9"/>
      <c r="G189" s="5"/>
      <c r="H189" s="5"/>
    </row>
    <row r="190" spans="4:8">
      <c r="D190" s="5"/>
      <c r="E190" s="5"/>
      <c r="F190" s="9"/>
      <c r="G190" s="5"/>
      <c r="H190" s="5"/>
    </row>
    <row r="191" spans="4:8">
      <c r="D191" s="5"/>
      <c r="E191" s="5"/>
      <c r="F191" s="9"/>
      <c r="G191" s="5"/>
      <c r="H191" s="5"/>
    </row>
    <row r="192" spans="4:8">
      <c r="H192" s="15"/>
    </row>
    <row r="193" spans="4:8">
      <c r="D193" s="5"/>
      <c r="E193" s="5"/>
      <c r="H193" s="5"/>
    </row>
    <row r="194" spans="4:8">
      <c r="D194" s="5"/>
      <c r="E194" s="5"/>
      <c r="H194" s="5"/>
    </row>
    <row r="195" spans="4:8">
      <c r="D195" s="5"/>
      <c r="E195" s="5"/>
      <c r="F195" s="9"/>
      <c r="G195" s="5"/>
      <c r="H195" s="5"/>
    </row>
    <row r="196" spans="4:8">
      <c r="D196" s="5"/>
      <c r="E196" s="5"/>
      <c r="F196" s="9"/>
      <c r="G196" s="5"/>
      <c r="H196" s="5"/>
    </row>
    <row r="197" spans="4:8">
      <c r="D197" s="5"/>
      <c r="E197" s="5"/>
      <c r="F197" s="9"/>
      <c r="G197" s="5"/>
      <c r="H197" s="5"/>
    </row>
    <row r="198" spans="4:8">
      <c r="D198" s="5"/>
      <c r="E198" s="5"/>
      <c r="F198" s="9"/>
      <c r="G198" s="5"/>
      <c r="H198" s="5"/>
    </row>
    <row r="199" spans="4:8">
      <c r="D199" s="5"/>
      <c r="E199" s="5"/>
      <c r="F199" s="9"/>
      <c r="G199" s="5"/>
      <c r="H199" s="5"/>
    </row>
    <row r="200" spans="4:8">
      <c r="D200" s="5"/>
      <c r="E200" s="5"/>
      <c r="F200" s="9"/>
      <c r="G200" s="5"/>
      <c r="H200" s="5"/>
    </row>
    <row r="201" spans="4:8">
      <c r="D201" s="5"/>
      <c r="E201" s="5"/>
      <c r="F201" s="9"/>
      <c r="G201" s="5"/>
      <c r="H201" s="5"/>
    </row>
    <row r="202" spans="4:8">
      <c r="D202" s="5"/>
      <c r="E202" s="5"/>
      <c r="F202" s="9"/>
      <c r="G202" s="5"/>
      <c r="H202" s="5"/>
    </row>
    <row r="203" spans="4:8">
      <c r="D203" s="5"/>
      <c r="E203" s="5"/>
      <c r="F203" s="9"/>
      <c r="G203" s="5"/>
      <c r="H203" s="5"/>
    </row>
    <row r="204" spans="4:8">
      <c r="D204" s="5"/>
      <c r="E204" s="5"/>
      <c r="F204" s="9"/>
      <c r="G204" s="5"/>
      <c r="H204" s="5"/>
    </row>
    <row r="205" spans="4:8">
      <c r="H205" s="15"/>
    </row>
    <row r="206" spans="4:8">
      <c r="D206" s="5"/>
      <c r="E206" s="5"/>
      <c r="H206" s="5"/>
    </row>
    <row r="207" spans="4:8">
      <c r="D207" s="5"/>
      <c r="E207" s="5"/>
      <c r="H207" s="5"/>
    </row>
    <row r="208" spans="4:8">
      <c r="D208" s="5"/>
      <c r="E208" s="5"/>
      <c r="F208" s="9"/>
      <c r="G208" s="5"/>
      <c r="H208" s="5"/>
    </row>
    <row r="209" spans="4:8">
      <c r="D209" s="5"/>
      <c r="E209" s="5"/>
      <c r="F209" s="9"/>
      <c r="G209" s="5"/>
      <c r="H209" s="5"/>
    </row>
    <row r="210" spans="4:8">
      <c r="D210" s="5"/>
      <c r="E210" s="5"/>
      <c r="F210" s="9"/>
      <c r="G210" s="5"/>
      <c r="H210" s="5"/>
    </row>
    <row r="211" spans="4:8">
      <c r="D211" s="5"/>
      <c r="E211" s="5"/>
      <c r="F211" s="9"/>
      <c r="G211" s="5"/>
      <c r="H211" s="5"/>
    </row>
    <row r="212" spans="4:8">
      <c r="D212" s="5"/>
      <c r="E212" s="5"/>
      <c r="F212" s="9"/>
      <c r="G212" s="5"/>
      <c r="H212" s="5"/>
    </row>
    <row r="213" spans="4:8">
      <c r="D213" s="5"/>
      <c r="E213" s="5"/>
      <c r="F213" s="9"/>
      <c r="G213" s="5"/>
      <c r="H213" s="5"/>
    </row>
    <row r="214" spans="4:8">
      <c r="D214" s="5"/>
      <c r="E214" s="5"/>
      <c r="F214" s="9"/>
      <c r="G214" s="5"/>
      <c r="H214" s="5"/>
    </row>
    <row r="215" spans="4:8">
      <c r="D215" s="5"/>
      <c r="E215" s="5"/>
      <c r="F215" s="9"/>
      <c r="G215" s="5"/>
      <c r="H215" s="5"/>
    </row>
    <row r="216" spans="4:8">
      <c r="D216" s="5"/>
      <c r="E216" s="5"/>
      <c r="F216" s="9"/>
      <c r="G216" s="5"/>
      <c r="H216" s="5"/>
    </row>
    <row r="217" spans="4:8">
      <c r="D217" s="5"/>
      <c r="E217" s="5"/>
      <c r="F217" s="9"/>
      <c r="G217" s="5"/>
      <c r="H21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9B95-7E3B-4081-A672-7989CF3FF6D6}">
  <dimension ref="A1:P217"/>
  <sheetViews>
    <sheetView workbookViewId="0">
      <selection activeCell="A13" sqref="A13"/>
    </sheetView>
  </sheetViews>
  <sheetFormatPr defaultColWidth="12.5703125" defaultRowHeight="12.75"/>
  <cols>
    <col min="1" max="1" width="32.5703125" style="1" customWidth="1"/>
    <col min="2" max="2" width="11.5703125" style="1" bestFit="1" customWidth="1"/>
    <col min="3" max="5" width="10.140625" style="1" customWidth="1"/>
    <col min="6" max="7" width="10.140625" style="1" bestFit="1" customWidth="1"/>
    <col min="8" max="11" width="10.140625" style="1" customWidth="1"/>
    <col min="12" max="12" width="11.140625" style="1" bestFit="1" customWidth="1"/>
    <col min="13" max="256" width="10.140625" style="1" customWidth="1"/>
    <col min="257" max="257" width="14.7109375" style="1" customWidth="1"/>
    <col min="258" max="258" width="11.5703125" style="1" bestFit="1" customWidth="1"/>
    <col min="259" max="512" width="10.140625" style="1" customWidth="1"/>
    <col min="513" max="513" width="14.7109375" style="1" customWidth="1"/>
    <col min="514" max="514" width="11.5703125" style="1" bestFit="1" customWidth="1"/>
    <col min="515" max="768" width="10.140625" style="1" customWidth="1"/>
    <col min="769" max="769" width="14.7109375" style="1" customWidth="1"/>
    <col min="770" max="770" width="11.5703125" style="1" bestFit="1" customWidth="1"/>
    <col min="771" max="1024" width="10.140625" style="1" customWidth="1"/>
    <col min="1025" max="1025" width="14.7109375" style="1" customWidth="1"/>
    <col min="1026" max="1026" width="11.5703125" style="1" bestFit="1" customWidth="1"/>
    <col min="1027" max="1280" width="10.140625" style="1" customWidth="1"/>
    <col min="1281" max="1281" width="14.7109375" style="1" customWidth="1"/>
    <col min="1282" max="1282" width="11.5703125" style="1" bestFit="1" customWidth="1"/>
    <col min="1283" max="1536" width="10.140625" style="1" customWidth="1"/>
    <col min="1537" max="1537" width="14.7109375" style="1" customWidth="1"/>
    <col min="1538" max="1538" width="11.5703125" style="1" bestFit="1" customWidth="1"/>
    <col min="1539" max="1792" width="10.140625" style="1" customWidth="1"/>
    <col min="1793" max="1793" width="14.7109375" style="1" customWidth="1"/>
    <col min="1794" max="1794" width="11.5703125" style="1" bestFit="1" customWidth="1"/>
    <col min="1795" max="2048" width="10.140625" style="1" customWidth="1"/>
    <col min="2049" max="2049" width="14.7109375" style="1" customWidth="1"/>
    <col min="2050" max="2050" width="11.5703125" style="1" bestFit="1" customWidth="1"/>
    <col min="2051" max="2304" width="10.140625" style="1" customWidth="1"/>
    <col min="2305" max="2305" width="14.7109375" style="1" customWidth="1"/>
    <col min="2306" max="2306" width="11.5703125" style="1" bestFit="1" customWidth="1"/>
    <col min="2307" max="2560" width="10.140625" style="1" customWidth="1"/>
    <col min="2561" max="2561" width="14.7109375" style="1" customWidth="1"/>
    <col min="2562" max="2562" width="11.5703125" style="1" bestFit="1" customWidth="1"/>
    <col min="2563" max="2816" width="10.140625" style="1" customWidth="1"/>
    <col min="2817" max="2817" width="14.7109375" style="1" customWidth="1"/>
    <col min="2818" max="2818" width="11.5703125" style="1" bestFit="1" customWidth="1"/>
    <col min="2819" max="3072" width="10.140625" style="1" customWidth="1"/>
    <col min="3073" max="3073" width="14.7109375" style="1" customWidth="1"/>
    <col min="3074" max="3074" width="11.5703125" style="1" bestFit="1" customWidth="1"/>
    <col min="3075" max="3328" width="10.140625" style="1" customWidth="1"/>
    <col min="3329" max="3329" width="14.7109375" style="1" customWidth="1"/>
    <col min="3330" max="3330" width="11.5703125" style="1" bestFit="1" customWidth="1"/>
    <col min="3331" max="3584" width="10.140625" style="1" customWidth="1"/>
    <col min="3585" max="3585" width="14.7109375" style="1" customWidth="1"/>
    <col min="3586" max="3586" width="11.5703125" style="1" bestFit="1" customWidth="1"/>
    <col min="3587" max="3840" width="10.140625" style="1" customWidth="1"/>
    <col min="3841" max="3841" width="14.7109375" style="1" customWidth="1"/>
    <col min="3842" max="3842" width="11.5703125" style="1" bestFit="1" customWidth="1"/>
    <col min="3843" max="4096" width="10.140625" style="1" customWidth="1"/>
    <col min="4097" max="4097" width="14.7109375" style="1" customWidth="1"/>
    <col min="4098" max="4098" width="11.5703125" style="1" bestFit="1" customWidth="1"/>
    <col min="4099" max="4352" width="10.140625" style="1" customWidth="1"/>
    <col min="4353" max="4353" width="14.7109375" style="1" customWidth="1"/>
    <col min="4354" max="4354" width="11.5703125" style="1" bestFit="1" customWidth="1"/>
    <col min="4355" max="4608" width="10.140625" style="1" customWidth="1"/>
    <col min="4609" max="4609" width="14.7109375" style="1" customWidth="1"/>
    <col min="4610" max="4610" width="11.5703125" style="1" bestFit="1" customWidth="1"/>
    <col min="4611" max="4864" width="10.140625" style="1" customWidth="1"/>
    <col min="4865" max="4865" width="14.7109375" style="1" customWidth="1"/>
    <col min="4866" max="4866" width="11.5703125" style="1" bestFit="1" customWidth="1"/>
    <col min="4867" max="5120" width="10.140625" style="1" customWidth="1"/>
    <col min="5121" max="5121" width="14.7109375" style="1" customWidth="1"/>
    <col min="5122" max="5122" width="11.5703125" style="1" bestFit="1" customWidth="1"/>
    <col min="5123" max="5376" width="10.140625" style="1" customWidth="1"/>
    <col min="5377" max="5377" width="14.7109375" style="1" customWidth="1"/>
    <col min="5378" max="5378" width="11.5703125" style="1" bestFit="1" customWidth="1"/>
    <col min="5379" max="5632" width="10.140625" style="1" customWidth="1"/>
    <col min="5633" max="5633" width="14.7109375" style="1" customWidth="1"/>
    <col min="5634" max="5634" width="11.5703125" style="1" bestFit="1" customWidth="1"/>
    <col min="5635" max="5888" width="10.140625" style="1" customWidth="1"/>
    <col min="5889" max="5889" width="14.7109375" style="1" customWidth="1"/>
    <col min="5890" max="5890" width="11.5703125" style="1" bestFit="1" customWidth="1"/>
    <col min="5891" max="6144" width="10.140625" style="1" customWidth="1"/>
    <col min="6145" max="6145" width="14.7109375" style="1" customWidth="1"/>
    <col min="6146" max="6146" width="11.5703125" style="1" bestFit="1" customWidth="1"/>
    <col min="6147" max="6400" width="10.140625" style="1" customWidth="1"/>
    <col min="6401" max="6401" width="14.7109375" style="1" customWidth="1"/>
    <col min="6402" max="6402" width="11.5703125" style="1" bestFit="1" customWidth="1"/>
    <col min="6403" max="6656" width="10.140625" style="1" customWidth="1"/>
    <col min="6657" max="6657" width="14.7109375" style="1" customWidth="1"/>
    <col min="6658" max="6658" width="11.5703125" style="1" bestFit="1" customWidth="1"/>
    <col min="6659" max="6912" width="10.140625" style="1" customWidth="1"/>
    <col min="6913" max="6913" width="14.7109375" style="1" customWidth="1"/>
    <col min="6914" max="6914" width="11.5703125" style="1" bestFit="1" customWidth="1"/>
    <col min="6915" max="7168" width="10.140625" style="1" customWidth="1"/>
    <col min="7169" max="7169" width="14.7109375" style="1" customWidth="1"/>
    <col min="7170" max="7170" width="11.5703125" style="1" bestFit="1" customWidth="1"/>
    <col min="7171" max="7424" width="10.140625" style="1" customWidth="1"/>
    <col min="7425" max="7425" width="14.7109375" style="1" customWidth="1"/>
    <col min="7426" max="7426" width="11.5703125" style="1" bestFit="1" customWidth="1"/>
    <col min="7427" max="7680" width="10.140625" style="1" customWidth="1"/>
    <col min="7681" max="7681" width="14.7109375" style="1" customWidth="1"/>
    <col min="7682" max="7682" width="11.5703125" style="1" bestFit="1" customWidth="1"/>
    <col min="7683" max="7936" width="10.140625" style="1" customWidth="1"/>
    <col min="7937" max="7937" width="14.7109375" style="1" customWidth="1"/>
    <col min="7938" max="7938" width="11.5703125" style="1" bestFit="1" customWidth="1"/>
    <col min="7939" max="8192" width="10.140625" style="1" customWidth="1"/>
    <col min="8193" max="8193" width="14.7109375" style="1" customWidth="1"/>
    <col min="8194" max="8194" width="11.5703125" style="1" bestFit="1" customWidth="1"/>
    <col min="8195" max="8448" width="10.140625" style="1" customWidth="1"/>
    <col min="8449" max="8449" width="14.7109375" style="1" customWidth="1"/>
    <col min="8450" max="8450" width="11.5703125" style="1" bestFit="1" customWidth="1"/>
    <col min="8451" max="8704" width="10.140625" style="1" customWidth="1"/>
    <col min="8705" max="8705" width="14.7109375" style="1" customWidth="1"/>
    <col min="8706" max="8706" width="11.5703125" style="1" bestFit="1" customWidth="1"/>
    <col min="8707" max="8960" width="10.140625" style="1" customWidth="1"/>
    <col min="8961" max="8961" width="14.7109375" style="1" customWidth="1"/>
    <col min="8962" max="8962" width="11.5703125" style="1" bestFit="1" customWidth="1"/>
    <col min="8963" max="9216" width="10.140625" style="1" customWidth="1"/>
    <col min="9217" max="9217" width="14.7109375" style="1" customWidth="1"/>
    <col min="9218" max="9218" width="11.5703125" style="1" bestFit="1" customWidth="1"/>
    <col min="9219" max="9472" width="10.140625" style="1" customWidth="1"/>
    <col min="9473" max="9473" width="14.7109375" style="1" customWidth="1"/>
    <col min="9474" max="9474" width="11.5703125" style="1" bestFit="1" customWidth="1"/>
    <col min="9475" max="9728" width="10.140625" style="1" customWidth="1"/>
    <col min="9729" max="9729" width="14.7109375" style="1" customWidth="1"/>
    <col min="9730" max="9730" width="11.5703125" style="1" bestFit="1" customWidth="1"/>
    <col min="9731" max="9984" width="10.140625" style="1" customWidth="1"/>
    <col min="9985" max="9985" width="14.7109375" style="1" customWidth="1"/>
    <col min="9986" max="9986" width="11.5703125" style="1" bestFit="1" customWidth="1"/>
    <col min="9987" max="10240" width="10.140625" style="1" customWidth="1"/>
    <col min="10241" max="10241" width="14.7109375" style="1" customWidth="1"/>
    <col min="10242" max="10242" width="11.5703125" style="1" bestFit="1" customWidth="1"/>
    <col min="10243" max="10496" width="10.140625" style="1" customWidth="1"/>
    <col min="10497" max="10497" width="14.7109375" style="1" customWidth="1"/>
    <col min="10498" max="10498" width="11.5703125" style="1" bestFit="1" customWidth="1"/>
    <col min="10499" max="10752" width="10.140625" style="1" customWidth="1"/>
    <col min="10753" max="10753" width="14.7109375" style="1" customWidth="1"/>
    <col min="10754" max="10754" width="11.5703125" style="1" bestFit="1" customWidth="1"/>
    <col min="10755" max="11008" width="10.140625" style="1" customWidth="1"/>
    <col min="11009" max="11009" width="14.7109375" style="1" customWidth="1"/>
    <col min="11010" max="11010" width="11.5703125" style="1" bestFit="1" customWidth="1"/>
    <col min="11011" max="11264" width="10.140625" style="1" customWidth="1"/>
    <col min="11265" max="11265" width="14.7109375" style="1" customWidth="1"/>
    <col min="11266" max="11266" width="11.5703125" style="1" bestFit="1" customWidth="1"/>
    <col min="11267" max="11520" width="10.140625" style="1" customWidth="1"/>
    <col min="11521" max="11521" width="14.7109375" style="1" customWidth="1"/>
    <col min="11522" max="11522" width="11.5703125" style="1" bestFit="1" customWidth="1"/>
    <col min="11523" max="11776" width="10.140625" style="1" customWidth="1"/>
    <col min="11777" max="11777" width="14.7109375" style="1" customWidth="1"/>
    <col min="11778" max="11778" width="11.5703125" style="1" bestFit="1" customWidth="1"/>
    <col min="11779" max="12032" width="10.140625" style="1" customWidth="1"/>
    <col min="12033" max="12033" width="14.7109375" style="1" customWidth="1"/>
    <col min="12034" max="12034" width="11.5703125" style="1" bestFit="1" customWidth="1"/>
    <col min="12035" max="12288" width="10.140625" style="1" customWidth="1"/>
    <col min="12289" max="12289" width="14.7109375" style="1" customWidth="1"/>
    <col min="12290" max="12290" width="11.5703125" style="1" bestFit="1" customWidth="1"/>
    <col min="12291" max="12544" width="10.140625" style="1" customWidth="1"/>
    <col min="12545" max="12545" width="14.7109375" style="1" customWidth="1"/>
    <col min="12546" max="12546" width="11.5703125" style="1" bestFit="1" customWidth="1"/>
    <col min="12547" max="12800" width="10.140625" style="1" customWidth="1"/>
    <col min="12801" max="12801" width="14.7109375" style="1" customWidth="1"/>
    <col min="12802" max="12802" width="11.5703125" style="1" bestFit="1" customWidth="1"/>
    <col min="12803" max="13056" width="10.140625" style="1" customWidth="1"/>
    <col min="13057" max="13057" width="14.7109375" style="1" customWidth="1"/>
    <col min="13058" max="13058" width="11.5703125" style="1" bestFit="1" customWidth="1"/>
    <col min="13059" max="13312" width="10.140625" style="1" customWidth="1"/>
    <col min="13313" max="13313" width="14.7109375" style="1" customWidth="1"/>
    <col min="13314" max="13314" width="11.5703125" style="1" bestFit="1" customWidth="1"/>
    <col min="13315" max="13568" width="10.140625" style="1" customWidth="1"/>
    <col min="13569" max="13569" width="14.7109375" style="1" customWidth="1"/>
    <col min="13570" max="13570" width="11.5703125" style="1" bestFit="1" customWidth="1"/>
    <col min="13571" max="13824" width="10.140625" style="1" customWidth="1"/>
    <col min="13825" max="13825" width="14.7109375" style="1" customWidth="1"/>
    <col min="13826" max="13826" width="11.5703125" style="1" bestFit="1" customWidth="1"/>
    <col min="13827" max="14080" width="10.140625" style="1" customWidth="1"/>
    <col min="14081" max="14081" width="14.7109375" style="1" customWidth="1"/>
    <col min="14082" max="14082" width="11.5703125" style="1" bestFit="1" customWidth="1"/>
    <col min="14083" max="14336" width="10.140625" style="1" customWidth="1"/>
    <col min="14337" max="14337" width="14.7109375" style="1" customWidth="1"/>
    <col min="14338" max="14338" width="11.5703125" style="1" bestFit="1" customWidth="1"/>
    <col min="14339" max="14592" width="10.140625" style="1" customWidth="1"/>
    <col min="14593" max="14593" width="14.7109375" style="1" customWidth="1"/>
    <col min="14594" max="14594" width="11.5703125" style="1" bestFit="1" customWidth="1"/>
    <col min="14595" max="14848" width="10.140625" style="1" customWidth="1"/>
    <col min="14849" max="14849" width="14.7109375" style="1" customWidth="1"/>
    <col min="14850" max="14850" width="11.5703125" style="1" bestFit="1" customWidth="1"/>
    <col min="14851" max="15104" width="10.140625" style="1" customWidth="1"/>
    <col min="15105" max="15105" width="14.7109375" style="1" customWidth="1"/>
    <col min="15106" max="15106" width="11.5703125" style="1" bestFit="1" customWidth="1"/>
    <col min="15107" max="15360" width="10.140625" style="1" customWidth="1"/>
    <col min="15361" max="15361" width="14.7109375" style="1" customWidth="1"/>
    <col min="15362" max="15362" width="11.5703125" style="1" bestFit="1" customWidth="1"/>
    <col min="15363" max="15616" width="10.140625" style="1" customWidth="1"/>
    <col min="15617" max="15617" width="14.7109375" style="1" customWidth="1"/>
    <col min="15618" max="15618" width="11.5703125" style="1" bestFit="1" customWidth="1"/>
    <col min="15619" max="15872" width="10.140625" style="1" customWidth="1"/>
    <col min="15873" max="15873" width="14.7109375" style="1" customWidth="1"/>
    <col min="15874" max="15874" width="11.5703125" style="1" bestFit="1" customWidth="1"/>
    <col min="15875" max="16128" width="10.140625" style="1" customWidth="1"/>
    <col min="16129" max="16129" width="14.7109375" style="1" customWidth="1"/>
    <col min="16130" max="16130" width="11.5703125" style="1" bestFit="1" customWidth="1"/>
    <col min="16131" max="16384" width="10.140625" style="1" customWidth="1"/>
  </cols>
  <sheetData>
    <row r="1" spans="1:16" ht="15.75">
      <c r="A1" s="1" t="s">
        <v>0</v>
      </c>
      <c r="B1" s="2">
        <f>Sheet1!B11</f>
        <v>45303</v>
      </c>
      <c r="E1" s="1">
        <f>Sheet1!D12</f>
        <v>106.5</v>
      </c>
      <c r="F1" s="1" t="s">
        <v>1</v>
      </c>
      <c r="H1" s="3"/>
      <c r="K1" s="3"/>
      <c r="L1" s="3"/>
      <c r="M1" s="3"/>
    </row>
    <row r="2" spans="1:16" ht="15.75">
      <c r="E2" s="1">
        <f>Sheet1!D13</f>
        <v>124179</v>
      </c>
      <c r="F2" s="1" t="s">
        <v>2</v>
      </c>
      <c r="H2" s="3"/>
      <c r="K2" s="3"/>
      <c r="L2" s="3"/>
      <c r="M2" s="3"/>
    </row>
    <row r="3" spans="1:16" ht="15.75">
      <c r="B3" s="4"/>
      <c r="E3" s="1">
        <f>Sheet1!D14</f>
        <v>0.5</v>
      </c>
      <c r="F3" s="1" t="s">
        <v>3</v>
      </c>
      <c r="H3" s="3"/>
      <c r="K3" s="3"/>
      <c r="L3" s="3"/>
      <c r="M3" s="3"/>
    </row>
    <row r="4" spans="1:16" ht="15.75">
      <c r="B4" s="4"/>
      <c r="E4" s="1">
        <f>AVERAGE(Sheet1!B17:M24)*10</f>
        <v>49082.5</v>
      </c>
      <c r="F4" s="1" t="s">
        <v>4</v>
      </c>
      <c r="G4" s="1" t="s">
        <v>43</v>
      </c>
      <c r="H4" s="3"/>
      <c r="K4" s="3"/>
      <c r="L4" s="3"/>
      <c r="M4" s="3"/>
    </row>
    <row r="5" spans="1:16" ht="15.75">
      <c r="A5" s="1" t="str">
        <f>Sheet1!B14</f>
        <v>comment 1</v>
      </c>
      <c r="D5" s="5"/>
      <c r="E5" s="5">
        <f>E4/(E3*E2)</f>
        <v>0.79051208336353163</v>
      </c>
      <c r="F5" s="6" t="s">
        <v>5</v>
      </c>
      <c r="H5" s="3"/>
      <c r="I5" s="4"/>
      <c r="K5" s="3"/>
      <c r="M5" s="3"/>
    </row>
    <row r="6" spans="1:16" ht="15.75">
      <c r="A6" s="1" t="str">
        <f>Sheet1!B15</f>
        <v>comment 2</v>
      </c>
      <c r="E6" s="6"/>
      <c r="H6" s="3"/>
      <c r="K6" s="3"/>
    </row>
    <row r="7" spans="1:16" ht="15.75">
      <c r="A7" s="3" t="str">
        <f>Sheet1!B12</f>
        <v>blue</v>
      </c>
      <c r="E7" s="6"/>
      <c r="H7" s="3"/>
      <c r="K7" s="3"/>
    </row>
    <row r="8" spans="1:16" ht="15.75">
      <c r="A8" s="1" t="s">
        <v>37</v>
      </c>
      <c r="B8" s="1" t="s">
        <v>39</v>
      </c>
      <c r="E8" s="6"/>
      <c r="H8" s="3"/>
      <c r="K8" s="3"/>
    </row>
    <row r="9" spans="1:16" ht="15.75">
      <c r="A9" s="1">
        <f>Sheet1!B13</f>
        <v>1</v>
      </c>
      <c r="B9" s="1">
        <f>Sheet1!B28</f>
        <v>1</v>
      </c>
      <c r="E9" s="6"/>
      <c r="H9" s="3"/>
      <c r="K9" s="3"/>
    </row>
    <row r="10" spans="1:16" ht="15.75"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K10" s="3"/>
      <c r="P10" s="4"/>
    </row>
    <row r="11" spans="1:16" ht="15.75">
      <c r="A11" s="4" t="s">
        <v>52</v>
      </c>
      <c r="B11" s="3">
        <f>Sheet1!F33</f>
        <v>358</v>
      </c>
      <c r="C11" s="3">
        <f>Sheet1!G33</f>
        <v>565</v>
      </c>
      <c r="D11" s="5"/>
      <c r="E11" s="5"/>
      <c r="H11" s="5">
        <f>J14*100/$J$14</f>
        <v>100</v>
      </c>
      <c r="L11" s="4" t="s">
        <v>11</v>
      </c>
      <c r="M11" s="4" t="s">
        <v>12</v>
      </c>
    </row>
    <row r="12" spans="1:16" ht="15.75">
      <c r="A12" s="7" t="str">
        <f>Sheet1!F31</f>
        <v>Drug 3</v>
      </c>
      <c r="B12" s="3">
        <f>Sheet1!F34</f>
        <v>265</v>
      </c>
      <c r="C12" s="3">
        <f>Sheet1!G34</f>
        <v>162</v>
      </c>
      <c r="D12" s="5"/>
      <c r="E12" s="5"/>
      <c r="H12" s="5"/>
      <c r="J12" s="8"/>
      <c r="L12" s="1">
        <f>Sheet1!B2</f>
        <v>300</v>
      </c>
      <c r="M12" s="1">
        <f>Sheet1!C2</f>
        <v>174</v>
      </c>
    </row>
    <row r="13" spans="1:16" ht="15.75">
      <c r="B13" s="3">
        <f>Sheet1!F35</f>
        <v>209</v>
      </c>
      <c r="C13" s="3">
        <f>Sheet1!G35</f>
        <v>158</v>
      </c>
      <c r="D13" s="5">
        <f t="shared" ref="D13:D21" si="0">AVERAGE(B13:C13)</f>
        <v>183.5</v>
      </c>
      <c r="E13" s="5">
        <f>D13-$J$18</f>
        <v>-15.25</v>
      </c>
      <c r="F13" s="9">
        <f t="shared" ref="F13:F21" si="1">10^G13</f>
        <v>9.9999999999999995E-7</v>
      </c>
      <c r="G13" s="5">
        <f>Sheet1!G31</f>
        <v>-6</v>
      </c>
      <c r="H13" s="5">
        <f t="shared" ref="H13:H21" si="2">E13*100/$J$16</f>
        <v>-8.4899095337508701</v>
      </c>
      <c r="J13" s="10" t="s">
        <v>14</v>
      </c>
      <c r="L13" s="1">
        <f>Sheet1!B3</f>
        <v>344</v>
      </c>
      <c r="M13" s="1">
        <f>Sheet1!C3</f>
        <v>214</v>
      </c>
      <c r="P13" s="4"/>
    </row>
    <row r="14" spans="1:16" ht="15.75">
      <c r="B14" s="3">
        <f>Sheet1!F36</f>
        <v>282</v>
      </c>
      <c r="C14" s="3">
        <f>Sheet1!G36</f>
        <v>364</v>
      </c>
      <c r="D14" s="5">
        <f t="shared" si="0"/>
        <v>323</v>
      </c>
      <c r="E14" s="5">
        <f t="shared" ref="E14:E21" si="3">D14-$J$18</f>
        <v>124.25</v>
      </c>
      <c r="F14" s="9">
        <f t="shared" si="1"/>
        <v>3.1622776601683734E-7</v>
      </c>
      <c r="G14" s="5">
        <f>G13-0.5</f>
        <v>-6.5</v>
      </c>
      <c r="H14" s="5">
        <f t="shared" si="2"/>
        <v>69.17188587334725</v>
      </c>
      <c r="J14" s="10">
        <f>AVERAGE(L12:L27)</f>
        <v>378.375</v>
      </c>
      <c r="L14" s="1">
        <f>Sheet1!B4</f>
        <v>373</v>
      </c>
      <c r="M14" s="1">
        <f>Sheet1!C4</f>
        <v>212</v>
      </c>
    </row>
    <row r="15" spans="1:16" ht="15.75">
      <c r="B15" s="3">
        <f>Sheet1!F37</f>
        <v>487</v>
      </c>
      <c r="C15" s="3">
        <f>Sheet1!G37</f>
        <v>435</v>
      </c>
      <c r="D15" s="5">
        <f t="shared" si="0"/>
        <v>461</v>
      </c>
      <c r="E15" s="5">
        <f t="shared" si="3"/>
        <v>262.25</v>
      </c>
      <c r="F15" s="9">
        <f t="shared" si="1"/>
        <v>9.9999999999999995E-8</v>
      </c>
      <c r="G15" s="5">
        <f t="shared" ref="G15:G21" si="4">G14-0.5</f>
        <v>-7</v>
      </c>
      <c r="H15" s="5">
        <f t="shared" si="2"/>
        <v>145.99860821155184</v>
      </c>
      <c r="J15" s="10" t="s">
        <v>15</v>
      </c>
      <c r="L15" s="1">
        <f>Sheet1!B5</f>
        <v>506</v>
      </c>
      <c r="M15" s="1">
        <f>Sheet1!C5</f>
        <v>190</v>
      </c>
    </row>
    <row r="16" spans="1:16" ht="15.75">
      <c r="B16" s="3">
        <f>Sheet1!F38</f>
        <v>421</v>
      </c>
      <c r="C16" s="3">
        <f>Sheet1!G38</f>
        <v>425</v>
      </c>
      <c r="D16" s="5">
        <f t="shared" si="0"/>
        <v>423</v>
      </c>
      <c r="E16" s="5">
        <f t="shared" si="3"/>
        <v>224.25</v>
      </c>
      <c r="F16" s="9">
        <f t="shared" si="1"/>
        <v>3.1622776601683699E-8</v>
      </c>
      <c r="G16" s="5">
        <f t="shared" si="4"/>
        <v>-7.5</v>
      </c>
      <c r="H16" s="5">
        <f t="shared" si="2"/>
        <v>124.84342379958247</v>
      </c>
      <c r="J16" s="10">
        <f>J14-J18</f>
        <v>179.625</v>
      </c>
      <c r="L16" s="1">
        <f>Sheet1!B6</f>
        <v>358</v>
      </c>
      <c r="M16" s="1">
        <f>Sheet1!C6</f>
        <v>265</v>
      </c>
    </row>
    <row r="17" spans="1:13" ht="15.75">
      <c r="B17" s="3">
        <f>Sheet1!F39</f>
        <v>454</v>
      </c>
      <c r="C17" s="3">
        <f>Sheet1!G39</f>
        <v>497</v>
      </c>
      <c r="D17" s="5">
        <f t="shared" si="0"/>
        <v>475.5</v>
      </c>
      <c r="E17" s="5">
        <f t="shared" si="3"/>
        <v>276.75</v>
      </c>
      <c r="F17" s="9">
        <f t="shared" si="1"/>
        <v>1E-8</v>
      </c>
      <c r="G17" s="5">
        <f t="shared" si="4"/>
        <v>-8</v>
      </c>
      <c r="H17" s="5">
        <f t="shared" si="2"/>
        <v>154.07098121085596</v>
      </c>
      <c r="J17" s="10" t="s">
        <v>16</v>
      </c>
      <c r="L17" s="1">
        <f>Sheet1!B7</f>
        <v>565</v>
      </c>
      <c r="M17" s="1">
        <f>Sheet1!C7</f>
        <v>162</v>
      </c>
    </row>
    <row r="18" spans="1:13" ht="15.75">
      <c r="A18" s="3"/>
      <c r="B18" s="3">
        <f>Sheet1!F40</f>
        <v>398</v>
      </c>
      <c r="C18" s="3">
        <f>Sheet1!G40</f>
        <v>476</v>
      </c>
      <c r="D18" s="5">
        <f t="shared" si="0"/>
        <v>437</v>
      </c>
      <c r="E18" s="5">
        <f t="shared" si="3"/>
        <v>238.25</v>
      </c>
      <c r="F18" s="9">
        <f t="shared" si="1"/>
        <v>3.1622776601683779E-9</v>
      </c>
      <c r="G18" s="5">
        <f t="shared" si="4"/>
        <v>-8.5</v>
      </c>
      <c r="H18" s="5">
        <f t="shared" si="2"/>
        <v>132.63743910925538</v>
      </c>
      <c r="J18" s="10">
        <f>AVERAGE(M12:M19)</f>
        <v>198.75</v>
      </c>
      <c r="L18" s="1">
        <f>Sheet1!B8</f>
        <v>361</v>
      </c>
      <c r="M18" s="1">
        <f>Sheet1!C8</f>
        <v>176</v>
      </c>
    </row>
    <row r="19" spans="1:13" ht="15.75">
      <c r="B19" s="3">
        <f>Sheet1!F41</f>
        <v>335</v>
      </c>
      <c r="C19" s="3">
        <f>Sheet1!G41</f>
        <v>352</v>
      </c>
      <c r="D19" s="5">
        <f t="shared" si="0"/>
        <v>343.5</v>
      </c>
      <c r="E19" s="5">
        <f t="shared" si="3"/>
        <v>144.75</v>
      </c>
      <c r="F19" s="9">
        <f t="shared" si="1"/>
        <v>1.0000000000000001E-9</v>
      </c>
      <c r="G19" s="5">
        <f t="shared" si="4"/>
        <v>-9</v>
      </c>
      <c r="H19" s="5">
        <f t="shared" si="2"/>
        <v>80.584551148225472</v>
      </c>
      <c r="L19" s="1">
        <f>Sheet1!B9</f>
        <v>352</v>
      </c>
      <c r="M19" s="1">
        <f>Sheet1!C9</f>
        <v>197</v>
      </c>
    </row>
    <row r="20" spans="1:13" ht="15.75">
      <c r="B20" s="3">
        <f>Sheet1!F42</f>
        <v>441</v>
      </c>
      <c r="C20" s="3">
        <f>Sheet1!G42</f>
        <v>474</v>
      </c>
      <c r="D20" s="5">
        <f t="shared" si="0"/>
        <v>457.5</v>
      </c>
      <c r="E20" s="5">
        <f t="shared" si="3"/>
        <v>258.75</v>
      </c>
      <c r="F20" s="9">
        <f t="shared" si="1"/>
        <v>3.1622776601683744E-10</v>
      </c>
      <c r="G20" s="5">
        <f t="shared" si="4"/>
        <v>-9.5</v>
      </c>
      <c r="H20" s="5">
        <f t="shared" si="2"/>
        <v>144.05010438413362</v>
      </c>
      <c r="K20" s="12"/>
      <c r="L20" s="1">
        <f>Sheet1!M2</f>
        <v>307</v>
      </c>
      <c r="M20" s="12"/>
    </row>
    <row r="21" spans="1:13" ht="15.75">
      <c r="B21" s="3">
        <f>Sheet1!F43</f>
        <v>343</v>
      </c>
      <c r="C21" s="3">
        <f>Sheet1!G43</f>
        <v>327</v>
      </c>
      <c r="D21" s="5">
        <f t="shared" si="0"/>
        <v>335</v>
      </c>
      <c r="E21" s="5">
        <f t="shared" si="3"/>
        <v>136.25</v>
      </c>
      <c r="F21" s="9">
        <f t="shared" si="1"/>
        <v>1E-10</v>
      </c>
      <c r="G21" s="5">
        <f t="shared" si="4"/>
        <v>-10</v>
      </c>
      <c r="H21" s="5">
        <f t="shared" si="2"/>
        <v>75.852470424495479</v>
      </c>
      <c r="K21" s="12"/>
      <c r="L21" s="1">
        <f>Sheet1!M3</f>
        <v>312</v>
      </c>
    </row>
    <row r="22" spans="1:13" ht="15.75">
      <c r="B22" s="3">
        <f>Sheet1!F44</f>
        <v>334</v>
      </c>
      <c r="C22" s="3">
        <f>Sheet1!G44</f>
        <v>413</v>
      </c>
      <c r="D22" s="5"/>
      <c r="E22" s="5"/>
      <c r="F22" s="9"/>
      <c r="G22" s="5"/>
      <c r="H22" s="5"/>
      <c r="L22" s="1">
        <f>Sheet1!M4</f>
        <v>369</v>
      </c>
    </row>
    <row r="23" spans="1:13" ht="15.75">
      <c r="B23" s="3"/>
      <c r="C23" s="3"/>
      <c r="L23" s="1">
        <f>Sheet1!M5</f>
        <v>385</v>
      </c>
    </row>
    <row r="24" spans="1:13" ht="15.75">
      <c r="B24" s="3"/>
      <c r="C24" s="3"/>
      <c r="D24" s="5"/>
      <c r="E24" s="5"/>
      <c r="H24" s="5"/>
      <c r="L24" s="1">
        <f>Sheet1!M6</f>
        <v>334</v>
      </c>
    </row>
    <row r="25" spans="1:13" ht="15.75">
      <c r="A25" s="7"/>
      <c r="B25" s="3"/>
      <c r="C25" s="3"/>
      <c r="D25" s="5"/>
      <c r="E25" s="5"/>
      <c r="H25" s="5"/>
      <c r="L25" s="1">
        <f>Sheet1!M7</f>
        <v>413</v>
      </c>
    </row>
    <row r="26" spans="1:13" ht="15.75">
      <c r="A26" s="3"/>
      <c r="B26" s="3"/>
      <c r="C26" s="3"/>
      <c r="D26" s="5"/>
      <c r="E26" s="5"/>
      <c r="F26" s="9"/>
      <c r="G26" s="5"/>
      <c r="H26" s="5"/>
      <c r="L26" s="1">
        <f>Sheet1!M8</f>
        <v>422</v>
      </c>
    </row>
    <row r="27" spans="1:13" ht="15.75">
      <c r="B27" s="3"/>
      <c r="C27" s="3"/>
      <c r="D27" s="5"/>
      <c r="E27" s="5"/>
      <c r="F27" s="9"/>
      <c r="G27" s="5"/>
      <c r="H27" s="5"/>
      <c r="L27" s="1">
        <f>Sheet1!M9</f>
        <v>353</v>
      </c>
    </row>
    <row r="28" spans="1:13" ht="15.75">
      <c r="A28" s="3"/>
      <c r="B28" s="3"/>
      <c r="C28" s="3"/>
      <c r="D28" s="5"/>
      <c r="E28" s="5"/>
      <c r="F28" s="9"/>
      <c r="G28" s="5"/>
      <c r="H28" s="5"/>
    </row>
    <row r="29" spans="1:13" ht="15.75">
      <c r="A29" s="3"/>
      <c r="B29" s="3"/>
      <c r="C29" s="3"/>
      <c r="D29" s="5"/>
      <c r="E29" s="5"/>
      <c r="F29" s="9"/>
      <c r="G29" s="5"/>
      <c r="H29" s="5"/>
    </row>
    <row r="30" spans="1:13" ht="15.75">
      <c r="A30" s="3"/>
      <c r="B30" s="3"/>
      <c r="C30" s="3"/>
      <c r="D30" s="5"/>
      <c r="E30" s="5"/>
      <c r="F30" s="9"/>
      <c r="G30" s="5"/>
      <c r="H30" s="5"/>
    </row>
    <row r="31" spans="1:13" ht="15.75">
      <c r="B31" s="3"/>
      <c r="C31" s="3"/>
      <c r="D31" s="5"/>
      <c r="E31" s="5"/>
      <c r="F31" s="9"/>
      <c r="G31" s="5"/>
      <c r="H31" s="5"/>
    </row>
    <row r="32" spans="1:13" ht="15.75">
      <c r="A32" s="3"/>
      <c r="B32" s="3"/>
      <c r="C32" s="3"/>
      <c r="D32" s="5"/>
      <c r="E32" s="5"/>
      <c r="F32" s="9"/>
      <c r="G32" s="5"/>
      <c r="H32" s="5"/>
    </row>
    <row r="33" spans="1:8" ht="15.75">
      <c r="B33" s="3"/>
      <c r="C33" s="3"/>
      <c r="D33" s="5"/>
      <c r="E33" s="5"/>
      <c r="F33" s="9"/>
      <c r="G33" s="5"/>
      <c r="H33" s="5"/>
    </row>
    <row r="34" spans="1:8" ht="15.75">
      <c r="A34" s="3"/>
      <c r="B34" s="3"/>
      <c r="C34" s="3"/>
      <c r="D34" s="5"/>
      <c r="E34" s="5"/>
      <c r="F34" s="9"/>
      <c r="G34" s="5"/>
      <c r="H34" s="5"/>
    </row>
    <row r="35" spans="1:8" ht="15.75">
      <c r="B35" s="3"/>
      <c r="C35" s="3"/>
      <c r="D35" s="5"/>
      <c r="E35" s="5"/>
      <c r="F35" s="9"/>
      <c r="G35" s="5"/>
      <c r="H35" s="5"/>
    </row>
    <row r="36" spans="1:8" ht="15.75">
      <c r="B36" s="3"/>
      <c r="C36" s="3"/>
    </row>
    <row r="37" spans="1:8" ht="15.75">
      <c r="B37" s="3"/>
      <c r="C37" s="3"/>
      <c r="D37" s="5"/>
      <c r="E37" s="5"/>
      <c r="H37" s="5"/>
    </row>
    <row r="38" spans="1:8" ht="15.75">
      <c r="B38" s="3"/>
      <c r="C38" s="3"/>
      <c r="D38" s="5"/>
      <c r="E38" s="5"/>
      <c r="H38" s="5"/>
    </row>
    <row r="39" spans="1:8" ht="15.75">
      <c r="A39" s="3"/>
      <c r="B39" s="3"/>
      <c r="C39" s="3"/>
      <c r="D39" s="5"/>
      <c r="E39" s="5"/>
      <c r="F39" s="9"/>
      <c r="G39" s="5"/>
      <c r="H39" s="5"/>
    </row>
    <row r="40" spans="1:8" ht="15.75">
      <c r="B40" s="3"/>
      <c r="C40" s="3"/>
      <c r="D40" s="5"/>
      <c r="E40" s="5"/>
      <c r="F40" s="9"/>
      <c r="G40" s="5"/>
      <c r="H40" s="5"/>
    </row>
    <row r="41" spans="1:8" ht="15.75">
      <c r="B41" s="3"/>
      <c r="C41" s="3"/>
      <c r="D41" s="5"/>
      <c r="E41" s="5"/>
      <c r="F41" s="9"/>
      <c r="G41" s="5"/>
      <c r="H41" s="5"/>
    </row>
    <row r="42" spans="1:8" ht="15.75">
      <c r="A42" s="3"/>
      <c r="B42" s="3"/>
      <c r="C42" s="3"/>
      <c r="D42" s="5"/>
      <c r="E42" s="5"/>
      <c r="F42" s="9"/>
      <c r="G42" s="5"/>
      <c r="H42" s="5"/>
    </row>
    <row r="43" spans="1:8" ht="15.75">
      <c r="B43" s="3"/>
      <c r="C43" s="3"/>
      <c r="D43" s="5"/>
      <c r="E43" s="5"/>
      <c r="F43" s="9"/>
      <c r="G43" s="5"/>
      <c r="H43" s="5"/>
    </row>
    <row r="44" spans="1:8" ht="15.75">
      <c r="B44" s="3"/>
      <c r="C44" s="3"/>
      <c r="D44" s="5"/>
      <c r="E44" s="5"/>
      <c r="F44" s="9"/>
      <c r="G44" s="5"/>
      <c r="H44" s="5"/>
    </row>
    <row r="45" spans="1:8" ht="15.75">
      <c r="B45" s="3"/>
      <c r="C45" s="3"/>
      <c r="D45" s="5"/>
      <c r="E45" s="5"/>
      <c r="F45" s="9"/>
      <c r="G45" s="5"/>
      <c r="H45" s="5"/>
    </row>
    <row r="46" spans="1:8" ht="15.75">
      <c r="B46" s="3"/>
      <c r="C46" s="3"/>
      <c r="D46" s="5"/>
      <c r="E46" s="5"/>
      <c r="F46" s="9"/>
      <c r="G46" s="5"/>
      <c r="H46" s="5"/>
    </row>
    <row r="47" spans="1:8" ht="15.75">
      <c r="B47" s="3"/>
      <c r="C47" s="3"/>
      <c r="D47" s="5"/>
      <c r="E47" s="5"/>
      <c r="F47" s="9"/>
      <c r="G47" s="5"/>
      <c r="H47" s="13"/>
    </row>
    <row r="48" spans="1:8" ht="15.75">
      <c r="B48" s="3"/>
      <c r="C48" s="3"/>
      <c r="D48" s="5"/>
      <c r="E48" s="5"/>
      <c r="F48" s="9"/>
      <c r="G48" s="5"/>
      <c r="H48" s="5"/>
    </row>
    <row r="49" spans="1:8" ht="15.75">
      <c r="B49" s="3"/>
      <c r="C49" s="3"/>
    </row>
    <row r="50" spans="1:8" ht="15.75">
      <c r="B50" s="3"/>
      <c r="C50" s="3"/>
      <c r="D50" s="5"/>
      <c r="E50" s="5"/>
      <c r="H50" s="5"/>
    </row>
    <row r="51" spans="1:8" ht="15.75">
      <c r="A51" s="7"/>
      <c r="B51" s="3"/>
      <c r="C51" s="3"/>
      <c r="D51" s="5"/>
      <c r="E51" s="5"/>
      <c r="H51" s="5"/>
    </row>
    <row r="52" spans="1:8" ht="15.75">
      <c r="B52" s="3"/>
      <c r="C52" s="3"/>
      <c r="D52" s="5"/>
      <c r="E52" s="5"/>
      <c r="F52" s="9"/>
      <c r="G52" s="5"/>
      <c r="H52" s="5"/>
    </row>
    <row r="53" spans="1:8" ht="15.75">
      <c r="A53" s="11"/>
      <c r="B53" s="3"/>
      <c r="C53" s="3"/>
      <c r="D53" s="5"/>
      <c r="E53" s="5"/>
      <c r="F53" s="9"/>
      <c r="G53" s="5"/>
      <c r="H53" s="5"/>
    </row>
    <row r="54" spans="1:8" ht="15.75">
      <c r="B54" s="3"/>
      <c r="C54" s="3"/>
      <c r="D54" s="5"/>
      <c r="E54" s="5"/>
      <c r="F54" s="9"/>
      <c r="G54" s="5"/>
      <c r="H54" s="5"/>
    </row>
    <row r="55" spans="1:8" ht="15.75">
      <c r="B55" s="3"/>
      <c r="C55" s="3"/>
      <c r="D55" s="5"/>
      <c r="E55" s="5"/>
      <c r="F55" s="9"/>
      <c r="G55" s="5"/>
      <c r="H55" s="5"/>
    </row>
    <row r="56" spans="1:8" ht="15.75">
      <c r="A56" s="3"/>
      <c r="B56" s="3"/>
      <c r="C56" s="3"/>
      <c r="D56" s="5"/>
      <c r="E56" s="5"/>
      <c r="F56" s="9"/>
      <c r="G56" s="5"/>
      <c r="H56" s="5"/>
    </row>
    <row r="57" spans="1:8" ht="15.75">
      <c r="B57" s="3"/>
      <c r="C57" s="3"/>
      <c r="D57" s="5"/>
      <c r="E57" s="5"/>
      <c r="F57" s="9"/>
      <c r="G57" s="5"/>
      <c r="H57" s="5"/>
    </row>
    <row r="58" spans="1:8" ht="15.75">
      <c r="B58" s="3"/>
      <c r="C58" s="3"/>
      <c r="D58" s="5"/>
      <c r="E58" s="5"/>
      <c r="F58" s="9"/>
      <c r="G58" s="5"/>
      <c r="H58" s="5"/>
    </row>
    <row r="59" spans="1:8" ht="15.75">
      <c r="B59" s="3"/>
      <c r="C59" s="3"/>
      <c r="D59" s="5"/>
      <c r="E59" s="5"/>
      <c r="F59" s="9"/>
      <c r="G59" s="5"/>
      <c r="H59" s="5"/>
    </row>
    <row r="60" spans="1:8" ht="15.75">
      <c r="B60" s="3"/>
      <c r="C60" s="3"/>
      <c r="D60" s="5"/>
      <c r="E60" s="5"/>
      <c r="F60" s="9"/>
      <c r="G60" s="5"/>
      <c r="H60" s="5"/>
    </row>
    <row r="61" spans="1:8" ht="15.75">
      <c r="A61" s="3"/>
      <c r="B61" s="3"/>
      <c r="C61" s="3"/>
      <c r="D61" s="5"/>
      <c r="E61" s="5"/>
      <c r="F61" s="9"/>
      <c r="G61" s="5"/>
      <c r="H61" s="5"/>
    </row>
    <row r="62" spans="1:8" ht="15.75">
      <c r="B62" s="3"/>
      <c r="C62" s="3"/>
    </row>
    <row r="63" spans="1:8" ht="15.75">
      <c r="B63" s="3"/>
      <c r="C63" s="3"/>
      <c r="D63" s="5"/>
      <c r="E63" s="5"/>
      <c r="H63" s="5"/>
    </row>
    <row r="64" spans="1:8" ht="15.75">
      <c r="A64" s="14"/>
      <c r="B64" s="3"/>
      <c r="C64" s="3"/>
      <c r="D64" s="5"/>
      <c r="E64" s="5"/>
      <c r="H64" s="5"/>
    </row>
    <row r="65" spans="1:8" ht="15.75">
      <c r="B65" s="3"/>
      <c r="C65" s="3"/>
      <c r="D65" s="5"/>
      <c r="E65" s="5"/>
      <c r="F65" s="9"/>
      <c r="G65" s="5"/>
      <c r="H65" s="5"/>
    </row>
    <row r="66" spans="1:8" ht="15.75">
      <c r="B66" s="3"/>
      <c r="C66" s="3"/>
      <c r="D66" s="5"/>
      <c r="E66" s="5"/>
      <c r="F66" s="9"/>
      <c r="G66" s="5"/>
      <c r="H66" s="5"/>
    </row>
    <row r="67" spans="1:8" ht="15.75">
      <c r="B67" s="3"/>
      <c r="C67" s="3"/>
      <c r="D67" s="5"/>
      <c r="E67" s="5"/>
      <c r="F67" s="9"/>
      <c r="G67" s="5"/>
      <c r="H67" s="5"/>
    </row>
    <row r="68" spans="1:8" ht="15.75">
      <c r="B68" s="3"/>
      <c r="C68" s="3"/>
      <c r="D68" s="5"/>
      <c r="E68" s="5"/>
      <c r="F68" s="9"/>
      <c r="G68" s="5"/>
      <c r="H68" s="5"/>
    </row>
    <row r="69" spans="1:8" ht="15.75">
      <c r="B69" s="3"/>
      <c r="C69" s="3"/>
      <c r="D69" s="5"/>
      <c r="E69" s="5"/>
      <c r="F69" s="9"/>
      <c r="G69" s="5"/>
      <c r="H69" s="5"/>
    </row>
    <row r="70" spans="1:8" ht="15.75">
      <c r="B70" s="3"/>
      <c r="C70" s="3"/>
      <c r="D70" s="5"/>
      <c r="E70" s="5"/>
      <c r="F70" s="9"/>
      <c r="G70" s="5"/>
      <c r="H70" s="5"/>
    </row>
    <row r="71" spans="1:8" ht="15.75">
      <c r="B71" s="3"/>
      <c r="C71" s="3"/>
      <c r="D71" s="5"/>
      <c r="E71" s="5"/>
      <c r="F71" s="9"/>
      <c r="G71" s="5"/>
      <c r="H71" s="5"/>
    </row>
    <row r="72" spans="1:8" ht="15.75">
      <c r="B72" s="3"/>
      <c r="C72" s="3"/>
      <c r="D72" s="5"/>
      <c r="E72" s="5"/>
      <c r="F72" s="9"/>
      <c r="G72" s="5"/>
      <c r="H72" s="5"/>
    </row>
    <row r="73" spans="1:8" ht="15.75">
      <c r="B73" s="3"/>
      <c r="C73" s="3"/>
      <c r="D73" s="5"/>
      <c r="E73" s="5"/>
      <c r="F73" s="9"/>
      <c r="G73" s="5"/>
      <c r="H73" s="5"/>
    </row>
    <row r="74" spans="1:8" ht="15.75">
      <c r="B74" s="3"/>
      <c r="C74" s="3"/>
      <c r="D74" s="5"/>
      <c r="E74" s="5"/>
      <c r="F74" s="9"/>
      <c r="G74" s="5"/>
      <c r="H74" s="5"/>
    </row>
    <row r="75" spans="1:8" ht="15.75">
      <c r="B75" s="3"/>
      <c r="C75" s="3"/>
    </row>
    <row r="76" spans="1:8" ht="15.75">
      <c r="B76" s="3"/>
      <c r="C76" s="3"/>
      <c r="D76" s="5"/>
      <c r="E76" s="5"/>
      <c r="H76" s="5"/>
    </row>
    <row r="77" spans="1:8" ht="15.75">
      <c r="A77" s="14"/>
      <c r="B77" s="3"/>
      <c r="C77" s="3"/>
      <c r="D77" s="5"/>
      <c r="E77" s="5"/>
      <c r="H77" s="5"/>
    </row>
    <row r="78" spans="1:8" ht="15.75">
      <c r="A78" s="3"/>
      <c r="B78" s="3"/>
      <c r="C78" s="3"/>
      <c r="D78" s="5"/>
      <c r="E78" s="5"/>
      <c r="F78" s="9"/>
      <c r="G78" s="5"/>
      <c r="H78" s="5"/>
    </row>
    <row r="79" spans="1:8" ht="15.75">
      <c r="B79" s="3"/>
      <c r="C79" s="3"/>
      <c r="D79" s="5"/>
      <c r="E79" s="5"/>
      <c r="F79" s="9"/>
      <c r="G79" s="5"/>
      <c r="H79" s="5"/>
    </row>
    <row r="80" spans="1:8" ht="15.75">
      <c r="A80" s="3"/>
      <c r="B80" s="3"/>
      <c r="C80" s="3"/>
      <c r="D80" s="5"/>
      <c r="E80" s="5"/>
      <c r="F80" s="9"/>
      <c r="G80" s="5"/>
      <c r="H80" s="5"/>
    </row>
    <row r="81" spans="1:8" ht="15.75">
      <c r="B81" s="3"/>
      <c r="C81" s="3"/>
      <c r="D81" s="5"/>
      <c r="E81" s="5"/>
      <c r="F81" s="9"/>
      <c r="G81" s="5"/>
      <c r="H81" s="5"/>
    </row>
    <row r="82" spans="1:8" ht="15.75">
      <c r="B82" s="3"/>
      <c r="C82" s="3"/>
      <c r="D82" s="5"/>
      <c r="E82" s="5"/>
      <c r="F82" s="9"/>
      <c r="G82" s="5"/>
      <c r="H82" s="5"/>
    </row>
    <row r="83" spans="1:8" ht="15.75">
      <c r="B83" s="3"/>
      <c r="C83" s="3"/>
      <c r="D83" s="5"/>
      <c r="E83" s="5"/>
      <c r="F83" s="9"/>
      <c r="G83" s="5"/>
      <c r="H83" s="5"/>
    </row>
    <row r="84" spans="1:8" ht="15.75">
      <c r="B84" s="3"/>
      <c r="C84" s="3"/>
      <c r="D84" s="5"/>
      <c r="E84" s="5"/>
      <c r="F84" s="9"/>
      <c r="G84" s="5"/>
      <c r="H84" s="5"/>
    </row>
    <row r="85" spans="1:8" ht="15.75">
      <c r="B85" s="3"/>
      <c r="C85" s="3"/>
      <c r="D85" s="5"/>
      <c r="E85" s="5"/>
      <c r="F85" s="9"/>
      <c r="G85" s="5"/>
      <c r="H85" s="5"/>
    </row>
    <row r="86" spans="1:8" ht="15.75">
      <c r="B86" s="3"/>
      <c r="C86" s="3"/>
      <c r="D86" s="5"/>
      <c r="E86" s="5"/>
      <c r="F86" s="9"/>
      <c r="G86" s="5"/>
      <c r="H86" s="5"/>
    </row>
    <row r="87" spans="1:8" ht="15.75">
      <c r="B87" s="3"/>
      <c r="C87" s="3"/>
      <c r="D87" s="5"/>
      <c r="E87" s="5"/>
      <c r="F87" s="9"/>
      <c r="G87" s="5"/>
      <c r="H87" s="5"/>
    </row>
    <row r="88" spans="1:8" ht="15.75">
      <c r="B88" s="3"/>
      <c r="C88" s="3"/>
    </row>
    <row r="89" spans="1:8" ht="15.75">
      <c r="B89" s="3"/>
      <c r="C89" s="3"/>
      <c r="D89" s="5"/>
      <c r="E89" s="5"/>
      <c r="H89" s="5"/>
    </row>
    <row r="90" spans="1:8" ht="15.75">
      <c r="A90" s="14"/>
      <c r="B90" s="3"/>
      <c r="C90" s="3"/>
      <c r="D90" s="5"/>
      <c r="E90" s="5"/>
      <c r="H90" s="5"/>
    </row>
    <row r="91" spans="1:8" ht="15.75">
      <c r="A91" s="3"/>
      <c r="B91" s="3"/>
      <c r="C91" s="3"/>
      <c r="D91" s="5"/>
      <c r="E91" s="5"/>
      <c r="F91" s="9"/>
      <c r="G91" s="5"/>
      <c r="H91" s="5"/>
    </row>
    <row r="92" spans="1:8" ht="15.75">
      <c r="B92" s="3"/>
      <c r="C92" s="3"/>
      <c r="D92" s="5"/>
      <c r="E92" s="5"/>
      <c r="F92" s="9"/>
      <c r="G92" s="5"/>
      <c r="H92" s="5"/>
    </row>
    <row r="93" spans="1:8" ht="15.75">
      <c r="B93" s="3"/>
      <c r="C93" s="3"/>
      <c r="D93" s="5"/>
      <c r="E93" s="5"/>
      <c r="F93" s="9"/>
      <c r="G93" s="5"/>
      <c r="H93" s="5"/>
    </row>
    <row r="94" spans="1:8" ht="15.75">
      <c r="A94" s="3"/>
      <c r="B94" s="3"/>
      <c r="C94" s="3"/>
      <c r="D94" s="5"/>
      <c r="E94" s="5"/>
      <c r="F94" s="9"/>
      <c r="G94" s="5"/>
      <c r="H94" s="5"/>
    </row>
    <row r="95" spans="1:8" ht="15.75">
      <c r="B95" s="3"/>
      <c r="C95" s="3"/>
      <c r="D95" s="5"/>
      <c r="E95" s="5"/>
      <c r="F95" s="9"/>
      <c r="G95" s="5"/>
      <c r="H95" s="5"/>
    </row>
    <row r="96" spans="1:8" ht="15.75">
      <c r="B96" s="3"/>
      <c r="C96" s="3"/>
      <c r="D96" s="5"/>
      <c r="E96" s="5"/>
      <c r="F96" s="9"/>
      <c r="G96" s="5"/>
      <c r="H96" s="5"/>
    </row>
    <row r="97" spans="1:8" ht="15.75">
      <c r="B97" s="3"/>
      <c r="C97" s="3"/>
      <c r="D97" s="5"/>
      <c r="E97" s="5"/>
      <c r="F97" s="9"/>
      <c r="G97" s="5"/>
      <c r="H97" s="5"/>
    </row>
    <row r="98" spans="1:8" ht="15.75">
      <c r="B98" s="3"/>
      <c r="C98" s="3"/>
      <c r="D98" s="5"/>
      <c r="E98" s="5"/>
      <c r="F98" s="9"/>
      <c r="G98" s="5"/>
      <c r="H98" s="5"/>
    </row>
    <row r="99" spans="1:8" ht="15.75">
      <c r="B99" s="3"/>
      <c r="C99" s="3"/>
      <c r="D99" s="5"/>
      <c r="E99" s="5"/>
      <c r="F99" s="9"/>
      <c r="G99" s="5"/>
      <c r="H99" s="5"/>
    </row>
    <row r="100" spans="1:8" ht="15.75">
      <c r="B100" s="3"/>
      <c r="C100" s="3"/>
      <c r="D100" s="5"/>
      <c r="E100" s="5"/>
      <c r="F100" s="9"/>
      <c r="G100" s="5"/>
      <c r="H100" s="5"/>
    </row>
    <row r="101" spans="1:8" ht="15.75">
      <c r="B101" s="3"/>
      <c r="C101" s="3"/>
    </row>
    <row r="102" spans="1:8" ht="15.75">
      <c r="B102" s="3"/>
      <c r="C102" s="3"/>
      <c r="D102" s="5"/>
      <c r="E102" s="5"/>
      <c r="H102" s="5"/>
    </row>
    <row r="103" spans="1:8" ht="15.75">
      <c r="A103" s="14"/>
      <c r="B103" s="3"/>
      <c r="C103" s="3"/>
      <c r="D103" s="5"/>
      <c r="E103" s="5"/>
      <c r="H103" s="5"/>
    </row>
    <row r="104" spans="1:8" ht="15.75">
      <c r="B104" s="3"/>
      <c r="C104" s="3"/>
      <c r="D104" s="5"/>
      <c r="E104" s="5"/>
      <c r="F104" s="9"/>
      <c r="G104" s="5"/>
      <c r="H104" s="5"/>
    </row>
    <row r="105" spans="1:8" ht="15.75">
      <c r="A105" s="3"/>
      <c r="B105" s="3"/>
      <c r="C105" s="3"/>
      <c r="D105" s="5"/>
      <c r="E105" s="5"/>
      <c r="F105" s="9"/>
      <c r="G105" s="5"/>
      <c r="H105" s="5"/>
    </row>
    <row r="106" spans="1:8" ht="15.75">
      <c r="B106" s="3"/>
      <c r="C106" s="3"/>
      <c r="D106" s="5"/>
      <c r="E106" s="5"/>
      <c r="F106" s="9"/>
      <c r="G106" s="5"/>
      <c r="H106" s="5"/>
    </row>
    <row r="107" spans="1:8" ht="15.75">
      <c r="B107" s="3"/>
      <c r="C107" s="3"/>
      <c r="D107" s="5"/>
      <c r="E107" s="5"/>
      <c r="F107" s="9"/>
      <c r="G107" s="5"/>
      <c r="H107" s="5"/>
    </row>
    <row r="108" spans="1:8" ht="15.75">
      <c r="A108" s="3"/>
      <c r="B108" s="3"/>
      <c r="C108" s="3"/>
      <c r="D108" s="5"/>
      <c r="E108" s="5"/>
      <c r="F108" s="9"/>
      <c r="G108" s="5"/>
      <c r="H108" s="5"/>
    </row>
    <row r="109" spans="1:8" ht="15.75">
      <c r="A109" s="3"/>
      <c r="B109" s="3"/>
      <c r="C109" s="3"/>
      <c r="D109" s="5"/>
      <c r="E109" s="5"/>
      <c r="F109" s="9"/>
      <c r="G109" s="5"/>
      <c r="H109" s="5"/>
    </row>
    <row r="110" spans="1:8" ht="15.75">
      <c r="B110" s="3"/>
      <c r="C110" s="3"/>
      <c r="D110" s="5"/>
      <c r="E110" s="5"/>
      <c r="F110" s="9"/>
      <c r="G110" s="5"/>
      <c r="H110" s="5"/>
    </row>
    <row r="111" spans="1:8" ht="15.75">
      <c r="B111" s="3"/>
      <c r="C111" s="3"/>
      <c r="D111" s="5"/>
      <c r="E111" s="5"/>
      <c r="F111" s="9"/>
      <c r="G111" s="5"/>
      <c r="H111" s="5"/>
    </row>
    <row r="112" spans="1:8" ht="15.75">
      <c r="B112" s="3"/>
      <c r="C112" s="3"/>
      <c r="D112" s="5"/>
      <c r="E112" s="5"/>
      <c r="F112" s="9"/>
      <c r="G112" s="5"/>
      <c r="H112" s="5"/>
    </row>
    <row r="113" spans="1:8" ht="15.75">
      <c r="A113" s="3"/>
      <c r="B113" s="3"/>
      <c r="C113" s="3"/>
      <c r="D113" s="5"/>
      <c r="E113" s="5"/>
      <c r="F113" s="9"/>
      <c r="G113" s="5"/>
      <c r="H113" s="5"/>
    </row>
    <row r="114" spans="1:8" ht="15.75" customHeight="1">
      <c r="B114" s="3"/>
      <c r="C114" s="3"/>
    </row>
    <row r="115" spans="1:8" ht="15.75" customHeight="1">
      <c r="D115" s="5"/>
      <c r="E115" s="5"/>
      <c r="H115" s="5"/>
    </row>
    <row r="116" spans="1:8" ht="15.75" customHeight="1">
      <c r="D116" s="5"/>
      <c r="E116" s="5"/>
      <c r="H116" s="5"/>
    </row>
    <row r="117" spans="1:8" ht="15.75" customHeight="1">
      <c r="A117" s="3"/>
      <c r="D117" s="5"/>
      <c r="E117" s="5"/>
      <c r="F117" s="9"/>
      <c r="G117" s="5"/>
      <c r="H117" s="5"/>
    </row>
    <row r="118" spans="1:8" ht="15.75" customHeight="1">
      <c r="D118" s="5"/>
      <c r="E118" s="5"/>
      <c r="F118" s="9"/>
      <c r="G118" s="5"/>
      <c r="H118" s="5"/>
    </row>
    <row r="119" spans="1:8" ht="15.75" customHeight="1">
      <c r="D119" s="5"/>
      <c r="E119" s="5"/>
      <c r="F119" s="9"/>
      <c r="G119" s="5"/>
      <c r="H119" s="5"/>
    </row>
    <row r="120" spans="1:8" ht="15.75" customHeight="1">
      <c r="D120" s="5"/>
      <c r="E120" s="5"/>
      <c r="F120" s="9"/>
      <c r="G120" s="5"/>
      <c r="H120" s="5"/>
    </row>
    <row r="121" spans="1:8" ht="15.75" customHeight="1">
      <c r="D121" s="5"/>
      <c r="E121" s="5"/>
      <c r="F121" s="9"/>
      <c r="G121" s="5"/>
      <c r="H121" s="5"/>
    </row>
    <row r="122" spans="1:8" ht="15.75" customHeight="1">
      <c r="D122" s="5"/>
      <c r="E122" s="5"/>
      <c r="F122" s="9"/>
      <c r="G122" s="5"/>
      <c r="H122" s="5"/>
    </row>
    <row r="123" spans="1:8" ht="15.75" customHeight="1">
      <c r="D123" s="5"/>
      <c r="E123" s="5"/>
      <c r="F123" s="9"/>
      <c r="G123" s="5"/>
      <c r="H123" s="5"/>
    </row>
    <row r="124" spans="1:8" ht="15.75" customHeight="1">
      <c r="D124" s="5"/>
      <c r="E124" s="5"/>
      <c r="F124" s="9"/>
      <c r="G124" s="5"/>
      <c r="H124" s="5"/>
    </row>
    <row r="125" spans="1:8" ht="15.75" customHeight="1">
      <c r="D125" s="5"/>
      <c r="E125" s="5"/>
      <c r="F125" s="9"/>
      <c r="G125" s="5"/>
      <c r="H125" s="5"/>
    </row>
    <row r="126" spans="1:8" ht="15.75" customHeight="1">
      <c r="D126" s="5"/>
      <c r="E126" s="5"/>
      <c r="F126" s="9"/>
      <c r="G126" s="5"/>
      <c r="H126" s="5"/>
    </row>
    <row r="127" spans="1:8" ht="15.75" customHeight="1"/>
    <row r="128" spans="1:8" ht="15.75" customHeight="1">
      <c r="D128" s="5"/>
      <c r="E128" s="5"/>
      <c r="H128" s="5"/>
    </row>
    <row r="129" spans="1:8" ht="15.75" customHeight="1">
      <c r="D129" s="5"/>
      <c r="E129" s="5"/>
      <c r="H129" s="5"/>
    </row>
    <row r="130" spans="1:8" ht="15.75" customHeight="1">
      <c r="A130" s="3"/>
      <c r="D130" s="5"/>
      <c r="E130" s="5"/>
      <c r="F130" s="9"/>
      <c r="G130" s="5"/>
      <c r="H130" s="5"/>
    </row>
    <row r="131" spans="1:8" ht="15.75" customHeight="1">
      <c r="D131" s="5"/>
      <c r="E131" s="5"/>
      <c r="F131" s="9"/>
      <c r="G131" s="5"/>
      <c r="H131" s="5"/>
    </row>
    <row r="132" spans="1:8" ht="15.75" customHeight="1">
      <c r="D132" s="5"/>
      <c r="E132" s="5"/>
      <c r="F132" s="9"/>
      <c r="G132" s="5"/>
      <c r="H132" s="5"/>
    </row>
    <row r="133" spans="1:8" ht="15.75" customHeight="1">
      <c r="D133" s="5"/>
      <c r="E133" s="5"/>
      <c r="F133" s="9"/>
      <c r="G133" s="5"/>
      <c r="H133" s="5"/>
    </row>
    <row r="134" spans="1:8" ht="15.75" customHeight="1">
      <c r="D134" s="5"/>
      <c r="E134" s="5"/>
      <c r="F134" s="9"/>
      <c r="G134" s="5"/>
      <c r="H134" s="5"/>
    </row>
    <row r="135" spans="1:8" ht="15.75" customHeight="1">
      <c r="D135" s="5"/>
      <c r="E135" s="5"/>
      <c r="F135" s="9"/>
      <c r="G135" s="5"/>
      <c r="H135" s="5"/>
    </row>
    <row r="136" spans="1:8" ht="15.75" customHeight="1">
      <c r="D136" s="5"/>
      <c r="E136" s="5"/>
      <c r="F136" s="9"/>
      <c r="G136" s="5"/>
      <c r="H136" s="5"/>
    </row>
    <row r="137" spans="1:8" ht="15.75" customHeight="1">
      <c r="D137" s="5"/>
      <c r="E137" s="5"/>
      <c r="F137" s="9"/>
      <c r="G137" s="5"/>
      <c r="H137" s="5"/>
    </row>
    <row r="138" spans="1:8" ht="15.75" customHeight="1">
      <c r="D138" s="5"/>
      <c r="E138" s="5"/>
      <c r="F138" s="9"/>
      <c r="G138" s="5"/>
      <c r="H138" s="5"/>
    </row>
    <row r="139" spans="1:8" ht="15.75" customHeight="1">
      <c r="D139" s="5"/>
      <c r="E139" s="5"/>
      <c r="F139" s="9"/>
      <c r="G139" s="5"/>
      <c r="H139" s="5"/>
    </row>
    <row r="140" spans="1:8" ht="15.75" customHeight="1"/>
    <row r="141" spans="1:8" ht="15.75" customHeight="1">
      <c r="D141" s="5"/>
      <c r="E141" s="5"/>
      <c r="H141" s="5"/>
    </row>
    <row r="142" spans="1:8" ht="15.75" customHeight="1">
      <c r="D142" s="5"/>
      <c r="E142" s="5"/>
      <c r="H142" s="5"/>
    </row>
    <row r="143" spans="1:8" ht="15.75" customHeight="1">
      <c r="A143" s="3"/>
      <c r="D143" s="5"/>
      <c r="E143" s="5"/>
      <c r="F143" s="9"/>
      <c r="G143" s="5"/>
      <c r="H143" s="5"/>
    </row>
    <row r="144" spans="1:8" ht="15.75" customHeight="1">
      <c r="D144" s="5"/>
      <c r="E144" s="5"/>
      <c r="F144" s="9"/>
      <c r="G144" s="5"/>
      <c r="H144" s="5"/>
    </row>
    <row r="145" spans="1:8" ht="15.75" customHeight="1">
      <c r="D145" s="5"/>
      <c r="E145" s="5"/>
      <c r="F145" s="9"/>
      <c r="G145" s="5"/>
      <c r="H145" s="5"/>
    </row>
    <row r="146" spans="1:8" ht="15.75" customHeight="1">
      <c r="A146" s="3"/>
      <c r="D146" s="5"/>
      <c r="E146" s="5"/>
      <c r="F146" s="9"/>
      <c r="G146" s="5"/>
      <c r="H146" s="5"/>
    </row>
    <row r="147" spans="1:8" ht="15.75" customHeight="1">
      <c r="D147" s="5"/>
      <c r="E147" s="5"/>
      <c r="F147" s="9"/>
      <c r="G147" s="5"/>
      <c r="H147" s="5"/>
    </row>
    <row r="148" spans="1:8" ht="15.75" customHeight="1">
      <c r="D148" s="5"/>
      <c r="E148" s="5"/>
      <c r="F148" s="9"/>
      <c r="G148" s="5"/>
      <c r="H148" s="5"/>
    </row>
    <row r="149" spans="1:8" ht="15.75" customHeight="1">
      <c r="D149" s="5"/>
      <c r="E149" s="5"/>
      <c r="F149" s="9"/>
      <c r="G149" s="5"/>
      <c r="H149" s="5"/>
    </row>
    <row r="150" spans="1:8" ht="15.75" customHeight="1">
      <c r="D150" s="5"/>
      <c r="E150" s="5"/>
      <c r="F150" s="9"/>
      <c r="G150" s="5"/>
      <c r="H150" s="5"/>
    </row>
    <row r="151" spans="1:8" ht="15.75" customHeight="1">
      <c r="D151" s="5"/>
      <c r="E151" s="5"/>
      <c r="F151" s="9"/>
      <c r="G151" s="5"/>
      <c r="H151" s="5"/>
    </row>
    <row r="152" spans="1:8" ht="15.75" customHeight="1">
      <c r="D152" s="5"/>
      <c r="E152" s="5"/>
      <c r="F152" s="9"/>
      <c r="G152" s="5"/>
      <c r="H152" s="5"/>
    </row>
    <row r="153" spans="1:8" ht="15.75" customHeight="1"/>
    <row r="154" spans="1:8" ht="15.75" customHeight="1">
      <c r="D154" s="5"/>
      <c r="E154" s="5"/>
      <c r="H154" s="5"/>
    </row>
    <row r="155" spans="1:8" ht="15.75" customHeight="1">
      <c r="D155" s="5"/>
      <c r="E155" s="5"/>
      <c r="H155" s="5"/>
    </row>
    <row r="156" spans="1:8" ht="15.75" customHeight="1">
      <c r="D156" s="5"/>
      <c r="E156" s="5"/>
      <c r="F156" s="9"/>
      <c r="G156" s="5"/>
      <c r="H156" s="5"/>
    </row>
    <row r="157" spans="1:8" ht="15.75" customHeight="1">
      <c r="D157" s="5"/>
      <c r="E157" s="5"/>
      <c r="F157" s="9"/>
      <c r="G157" s="5"/>
      <c r="H157" s="5"/>
    </row>
    <row r="158" spans="1:8" ht="15.75" customHeight="1">
      <c r="D158" s="5"/>
      <c r="E158" s="5"/>
      <c r="F158" s="9"/>
      <c r="G158" s="5"/>
      <c r="H158" s="5"/>
    </row>
    <row r="159" spans="1:8" ht="15.75" customHeight="1">
      <c r="D159" s="5"/>
      <c r="E159" s="5"/>
      <c r="F159" s="9"/>
      <c r="G159" s="5"/>
      <c r="H159" s="5"/>
    </row>
    <row r="160" spans="1:8" ht="15.75" customHeight="1">
      <c r="D160" s="5"/>
      <c r="E160" s="5"/>
      <c r="F160" s="9"/>
      <c r="G160" s="5"/>
      <c r="H160" s="5"/>
    </row>
    <row r="161" spans="1:8" ht="15.75" customHeight="1">
      <c r="D161" s="5"/>
      <c r="E161" s="5"/>
      <c r="F161" s="9"/>
      <c r="G161" s="5"/>
      <c r="H161" s="5"/>
    </row>
    <row r="162" spans="1:8" ht="15.75" customHeight="1">
      <c r="D162" s="5"/>
      <c r="E162" s="5"/>
      <c r="F162" s="9"/>
      <c r="G162" s="5"/>
      <c r="H162" s="5"/>
    </row>
    <row r="163" spans="1:8" ht="15.75" customHeight="1">
      <c r="D163" s="5"/>
      <c r="E163" s="5"/>
      <c r="F163" s="9"/>
      <c r="G163" s="5"/>
      <c r="H163" s="5"/>
    </row>
    <row r="164" spans="1:8" ht="15.75" customHeight="1">
      <c r="D164" s="5"/>
      <c r="E164" s="5"/>
      <c r="F164" s="9"/>
      <c r="G164" s="5"/>
      <c r="H164" s="5"/>
    </row>
    <row r="165" spans="1:8" ht="15.75" customHeight="1">
      <c r="A165" s="3"/>
      <c r="D165" s="5"/>
      <c r="E165" s="5"/>
      <c r="F165" s="9"/>
      <c r="G165" s="5"/>
      <c r="H165" s="5"/>
    </row>
    <row r="166" spans="1:8" ht="15.75" customHeight="1">
      <c r="H166" s="15"/>
    </row>
    <row r="167" spans="1:8">
      <c r="D167" s="5"/>
      <c r="E167" s="5"/>
      <c r="H167" s="5"/>
    </row>
    <row r="168" spans="1:8">
      <c r="D168" s="5"/>
      <c r="E168" s="5"/>
      <c r="H168" s="5"/>
    </row>
    <row r="169" spans="1:8">
      <c r="D169" s="5"/>
      <c r="E169" s="5"/>
      <c r="F169" s="9"/>
      <c r="G169" s="5"/>
      <c r="H169" s="5"/>
    </row>
    <row r="170" spans="1:8">
      <c r="D170" s="5"/>
      <c r="E170" s="5"/>
      <c r="F170" s="9"/>
      <c r="G170" s="5"/>
      <c r="H170" s="5"/>
    </row>
    <row r="171" spans="1:8">
      <c r="D171" s="5"/>
      <c r="E171" s="5"/>
      <c r="F171" s="9"/>
      <c r="G171" s="5"/>
      <c r="H171" s="5"/>
    </row>
    <row r="172" spans="1:8">
      <c r="D172" s="5"/>
      <c r="E172" s="5"/>
      <c r="F172" s="9"/>
      <c r="G172" s="5"/>
      <c r="H172" s="5"/>
    </row>
    <row r="173" spans="1:8">
      <c r="D173" s="5"/>
      <c r="E173" s="5"/>
      <c r="F173" s="9"/>
      <c r="G173" s="5"/>
      <c r="H173" s="5"/>
    </row>
    <row r="174" spans="1:8">
      <c r="D174" s="5"/>
      <c r="E174" s="5"/>
      <c r="F174" s="9"/>
      <c r="G174" s="5"/>
      <c r="H174" s="5"/>
    </row>
    <row r="175" spans="1:8">
      <c r="D175" s="5"/>
      <c r="E175" s="5"/>
      <c r="F175" s="9"/>
      <c r="G175" s="5"/>
      <c r="H175" s="5"/>
    </row>
    <row r="176" spans="1:8">
      <c r="D176" s="5"/>
      <c r="E176" s="5"/>
      <c r="F176" s="9"/>
      <c r="G176" s="5"/>
      <c r="H176" s="5"/>
    </row>
    <row r="177" spans="4:8">
      <c r="D177" s="5"/>
      <c r="E177" s="5"/>
      <c r="F177" s="9"/>
      <c r="G177" s="5"/>
      <c r="H177" s="5"/>
    </row>
    <row r="178" spans="4:8">
      <c r="D178" s="5"/>
      <c r="E178" s="5"/>
      <c r="F178" s="9"/>
      <c r="G178" s="5"/>
      <c r="H178" s="5"/>
    </row>
    <row r="179" spans="4:8">
      <c r="H179" s="15"/>
    </row>
    <row r="180" spans="4:8">
      <c r="D180" s="5"/>
      <c r="E180" s="5"/>
      <c r="H180" s="5"/>
    </row>
    <row r="181" spans="4:8">
      <c r="D181" s="5"/>
      <c r="E181" s="5"/>
      <c r="H181" s="5"/>
    </row>
    <row r="182" spans="4:8">
      <c r="D182" s="5"/>
      <c r="E182" s="5"/>
      <c r="F182" s="9"/>
      <c r="G182" s="5"/>
      <c r="H182" s="5"/>
    </row>
    <row r="183" spans="4:8">
      <c r="D183" s="5"/>
      <c r="E183" s="5"/>
      <c r="F183" s="9"/>
      <c r="G183" s="5"/>
      <c r="H183" s="5"/>
    </row>
    <row r="184" spans="4:8">
      <c r="D184" s="5"/>
      <c r="E184" s="5"/>
      <c r="F184" s="9"/>
      <c r="G184" s="5"/>
      <c r="H184" s="5"/>
    </row>
    <row r="185" spans="4:8">
      <c r="D185" s="5"/>
      <c r="E185" s="5"/>
      <c r="F185" s="9"/>
      <c r="G185" s="5"/>
      <c r="H185" s="5"/>
    </row>
    <row r="186" spans="4:8">
      <c r="D186" s="5"/>
      <c r="E186" s="5"/>
      <c r="F186" s="9"/>
      <c r="G186" s="5"/>
      <c r="H186" s="5"/>
    </row>
    <row r="187" spans="4:8">
      <c r="D187" s="5"/>
      <c r="E187" s="5"/>
      <c r="F187" s="9"/>
      <c r="G187" s="5"/>
      <c r="H187" s="5"/>
    </row>
    <row r="188" spans="4:8">
      <c r="D188" s="5"/>
      <c r="E188" s="5"/>
      <c r="F188" s="9"/>
      <c r="G188" s="5"/>
      <c r="H188" s="5"/>
    </row>
    <row r="189" spans="4:8">
      <c r="D189" s="5"/>
      <c r="E189" s="5"/>
      <c r="F189" s="9"/>
      <c r="G189" s="5"/>
      <c r="H189" s="5"/>
    </row>
    <row r="190" spans="4:8">
      <c r="D190" s="5"/>
      <c r="E190" s="5"/>
      <c r="F190" s="9"/>
      <c r="G190" s="5"/>
      <c r="H190" s="5"/>
    </row>
    <row r="191" spans="4:8">
      <c r="D191" s="5"/>
      <c r="E191" s="5"/>
      <c r="F191" s="9"/>
      <c r="G191" s="5"/>
      <c r="H191" s="5"/>
    </row>
    <row r="192" spans="4:8">
      <c r="H192" s="15"/>
    </row>
    <row r="193" spans="4:8">
      <c r="D193" s="5"/>
      <c r="E193" s="5"/>
      <c r="H193" s="5"/>
    </row>
    <row r="194" spans="4:8">
      <c r="D194" s="5"/>
      <c r="E194" s="5"/>
      <c r="H194" s="5"/>
    </row>
    <row r="195" spans="4:8">
      <c r="D195" s="5"/>
      <c r="E195" s="5"/>
      <c r="F195" s="9"/>
      <c r="G195" s="5"/>
      <c r="H195" s="5"/>
    </row>
    <row r="196" spans="4:8">
      <c r="D196" s="5"/>
      <c r="E196" s="5"/>
      <c r="F196" s="9"/>
      <c r="G196" s="5"/>
      <c r="H196" s="5"/>
    </row>
    <row r="197" spans="4:8">
      <c r="D197" s="5"/>
      <c r="E197" s="5"/>
      <c r="F197" s="9"/>
      <c r="G197" s="5"/>
      <c r="H197" s="5"/>
    </row>
    <row r="198" spans="4:8">
      <c r="D198" s="5"/>
      <c r="E198" s="5"/>
      <c r="F198" s="9"/>
      <c r="G198" s="5"/>
      <c r="H198" s="5"/>
    </row>
    <row r="199" spans="4:8">
      <c r="D199" s="5"/>
      <c r="E199" s="5"/>
      <c r="F199" s="9"/>
      <c r="G199" s="5"/>
      <c r="H199" s="5"/>
    </row>
    <row r="200" spans="4:8">
      <c r="D200" s="5"/>
      <c r="E200" s="5"/>
      <c r="F200" s="9"/>
      <c r="G200" s="5"/>
      <c r="H200" s="5"/>
    </row>
    <row r="201" spans="4:8">
      <c r="D201" s="5"/>
      <c r="E201" s="5"/>
      <c r="F201" s="9"/>
      <c r="G201" s="5"/>
      <c r="H201" s="5"/>
    </row>
    <row r="202" spans="4:8">
      <c r="D202" s="5"/>
      <c r="E202" s="5"/>
      <c r="F202" s="9"/>
      <c r="G202" s="5"/>
      <c r="H202" s="5"/>
    </row>
    <row r="203" spans="4:8">
      <c r="D203" s="5"/>
      <c r="E203" s="5"/>
      <c r="F203" s="9"/>
      <c r="G203" s="5"/>
      <c r="H203" s="5"/>
    </row>
    <row r="204" spans="4:8">
      <c r="D204" s="5"/>
      <c r="E204" s="5"/>
      <c r="F204" s="9"/>
      <c r="G204" s="5"/>
      <c r="H204" s="5"/>
    </row>
    <row r="205" spans="4:8">
      <c r="H205" s="15"/>
    </row>
    <row r="206" spans="4:8">
      <c r="D206" s="5"/>
      <c r="E206" s="5"/>
      <c r="H206" s="5"/>
    </row>
    <row r="207" spans="4:8">
      <c r="D207" s="5"/>
      <c r="E207" s="5"/>
      <c r="H207" s="5"/>
    </row>
    <row r="208" spans="4:8">
      <c r="D208" s="5"/>
      <c r="E208" s="5"/>
      <c r="F208" s="9"/>
      <c r="G208" s="5"/>
      <c r="H208" s="5"/>
    </row>
    <row r="209" spans="4:8">
      <c r="D209" s="5"/>
      <c r="E209" s="5"/>
      <c r="F209" s="9"/>
      <c r="G209" s="5"/>
      <c r="H209" s="5"/>
    </row>
    <row r="210" spans="4:8">
      <c r="D210" s="5"/>
      <c r="E210" s="5"/>
      <c r="F210" s="9"/>
      <c r="G210" s="5"/>
      <c r="H210" s="5"/>
    </row>
    <row r="211" spans="4:8">
      <c r="D211" s="5"/>
      <c r="E211" s="5"/>
      <c r="F211" s="9"/>
      <c r="G211" s="5"/>
      <c r="H211" s="5"/>
    </row>
    <row r="212" spans="4:8">
      <c r="D212" s="5"/>
      <c r="E212" s="5"/>
      <c r="F212" s="9"/>
      <c r="G212" s="5"/>
      <c r="H212" s="5"/>
    </row>
    <row r="213" spans="4:8">
      <c r="D213" s="5"/>
      <c r="E213" s="5"/>
      <c r="F213" s="9"/>
      <c r="G213" s="5"/>
      <c r="H213" s="5"/>
    </row>
    <row r="214" spans="4:8">
      <c r="D214" s="5"/>
      <c r="E214" s="5"/>
      <c r="F214" s="9"/>
      <c r="G214" s="5"/>
      <c r="H214" s="5"/>
    </row>
    <row r="215" spans="4:8">
      <c r="D215" s="5"/>
      <c r="E215" s="5"/>
      <c r="F215" s="9"/>
      <c r="G215" s="5"/>
      <c r="H215" s="5"/>
    </row>
    <row r="216" spans="4:8">
      <c r="D216" s="5"/>
      <c r="E216" s="5"/>
      <c r="F216" s="9"/>
      <c r="G216" s="5"/>
      <c r="H216" s="5"/>
    </row>
    <row r="217" spans="4:8">
      <c r="D217" s="5"/>
      <c r="E217" s="5"/>
      <c r="F217" s="9"/>
      <c r="G217" s="5"/>
      <c r="H21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A6E7-0862-4A03-A786-40FB424F14B4}">
  <dimension ref="A1:P217"/>
  <sheetViews>
    <sheetView workbookViewId="0">
      <selection activeCell="A13" sqref="A13"/>
    </sheetView>
  </sheetViews>
  <sheetFormatPr defaultColWidth="12.5703125" defaultRowHeight="12.75"/>
  <cols>
    <col min="1" max="1" width="32.5703125" style="1" customWidth="1"/>
    <col min="2" max="2" width="11.5703125" style="1" bestFit="1" customWidth="1"/>
    <col min="3" max="5" width="10.140625" style="1" customWidth="1"/>
    <col min="6" max="7" width="10.140625" style="1" bestFit="1" customWidth="1"/>
    <col min="8" max="11" width="10.140625" style="1" customWidth="1"/>
    <col min="12" max="12" width="11.140625" style="1" bestFit="1" customWidth="1"/>
    <col min="13" max="256" width="10.140625" style="1" customWidth="1"/>
    <col min="257" max="257" width="14.7109375" style="1" customWidth="1"/>
    <col min="258" max="258" width="11.5703125" style="1" bestFit="1" customWidth="1"/>
    <col min="259" max="512" width="10.140625" style="1" customWidth="1"/>
    <col min="513" max="513" width="14.7109375" style="1" customWidth="1"/>
    <col min="514" max="514" width="11.5703125" style="1" bestFit="1" customWidth="1"/>
    <col min="515" max="768" width="10.140625" style="1" customWidth="1"/>
    <col min="769" max="769" width="14.7109375" style="1" customWidth="1"/>
    <col min="770" max="770" width="11.5703125" style="1" bestFit="1" customWidth="1"/>
    <col min="771" max="1024" width="10.140625" style="1" customWidth="1"/>
    <col min="1025" max="1025" width="14.7109375" style="1" customWidth="1"/>
    <col min="1026" max="1026" width="11.5703125" style="1" bestFit="1" customWidth="1"/>
    <col min="1027" max="1280" width="10.140625" style="1" customWidth="1"/>
    <col min="1281" max="1281" width="14.7109375" style="1" customWidth="1"/>
    <col min="1282" max="1282" width="11.5703125" style="1" bestFit="1" customWidth="1"/>
    <col min="1283" max="1536" width="10.140625" style="1" customWidth="1"/>
    <col min="1537" max="1537" width="14.7109375" style="1" customWidth="1"/>
    <col min="1538" max="1538" width="11.5703125" style="1" bestFit="1" customWidth="1"/>
    <col min="1539" max="1792" width="10.140625" style="1" customWidth="1"/>
    <col min="1793" max="1793" width="14.7109375" style="1" customWidth="1"/>
    <col min="1794" max="1794" width="11.5703125" style="1" bestFit="1" customWidth="1"/>
    <col min="1795" max="2048" width="10.140625" style="1" customWidth="1"/>
    <col min="2049" max="2049" width="14.7109375" style="1" customWidth="1"/>
    <col min="2050" max="2050" width="11.5703125" style="1" bestFit="1" customWidth="1"/>
    <col min="2051" max="2304" width="10.140625" style="1" customWidth="1"/>
    <col min="2305" max="2305" width="14.7109375" style="1" customWidth="1"/>
    <col min="2306" max="2306" width="11.5703125" style="1" bestFit="1" customWidth="1"/>
    <col min="2307" max="2560" width="10.140625" style="1" customWidth="1"/>
    <col min="2561" max="2561" width="14.7109375" style="1" customWidth="1"/>
    <col min="2562" max="2562" width="11.5703125" style="1" bestFit="1" customWidth="1"/>
    <col min="2563" max="2816" width="10.140625" style="1" customWidth="1"/>
    <col min="2817" max="2817" width="14.7109375" style="1" customWidth="1"/>
    <col min="2818" max="2818" width="11.5703125" style="1" bestFit="1" customWidth="1"/>
    <col min="2819" max="3072" width="10.140625" style="1" customWidth="1"/>
    <col min="3073" max="3073" width="14.7109375" style="1" customWidth="1"/>
    <col min="3074" max="3074" width="11.5703125" style="1" bestFit="1" customWidth="1"/>
    <col min="3075" max="3328" width="10.140625" style="1" customWidth="1"/>
    <col min="3329" max="3329" width="14.7109375" style="1" customWidth="1"/>
    <col min="3330" max="3330" width="11.5703125" style="1" bestFit="1" customWidth="1"/>
    <col min="3331" max="3584" width="10.140625" style="1" customWidth="1"/>
    <col min="3585" max="3585" width="14.7109375" style="1" customWidth="1"/>
    <col min="3586" max="3586" width="11.5703125" style="1" bestFit="1" customWidth="1"/>
    <col min="3587" max="3840" width="10.140625" style="1" customWidth="1"/>
    <col min="3841" max="3841" width="14.7109375" style="1" customWidth="1"/>
    <col min="3842" max="3842" width="11.5703125" style="1" bestFit="1" customWidth="1"/>
    <col min="3843" max="4096" width="10.140625" style="1" customWidth="1"/>
    <col min="4097" max="4097" width="14.7109375" style="1" customWidth="1"/>
    <col min="4098" max="4098" width="11.5703125" style="1" bestFit="1" customWidth="1"/>
    <col min="4099" max="4352" width="10.140625" style="1" customWidth="1"/>
    <col min="4353" max="4353" width="14.7109375" style="1" customWidth="1"/>
    <col min="4354" max="4354" width="11.5703125" style="1" bestFit="1" customWidth="1"/>
    <col min="4355" max="4608" width="10.140625" style="1" customWidth="1"/>
    <col min="4609" max="4609" width="14.7109375" style="1" customWidth="1"/>
    <col min="4610" max="4610" width="11.5703125" style="1" bestFit="1" customWidth="1"/>
    <col min="4611" max="4864" width="10.140625" style="1" customWidth="1"/>
    <col min="4865" max="4865" width="14.7109375" style="1" customWidth="1"/>
    <col min="4866" max="4866" width="11.5703125" style="1" bestFit="1" customWidth="1"/>
    <col min="4867" max="5120" width="10.140625" style="1" customWidth="1"/>
    <col min="5121" max="5121" width="14.7109375" style="1" customWidth="1"/>
    <col min="5122" max="5122" width="11.5703125" style="1" bestFit="1" customWidth="1"/>
    <col min="5123" max="5376" width="10.140625" style="1" customWidth="1"/>
    <col min="5377" max="5377" width="14.7109375" style="1" customWidth="1"/>
    <col min="5378" max="5378" width="11.5703125" style="1" bestFit="1" customWidth="1"/>
    <col min="5379" max="5632" width="10.140625" style="1" customWidth="1"/>
    <col min="5633" max="5633" width="14.7109375" style="1" customWidth="1"/>
    <col min="5634" max="5634" width="11.5703125" style="1" bestFit="1" customWidth="1"/>
    <col min="5635" max="5888" width="10.140625" style="1" customWidth="1"/>
    <col min="5889" max="5889" width="14.7109375" style="1" customWidth="1"/>
    <col min="5890" max="5890" width="11.5703125" style="1" bestFit="1" customWidth="1"/>
    <col min="5891" max="6144" width="10.140625" style="1" customWidth="1"/>
    <col min="6145" max="6145" width="14.7109375" style="1" customWidth="1"/>
    <col min="6146" max="6146" width="11.5703125" style="1" bestFit="1" customWidth="1"/>
    <col min="6147" max="6400" width="10.140625" style="1" customWidth="1"/>
    <col min="6401" max="6401" width="14.7109375" style="1" customWidth="1"/>
    <col min="6402" max="6402" width="11.5703125" style="1" bestFit="1" customWidth="1"/>
    <col min="6403" max="6656" width="10.140625" style="1" customWidth="1"/>
    <col min="6657" max="6657" width="14.7109375" style="1" customWidth="1"/>
    <col min="6658" max="6658" width="11.5703125" style="1" bestFit="1" customWidth="1"/>
    <col min="6659" max="6912" width="10.140625" style="1" customWidth="1"/>
    <col min="6913" max="6913" width="14.7109375" style="1" customWidth="1"/>
    <col min="6914" max="6914" width="11.5703125" style="1" bestFit="1" customWidth="1"/>
    <col min="6915" max="7168" width="10.140625" style="1" customWidth="1"/>
    <col min="7169" max="7169" width="14.7109375" style="1" customWidth="1"/>
    <col min="7170" max="7170" width="11.5703125" style="1" bestFit="1" customWidth="1"/>
    <col min="7171" max="7424" width="10.140625" style="1" customWidth="1"/>
    <col min="7425" max="7425" width="14.7109375" style="1" customWidth="1"/>
    <col min="7426" max="7426" width="11.5703125" style="1" bestFit="1" customWidth="1"/>
    <col min="7427" max="7680" width="10.140625" style="1" customWidth="1"/>
    <col min="7681" max="7681" width="14.7109375" style="1" customWidth="1"/>
    <col min="7682" max="7682" width="11.5703125" style="1" bestFit="1" customWidth="1"/>
    <col min="7683" max="7936" width="10.140625" style="1" customWidth="1"/>
    <col min="7937" max="7937" width="14.7109375" style="1" customWidth="1"/>
    <col min="7938" max="7938" width="11.5703125" style="1" bestFit="1" customWidth="1"/>
    <col min="7939" max="8192" width="10.140625" style="1" customWidth="1"/>
    <col min="8193" max="8193" width="14.7109375" style="1" customWidth="1"/>
    <col min="8194" max="8194" width="11.5703125" style="1" bestFit="1" customWidth="1"/>
    <col min="8195" max="8448" width="10.140625" style="1" customWidth="1"/>
    <col min="8449" max="8449" width="14.7109375" style="1" customWidth="1"/>
    <col min="8450" max="8450" width="11.5703125" style="1" bestFit="1" customWidth="1"/>
    <col min="8451" max="8704" width="10.140625" style="1" customWidth="1"/>
    <col min="8705" max="8705" width="14.7109375" style="1" customWidth="1"/>
    <col min="8706" max="8706" width="11.5703125" style="1" bestFit="1" customWidth="1"/>
    <col min="8707" max="8960" width="10.140625" style="1" customWidth="1"/>
    <col min="8961" max="8961" width="14.7109375" style="1" customWidth="1"/>
    <col min="8962" max="8962" width="11.5703125" style="1" bestFit="1" customWidth="1"/>
    <col min="8963" max="9216" width="10.140625" style="1" customWidth="1"/>
    <col min="9217" max="9217" width="14.7109375" style="1" customWidth="1"/>
    <col min="9218" max="9218" width="11.5703125" style="1" bestFit="1" customWidth="1"/>
    <col min="9219" max="9472" width="10.140625" style="1" customWidth="1"/>
    <col min="9473" max="9473" width="14.7109375" style="1" customWidth="1"/>
    <col min="9474" max="9474" width="11.5703125" style="1" bestFit="1" customWidth="1"/>
    <col min="9475" max="9728" width="10.140625" style="1" customWidth="1"/>
    <col min="9729" max="9729" width="14.7109375" style="1" customWidth="1"/>
    <col min="9730" max="9730" width="11.5703125" style="1" bestFit="1" customWidth="1"/>
    <col min="9731" max="9984" width="10.140625" style="1" customWidth="1"/>
    <col min="9985" max="9985" width="14.7109375" style="1" customWidth="1"/>
    <col min="9986" max="9986" width="11.5703125" style="1" bestFit="1" customWidth="1"/>
    <col min="9987" max="10240" width="10.140625" style="1" customWidth="1"/>
    <col min="10241" max="10241" width="14.7109375" style="1" customWidth="1"/>
    <col min="10242" max="10242" width="11.5703125" style="1" bestFit="1" customWidth="1"/>
    <col min="10243" max="10496" width="10.140625" style="1" customWidth="1"/>
    <col min="10497" max="10497" width="14.7109375" style="1" customWidth="1"/>
    <col min="10498" max="10498" width="11.5703125" style="1" bestFit="1" customWidth="1"/>
    <col min="10499" max="10752" width="10.140625" style="1" customWidth="1"/>
    <col min="10753" max="10753" width="14.7109375" style="1" customWidth="1"/>
    <col min="10754" max="10754" width="11.5703125" style="1" bestFit="1" customWidth="1"/>
    <col min="10755" max="11008" width="10.140625" style="1" customWidth="1"/>
    <col min="11009" max="11009" width="14.7109375" style="1" customWidth="1"/>
    <col min="11010" max="11010" width="11.5703125" style="1" bestFit="1" customWidth="1"/>
    <col min="11011" max="11264" width="10.140625" style="1" customWidth="1"/>
    <col min="11265" max="11265" width="14.7109375" style="1" customWidth="1"/>
    <col min="11266" max="11266" width="11.5703125" style="1" bestFit="1" customWidth="1"/>
    <col min="11267" max="11520" width="10.140625" style="1" customWidth="1"/>
    <col min="11521" max="11521" width="14.7109375" style="1" customWidth="1"/>
    <col min="11522" max="11522" width="11.5703125" style="1" bestFit="1" customWidth="1"/>
    <col min="11523" max="11776" width="10.140625" style="1" customWidth="1"/>
    <col min="11777" max="11777" width="14.7109375" style="1" customWidth="1"/>
    <col min="11778" max="11778" width="11.5703125" style="1" bestFit="1" customWidth="1"/>
    <col min="11779" max="12032" width="10.140625" style="1" customWidth="1"/>
    <col min="12033" max="12033" width="14.7109375" style="1" customWidth="1"/>
    <col min="12034" max="12034" width="11.5703125" style="1" bestFit="1" customWidth="1"/>
    <col min="12035" max="12288" width="10.140625" style="1" customWidth="1"/>
    <col min="12289" max="12289" width="14.7109375" style="1" customWidth="1"/>
    <col min="12290" max="12290" width="11.5703125" style="1" bestFit="1" customWidth="1"/>
    <col min="12291" max="12544" width="10.140625" style="1" customWidth="1"/>
    <col min="12545" max="12545" width="14.7109375" style="1" customWidth="1"/>
    <col min="12546" max="12546" width="11.5703125" style="1" bestFit="1" customWidth="1"/>
    <col min="12547" max="12800" width="10.140625" style="1" customWidth="1"/>
    <col min="12801" max="12801" width="14.7109375" style="1" customWidth="1"/>
    <col min="12802" max="12802" width="11.5703125" style="1" bestFit="1" customWidth="1"/>
    <col min="12803" max="13056" width="10.140625" style="1" customWidth="1"/>
    <col min="13057" max="13057" width="14.7109375" style="1" customWidth="1"/>
    <col min="13058" max="13058" width="11.5703125" style="1" bestFit="1" customWidth="1"/>
    <col min="13059" max="13312" width="10.140625" style="1" customWidth="1"/>
    <col min="13313" max="13313" width="14.7109375" style="1" customWidth="1"/>
    <col min="13314" max="13314" width="11.5703125" style="1" bestFit="1" customWidth="1"/>
    <col min="13315" max="13568" width="10.140625" style="1" customWidth="1"/>
    <col min="13569" max="13569" width="14.7109375" style="1" customWidth="1"/>
    <col min="13570" max="13570" width="11.5703125" style="1" bestFit="1" customWidth="1"/>
    <col min="13571" max="13824" width="10.140625" style="1" customWidth="1"/>
    <col min="13825" max="13825" width="14.7109375" style="1" customWidth="1"/>
    <col min="13826" max="13826" width="11.5703125" style="1" bestFit="1" customWidth="1"/>
    <col min="13827" max="14080" width="10.140625" style="1" customWidth="1"/>
    <col min="14081" max="14081" width="14.7109375" style="1" customWidth="1"/>
    <col min="14082" max="14082" width="11.5703125" style="1" bestFit="1" customWidth="1"/>
    <col min="14083" max="14336" width="10.140625" style="1" customWidth="1"/>
    <col min="14337" max="14337" width="14.7109375" style="1" customWidth="1"/>
    <col min="14338" max="14338" width="11.5703125" style="1" bestFit="1" customWidth="1"/>
    <col min="14339" max="14592" width="10.140625" style="1" customWidth="1"/>
    <col min="14593" max="14593" width="14.7109375" style="1" customWidth="1"/>
    <col min="14594" max="14594" width="11.5703125" style="1" bestFit="1" customWidth="1"/>
    <col min="14595" max="14848" width="10.140625" style="1" customWidth="1"/>
    <col min="14849" max="14849" width="14.7109375" style="1" customWidth="1"/>
    <col min="14850" max="14850" width="11.5703125" style="1" bestFit="1" customWidth="1"/>
    <col min="14851" max="15104" width="10.140625" style="1" customWidth="1"/>
    <col min="15105" max="15105" width="14.7109375" style="1" customWidth="1"/>
    <col min="15106" max="15106" width="11.5703125" style="1" bestFit="1" customWidth="1"/>
    <col min="15107" max="15360" width="10.140625" style="1" customWidth="1"/>
    <col min="15361" max="15361" width="14.7109375" style="1" customWidth="1"/>
    <col min="15362" max="15362" width="11.5703125" style="1" bestFit="1" customWidth="1"/>
    <col min="15363" max="15616" width="10.140625" style="1" customWidth="1"/>
    <col min="15617" max="15617" width="14.7109375" style="1" customWidth="1"/>
    <col min="15618" max="15618" width="11.5703125" style="1" bestFit="1" customWidth="1"/>
    <col min="15619" max="15872" width="10.140625" style="1" customWidth="1"/>
    <col min="15873" max="15873" width="14.7109375" style="1" customWidth="1"/>
    <col min="15874" max="15874" width="11.5703125" style="1" bestFit="1" customWidth="1"/>
    <col min="15875" max="16128" width="10.140625" style="1" customWidth="1"/>
    <col min="16129" max="16129" width="14.7109375" style="1" customWidth="1"/>
    <col min="16130" max="16130" width="11.5703125" style="1" bestFit="1" customWidth="1"/>
    <col min="16131" max="16384" width="10.140625" style="1" customWidth="1"/>
  </cols>
  <sheetData>
    <row r="1" spans="1:16" ht="15.75">
      <c r="A1" s="1" t="s">
        <v>0</v>
      </c>
      <c r="B1" s="2">
        <f>Sheet1!B11</f>
        <v>45303</v>
      </c>
      <c r="E1" s="1">
        <f>Sheet1!D12</f>
        <v>106.5</v>
      </c>
      <c r="F1" s="1" t="s">
        <v>1</v>
      </c>
      <c r="H1" s="3"/>
      <c r="K1" s="3"/>
      <c r="L1" s="3"/>
      <c r="M1" s="3"/>
    </row>
    <row r="2" spans="1:16" ht="15.75">
      <c r="E2" s="1">
        <f>Sheet1!D13</f>
        <v>124179</v>
      </c>
      <c r="F2" s="1" t="s">
        <v>2</v>
      </c>
      <c r="H2" s="3"/>
      <c r="K2" s="3"/>
      <c r="L2" s="3"/>
      <c r="M2" s="3"/>
    </row>
    <row r="3" spans="1:16" ht="15.75">
      <c r="B3" s="4"/>
      <c r="E3" s="1">
        <f>Sheet1!D14</f>
        <v>0.5</v>
      </c>
      <c r="F3" s="1" t="s">
        <v>3</v>
      </c>
      <c r="H3" s="3"/>
      <c r="K3" s="3"/>
      <c r="L3" s="3"/>
      <c r="M3" s="3"/>
    </row>
    <row r="4" spans="1:16" ht="15.75">
      <c r="B4" s="4"/>
      <c r="E4" s="1">
        <f>AVERAGE(Sheet1!B17:M24)*10</f>
        <v>49082.5</v>
      </c>
      <c r="F4" s="1" t="s">
        <v>4</v>
      </c>
      <c r="G4" s="1" t="s">
        <v>43</v>
      </c>
      <c r="H4" s="3"/>
      <c r="K4" s="3"/>
      <c r="L4" s="3"/>
      <c r="M4" s="3"/>
    </row>
    <row r="5" spans="1:16" ht="15.75">
      <c r="A5" s="1" t="str">
        <f>Sheet1!B14</f>
        <v>comment 1</v>
      </c>
      <c r="D5" s="5"/>
      <c r="E5" s="5">
        <f>E4/(E3*E2)</f>
        <v>0.79051208336353163</v>
      </c>
      <c r="F5" s="6" t="s">
        <v>5</v>
      </c>
      <c r="H5" s="3"/>
      <c r="I5" s="4"/>
      <c r="K5" s="3"/>
      <c r="M5" s="3"/>
    </row>
    <row r="6" spans="1:16" ht="15.75">
      <c r="A6" s="1" t="str">
        <f>Sheet1!B15</f>
        <v>comment 2</v>
      </c>
      <c r="E6" s="6"/>
      <c r="H6" s="3"/>
      <c r="K6" s="3"/>
    </row>
    <row r="7" spans="1:16" ht="15.75">
      <c r="A7" s="3" t="str">
        <f>Sheet1!B12</f>
        <v>blue</v>
      </c>
      <c r="E7" s="6"/>
      <c r="H7" s="3"/>
      <c r="K7" s="3"/>
    </row>
    <row r="8" spans="1:16" ht="15.75">
      <c r="A8" s="1" t="s">
        <v>37</v>
      </c>
      <c r="B8" s="1" t="s">
        <v>39</v>
      </c>
      <c r="E8" s="6"/>
      <c r="H8" s="3"/>
      <c r="K8" s="3"/>
    </row>
    <row r="9" spans="1:16" ht="15.75">
      <c r="A9" s="1">
        <f>Sheet1!B13</f>
        <v>1</v>
      </c>
      <c r="B9" s="1">
        <f>Sheet1!B28</f>
        <v>1</v>
      </c>
      <c r="E9" s="6"/>
      <c r="H9" s="3"/>
      <c r="K9" s="3"/>
    </row>
    <row r="10" spans="1:16" ht="15.75"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K10" s="3"/>
      <c r="P10" s="4"/>
    </row>
    <row r="11" spans="1:16" ht="15.75">
      <c r="A11" s="4" t="s">
        <v>52</v>
      </c>
      <c r="B11" s="3">
        <f>Sheet1!H33</f>
        <v>361</v>
      </c>
      <c r="C11" s="3">
        <f>Sheet1!I33</f>
        <v>352</v>
      </c>
      <c r="D11" s="5"/>
      <c r="E11" s="5"/>
      <c r="H11" s="5">
        <f>J14*100/$J$14</f>
        <v>100</v>
      </c>
      <c r="L11" s="4" t="s">
        <v>11</v>
      </c>
      <c r="M11" s="4" t="s">
        <v>12</v>
      </c>
    </row>
    <row r="12" spans="1:16" ht="15.75">
      <c r="A12" s="7" t="str">
        <f>Sheet1!H31</f>
        <v>Drug 4</v>
      </c>
      <c r="B12" s="3">
        <f>Sheet1!H34</f>
        <v>176</v>
      </c>
      <c r="C12" s="3">
        <f>Sheet1!I34</f>
        <v>197</v>
      </c>
      <c r="D12" s="5"/>
      <c r="E12" s="5"/>
      <c r="H12" s="5"/>
      <c r="J12" s="8"/>
      <c r="L12" s="1">
        <f>Sheet1!B2</f>
        <v>300</v>
      </c>
      <c r="M12" s="1">
        <f>Sheet1!C2</f>
        <v>174</v>
      </c>
    </row>
    <row r="13" spans="1:16" ht="15.75">
      <c r="B13" s="3">
        <f>Sheet1!H35</f>
        <v>161</v>
      </c>
      <c r="C13" s="3">
        <f>Sheet1!I35</f>
        <v>149</v>
      </c>
      <c r="D13" s="5">
        <f t="shared" ref="D13:D21" si="0">AVERAGE(B13:C13)</f>
        <v>155</v>
      </c>
      <c r="E13" s="5">
        <f>D13-$J$18</f>
        <v>-43.75</v>
      </c>
      <c r="F13" s="9">
        <f t="shared" ref="F13:F21" si="1">10^G13</f>
        <v>9.9999999999999995E-8</v>
      </c>
      <c r="G13" s="5">
        <f>Sheet1!I31</f>
        <v>-7</v>
      </c>
      <c r="H13" s="5">
        <f t="shared" ref="H13:H21" si="2">E13*100/$J$16</f>
        <v>-24.356297842727905</v>
      </c>
      <c r="J13" s="10" t="s">
        <v>14</v>
      </c>
      <c r="L13" s="1">
        <f>Sheet1!B3</f>
        <v>344</v>
      </c>
      <c r="M13" s="1">
        <f>Sheet1!C3</f>
        <v>214</v>
      </c>
      <c r="P13" s="4"/>
    </row>
    <row r="14" spans="1:16" ht="15.75">
      <c r="B14" s="3">
        <f>Sheet1!H36</f>
        <v>261</v>
      </c>
      <c r="C14" s="3">
        <f>Sheet1!I36</f>
        <v>279</v>
      </c>
      <c r="D14" s="5">
        <f t="shared" si="0"/>
        <v>270</v>
      </c>
      <c r="E14" s="5">
        <f t="shared" ref="E14:E21" si="3">D14-$J$18</f>
        <v>71.25</v>
      </c>
      <c r="F14" s="9">
        <f t="shared" si="1"/>
        <v>3.1622776601683699E-8</v>
      </c>
      <c r="G14" s="5">
        <f>G13-0.5</f>
        <v>-7.5</v>
      </c>
      <c r="H14" s="5">
        <f t="shared" si="2"/>
        <v>39.665970772442591</v>
      </c>
      <c r="J14" s="10">
        <f>AVERAGE(L12:L27)</f>
        <v>378.375</v>
      </c>
      <c r="L14" s="1">
        <f>Sheet1!B4</f>
        <v>373</v>
      </c>
      <c r="M14" s="1">
        <f>Sheet1!C4</f>
        <v>212</v>
      </c>
    </row>
    <row r="15" spans="1:16" ht="15.75">
      <c r="B15" s="3">
        <f>Sheet1!H37</f>
        <v>262</v>
      </c>
      <c r="C15" s="3">
        <f>Sheet1!I37</f>
        <v>280</v>
      </c>
      <c r="D15" s="5">
        <f t="shared" si="0"/>
        <v>271</v>
      </c>
      <c r="E15" s="5">
        <f t="shared" si="3"/>
        <v>72.25</v>
      </c>
      <c r="F15" s="9">
        <f t="shared" si="1"/>
        <v>1E-8</v>
      </c>
      <c r="G15" s="5">
        <f t="shared" ref="G15:G21" si="4">G14-0.5</f>
        <v>-8</v>
      </c>
      <c r="H15" s="5">
        <f t="shared" si="2"/>
        <v>40.222686151704941</v>
      </c>
      <c r="J15" s="10" t="s">
        <v>15</v>
      </c>
      <c r="L15" s="1">
        <f>Sheet1!B5</f>
        <v>506</v>
      </c>
      <c r="M15" s="1">
        <f>Sheet1!C5</f>
        <v>190</v>
      </c>
    </row>
    <row r="16" spans="1:16" ht="15.75">
      <c r="B16" s="3">
        <f>Sheet1!H38</f>
        <v>387</v>
      </c>
      <c r="C16" s="3">
        <f>Sheet1!I38</f>
        <v>394</v>
      </c>
      <c r="D16" s="5">
        <f t="shared" si="0"/>
        <v>390.5</v>
      </c>
      <c r="E16" s="5">
        <f t="shared" si="3"/>
        <v>191.75</v>
      </c>
      <c r="F16" s="9">
        <f t="shared" si="1"/>
        <v>3.1622776601683779E-9</v>
      </c>
      <c r="G16" s="5">
        <f t="shared" si="4"/>
        <v>-8.5</v>
      </c>
      <c r="H16" s="5">
        <f t="shared" si="2"/>
        <v>106.75017397355602</v>
      </c>
      <c r="J16" s="10">
        <f>J14-J18</f>
        <v>179.625</v>
      </c>
      <c r="L16" s="1">
        <f>Sheet1!B6</f>
        <v>358</v>
      </c>
      <c r="M16" s="1">
        <f>Sheet1!C6</f>
        <v>265</v>
      </c>
    </row>
    <row r="17" spans="1:13" ht="15.75">
      <c r="B17" s="3">
        <f>Sheet1!H39</f>
        <v>430</v>
      </c>
      <c r="C17" s="3">
        <f>Sheet1!I39</f>
        <v>502</v>
      </c>
      <c r="D17" s="5">
        <f t="shared" si="0"/>
        <v>466</v>
      </c>
      <c r="E17" s="5">
        <f t="shared" si="3"/>
        <v>267.25</v>
      </c>
      <c r="F17" s="9">
        <f t="shared" si="1"/>
        <v>1.0000000000000001E-9</v>
      </c>
      <c r="G17" s="5">
        <f t="shared" si="4"/>
        <v>-9</v>
      </c>
      <c r="H17" s="5">
        <f t="shared" si="2"/>
        <v>148.7821851078636</v>
      </c>
      <c r="J17" s="10" t="s">
        <v>16</v>
      </c>
      <c r="L17" s="1">
        <f>Sheet1!B7</f>
        <v>565</v>
      </c>
      <c r="M17" s="1">
        <f>Sheet1!C7</f>
        <v>162</v>
      </c>
    </row>
    <row r="18" spans="1:13" ht="15.75">
      <c r="A18" s="3"/>
      <c r="B18" s="3">
        <f>Sheet1!H40</f>
        <v>380</v>
      </c>
      <c r="C18" s="3">
        <f>Sheet1!I40</f>
        <v>347</v>
      </c>
      <c r="D18" s="5">
        <f t="shared" si="0"/>
        <v>363.5</v>
      </c>
      <c r="E18" s="5">
        <f t="shared" si="3"/>
        <v>164.75</v>
      </c>
      <c r="F18" s="9">
        <f t="shared" si="1"/>
        <v>3.1622776601683744E-10</v>
      </c>
      <c r="G18" s="5">
        <f t="shared" si="4"/>
        <v>-9.5</v>
      </c>
      <c r="H18" s="5">
        <f t="shared" si="2"/>
        <v>91.718858733472516</v>
      </c>
      <c r="J18" s="10">
        <f>AVERAGE(M12:M19)</f>
        <v>198.75</v>
      </c>
      <c r="L18" s="1">
        <f>Sheet1!B8</f>
        <v>361</v>
      </c>
      <c r="M18" s="1">
        <f>Sheet1!C8</f>
        <v>176</v>
      </c>
    </row>
    <row r="19" spans="1:13" ht="15.75">
      <c r="B19" s="3">
        <f>Sheet1!H41</f>
        <v>314</v>
      </c>
      <c r="C19" s="3">
        <f>Sheet1!I41</f>
        <v>337</v>
      </c>
      <c r="D19" s="5">
        <f t="shared" si="0"/>
        <v>325.5</v>
      </c>
      <c r="E19" s="5">
        <f t="shared" si="3"/>
        <v>126.75</v>
      </c>
      <c r="F19" s="9">
        <f t="shared" si="1"/>
        <v>1E-10</v>
      </c>
      <c r="G19" s="5">
        <f t="shared" si="4"/>
        <v>-10</v>
      </c>
      <c r="H19" s="5">
        <f t="shared" si="2"/>
        <v>70.563674321503129</v>
      </c>
      <c r="L19" s="1">
        <f>Sheet1!B9</f>
        <v>352</v>
      </c>
      <c r="M19" s="1">
        <f>Sheet1!C9</f>
        <v>197</v>
      </c>
    </row>
    <row r="20" spans="1:13" ht="15.75">
      <c r="B20" s="3">
        <f>Sheet1!H42</f>
        <v>375</v>
      </c>
      <c r="C20" s="3">
        <f>Sheet1!I42</f>
        <v>446</v>
      </c>
      <c r="D20" s="5">
        <f t="shared" si="0"/>
        <v>410.5</v>
      </c>
      <c r="E20" s="5">
        <f t="shared" si="3"/>
        <v>211.75</v>
      </c>
      <c r="F20" s="9">
        <f t="shared" si="1"/>
        <v>3.162277660168371E-11</v>
      </c>
      <c r="G20" s="5">
        <f t="shared" si="4"/>
        <v>-10.5</v>
      </c>
      <c r="H20" s="5">
        <f t="shared" si="2"/>
        <v>117.88448155880306</v>
      </c>
      <c r="K20" s="12"/>
      <c r="L20" s="1">
        <f>Sheet1!M2</f>
        <v>307</v>
      </c>
      <c r="M20" s="12"/>
    </row>
    <row r="21" spans="1:13" ht="15.75">
      <c r="B21" s="3">
        <f>Sheet1!H43</f>
        <v>396</v>
      </c>
      <c r="C21" s="3">
        <f>Sheet1!I43</f>
        <v>395</v>
      </c>
      <c r="D21" s="5">
        <f t="shared" si="0"/>
        <v>395.5</v>
      </c>
      <c r="E21" s="5">
        <f t="shared" si="3"/>
        <v>196.75</v>
      </c>
      <c r="F21" s="9">
        <f t="shared" si="1"/>
        <v>9.9999999999999994E-12</v>
      </c>
      <c r="G21" s="5">
        <f t="shared" si="4"/>
        <v>-11</v>
      </c>
      <c r="H21" s="5">
        <f t="shared" si="2"/>
        <v>109.53375086986777</v>
      </c>
      <c r="K21" s="12"/>
      <c r="L21" s="1">
        <f>Sheet1!M3</f>
        <v>312</v>
      </c>
    </row>
    <row r="22" spans="1:13" ht="15.75">
      <c r="B22" s="3">
        <f>Sheet1!H44</f>
        <v>422</v>
      </c>
      <c r="C22" s="3">
        <f>Sheet1!I44</f>
        <v>353</v>
      </c>
      <c r="D22" s="5"/>
      <c r="E22" s="5"/>
      <c r="F22" s="9"/>
      <c r="G22" s="5"/>
      <c r="H22" s="5"/>
      <c r="L22" s="1">
        <f>Sheet1!M4</f>
        <v>369</v>
      </c>
    </row>
    <row r="23" spans="1:13" ht="15.75">
      <c r="B23" s="3"/>
      <c r="C23" s="3"/>
      <c r="L23" s="1">
        <f>Sheet1!M5</f>
        <v>385</v>
      </c>
    </row>
    <row r="24" spans="1:13" ht="15.75">
      <c r="B24" s="3"/>
      <c r="C24" s="3"/>
      <c r="D24" s="5"/>
      <c r="E24" s="5"/>
      <c r="H24" s="5"/>
      <c r="L24" s="1">
        <f>Sheet1!M6</f>
        <v>334</v>
      </c>
    </row>
    <row r="25" spans="1:13" ht="15.75">
      <c r="A25" s="7"/>
      <c r="B25" s="3"/>
      <c r="C25" s="3"/>
      <c r="D25" s="5"/>
      <c r="E25" s="5"/>
      <c r="H25" s="5"/>
      <c r="L25" s="1">
        <f>Sheet1!M7</f>
        <v>413</v>
      </c>
    </row>
    <row r="26" spans="1:13" ht="15.75">
      <c r="A26" s="3"/>
      <c r="B26" s="3"/>
      <c r="C26" s="3"/>
      <c r="D26" s="5"/>
      <c r="E26" s="5"/>
      <c r="F26" s="9"/>
      <c r="G26" s="5"/>
      <c r="H26" s="5"/>
      <c r="L26" s="1">
        <f>Sheet1!M8</f>
        <v>422</v>
      </c>
    </row>
    <row r="27" spans="1:13" ht="15.75">
      <c r="B27" s="3"/>
      <c r="C27" s="3"/>
      <c r="D27" s="5"/>
      <c r="E27" s="5"/>
      <c r="F27" s="9"/>
      <c r="G27" s="5"/>
      <c r="H27" s="5"/>
      <c r="L27" s="1">
        <f>Sheet1!M9</f>
        <v>353</v>
      </c>
    </row>
    <row r="28" spans="1:13" ht="15.75">
      <c r="A28" s="3"/>
      <c r="B28" s="3"/>
      <c r="C28" s="3"/>
      <c r="D28" s="5"/>
      <c r="E28" s="5"/>
      <c r="F28" s="9"/>
      <c r="G28" s="5"/>
      <c r="H28" s="5"/>
    </row>
    <row r="29" spans="1:13" ht="15.75">
      <c r="A29" s="3"/>
      <c r="B29" s="3"/>
      <c r="C29" s="3"/>
      <c r="D29" s="5"/>
      <c r="E29" s="5"/>
      <c r="F29" s="9"/>
      <c r="G29" s="5"/>
      <c r="H29" s="5"/>
    </row>
    <row r="30" spans="1:13" ht="15.75">
      <c r="A30" s="3"/>
      <c r="B30" s="3"/>
      <c r="C30" s="3"/>
      <c r="D30" s="5"/>
      <c r="E30" s="5"/>
      <c r="F30" s="9"/>
      <c r="G30" s="5"/>
      <c r="H30" s="5"/>
    </row>
    <row r="31" spans="1:13" ht="15.75">
      <c r="B31" s="3"/>
      <c r="C31" s="3"/>
      <c r="D31" s="5"/>
      <c r="E31" s="5"/>
      <c r="F31" s="9"/>
      <c r="G31" s="5"/>
      <c r="H31" s="5"/>
    </row>
    <row r="32" spans="1:13" ht="15.75">
      <c r="A32" s="3"/>
      <c r="B32" s="3"/>
      <c r="C32" s="3"/>
      <c r="D32" s="5"/>
      <c r="E32" s="5"/>
      <c r="F32" s="9"/>
      <c r="G32" s="5"/>
      <c r="H32" s="5"/>
    </row>
    <row r="33" spans="1:8" ht="15.75">
      <c r="B33" s="3"/>
      <c r="C33" s="3"/>
      <c r="D33" s="5"/>
      <c r="E33" s="5"/>
      <c r="F33" s="9"/>
      <c r="G33" s="5"/>
      <c r="H33" s="5"/>
    </row>
    <row r="34" spans="1:8" ht="15.75">
      <c r="A34" s="3"/>
      <c r="B34" s="3"/>
      <c r="C34" s="3"/>
      <c r="D34" s="5"/>
      <c r="E34" s="5"/>
      <c r="F34" s="9"/>
      <c r="G34" s="5"/>
      <c r="H34" s="5"/>
    </row>
    <row r="35" spans="1:8" ht="15.75">
      <c r="B35" s="3"/>
      <c r="C35" s="3"/>
      <c r="D35" s="5"/>
      <c r="E35" s="5"/>
      <c r="F35" s="9"/>
      <c r="G35" s="5"/>
      <c r="H35" s="5"/>
    </row>
    <row r="36" spans="1:8" ht="15.75">
      <c r="B36" s="3"/>
      <c r="C36" s="3"/>
    </row>
    <row r="37" spans="1:8" ht="15.75">
      <c r="B37" s="3"/>
      <c r="C37" s="3"/>
      <c r="D37" s="5"/>
      <c r="E37" s="5"/>
      <c r="H37" s="5"/>
    </row>
    <row r="38" spans="1:8" ht="15.75">
      <c r="B38" s="3"/>
      <c r="C38" s="3"/>
      <c r="D38" s="5"/>
      <c r="E38" s="5"/>
      <c r="H38" s="5"/>
    </row>
    <row r="39" spans="1:8" ht="15.75">
      <c r="A39" s="3"/>
      <c r="B39" s="3"/>
      <c r="C39" s="3"/>
      <c r="D39" s="5"/>
      <c r="E39" s="5"/>
      <c r="F39" s="9"/>
      <c r="G39" s="5"/>
      <c r="H39" s="5"/>
    </row>
    <row r="40" spans="1:8" ht="15.75">
      <c r="B40" s="3"/>
      <c r="C40" s="3"/>
      <c r="D40" s="5"/>
      <c r="E40" s="5"/>
      <c r="F40" s="9"/>
      <c r="G40" s="5"/>
      <c r="H40" s="5"/>
    </row>
    <row r="41" spans="1:8" ht="15.75">
      <c r="B41" s="3"/>
      <c r="C41" s="3"/>
      <c r="D41" s="5"/>
      <c r="E41" s="5"/>
      <c r="F41" s="9"/>
      <c r="G41" s="5"/>
      <c r="H41" s="5"/>
    </row>
    <row r="42" spans="1:8" ht="15.75">
      <c r="A42" s="3"/>
      <c r="B42" s="3"/>
      <c r="C42" s="3"/>
      <c r="D42" s="5"/>
      <c r="E42" s="5"/>
      <c r="F42" s="9"/>
      <c r="G42" s="5"/>
      <c r="H42" s="5"/>
    </row>
    <row r="43" spans="1:8" ht="15.75">
      <c r="B43" s="3"/>
      <c r="C43" s="3"/>
      <c r="D43" s="5"/>
      <c r="E43" s="5"/>
      <c r="F43" s="9"/>
      <c r="G43" s="5"/>
      <c r="H43" s="5"/>
    </row>
    <row r="44" spans="1:8" ht="15.75">
      <c r="B44" s="3"/>
      <c r="C44" s="3"/>
      <c r="D44" s="5"/>
      <c r="E44" s="5"/>
      <c r="F44" s="9"/>
      <c r="G44" s="5"/>
      <c r="H44" s="5"/>
    </row>
    <row r="45" spans="1:8" ht="15.75">
      <c r="B45" s="3"/>
      <c r="C45" s="3"/>
      <c r="D45" s="5"/>
      <c r="E45" s="5"/>
      <c r="F45" s="9"/>
      <c r="G45" s="5"/>
      <c r="H45" s="5"/>
    </row>
    <row r="46" spans="1:8" ht="15.75">
      <c r="B46" s="3"/>
      <c r="C46" s="3"/>
      <c r="D46" s="5"/>
      <c r="E46" s="5"/>
      <c r="F46" s="9"/>
      <c r="G46" s="5"/>
      <c r="H46" s="5"/>
    </row>
    <row r="47" spans="1:8" ht="15.75">
      <c r="B47" s="3"/>
      <c r="C47" s="3"/>
      <c r="D47" s="5"/>
      <c r="E47" s="5"/>
      <c r="F47" s="9"/>
      <c r="G47" s="5"/>
      <c r="H47" s="13"/>
    </row>
    <row r="48" spans="1:8" ht="15.75">
      <c r="B48" s="3"/>
      <c r="C48" s="3"/>
      <c r="D48" s="5"/>
      <c r="E48" s="5"/>
      <c r="F48" s="9"/>
      <c r="G48" s="5"/>
      <c r="H48" s="5"/>
    </row>
    <row r="49" spans="1:8" ht="15.75">
      <c r="B49" s="3"/>
      <c r="C49" s="3"/>
    </row>
    <row r="50" spans="1:8" ht="15.75">
      <c r="B50" s="3"/>
      <c r="C50" s="3"/>
      <c r="D50" s="5"/>
      <c r="E50" s="5"/>
      <c r="H50" s="5"/>
    </row>
    <row r="51" spans="1:8" ht="15.75">
      <c r="A51" s="7"/>
      <c r="B51" s="3"/>
      <c r="C51" s="3"/>
      <c r="D51" s="5"/>
      <c r="E51" s="5"/>
      <c r="H51" s="5"/>
    </row>
    <row r="52" spans="1:8" ht="15.75">
      <c r="B52" s="3"/>
      <c r="C52" s="3"/>
      <c r="D52" s="5"/>
      <c r="E52" s="5"/>
      <c r="F52" s="9"/>
      <c r="G52" s="5"/>
      <c r="H52" s="5"/>
    </row>
    <row r="53" spans="1:8" ht="15.75">
      <c r="A53" s="11"/>
      <c r="B53" s="3"/>
      <c r="C53" s="3"/>
      <c r="D53" s="5"/>
      <c r="E53" s="5"/>
      <c r="F53" s="9"/>
      <c r="G53" s="5"/>
      <c r="H53" s="5"/>
    </row>
    <row r="54" spans="1:8" ht="15.75">
      <c r="B54" s="3"/>
      <c r="C54" s="3"/>
      <c r="D54" s="5"/>
      <c r="E54" s="5"/>
      <c r="F54" s="9"/>
      <c r="G54" s="5"/>
      <c r="H54" s="5"/>
    </row>
    <row r="55" spans="1:8" ht="15.75">
      <c r="B55" s="3"/>
      <c r="C55" s="3"/>
      <c r="D55" s="5"/>
      <c r="E55" s="5"/>
      <c r="F55" s="9"/>
      <c r="G55" s="5"/>
      <c r="H55" s="5"/>
    </row>
    <row r="56" spans="1:8" ht="15.75">
      <c r="A56" s="3"/>
      <c r="B56" s="3"/>
      <c r="C56" s="3"/>
      <c r="D56" s="5"/>
      <c r="E56" s="5"/>
      <c r="F56" s="9"/>
      <c r="G56" s="5"/>
      <c r="H56" s="5"/>
    </row>
    <row r="57" spans="1:8" ht="15.75">
      <c r="B57" s="3"/>
      <c r="C57" s="3"/>
      <c r="D57" s="5"/>
      <c r="E57" s="5"/>
      <c r="F57" s="9"/>
      <c r="G57" s="5"/>
      <c r="H57" s="5"/>
    </row>
    <row r="58" spans="1:8" ht="15.75">
      <c r="B58" s="3"/>
      <c r="C58" s="3"/>
      <c r="D58" s="5"/>
      <c r="E58" s="5"/>
      <c r="F58" s="9"/>
      <c r="G58" s="5"/>
      <c r="H58" s="5"/>
    </row>
    <row r="59" spans="1:8" ht="15.75">
      <c r="B59" s="3"/>
      <c r="C59" s="3"/>
      <c r="D59" s="5"/>
      <c r="E59" s="5"/>
      <c r="F59" s="9"/>
      <c r="G59" s="5"/>
      <c r="H59" s="5"/>
    </row>
    <row r="60" spans="1:8" ht="15.75">
      <c r="B60" s="3"/>
      <c r="C60" s="3"/>
      <c r="D60" s="5"/>
      <c r="E60" s="5"/>
      <c r="F60" s="9"/>
      <c r="G60" s="5"/>
      <c r="H60" s="5"/>
    </row>
    <row r="61" spans="1:8" ht="15.75">
      <c r="A61" s="3"/>
      <c r="B61" s="3"/>
      <c r="C61" s="3"/>
      <c r="D61" s="5"/>
      <c r="E61" s="5"/>
      <c r="F61" s="9"/>
      <c r="G61" s="5"/>
      <c r="H61" s="5"/>
    </row>
    <row r="62" spans="1:8" ht="15.75">
      <c r="B62" s="3"/>
      <c r="C62" s="3"/>
    </row>
    <row r="63" spans="1:8" ht="15.75">
      <c r="B63" s="3"/>
      <c r="C63" s="3"/>
      <c r="D63" s="5"/>
      <c r="E63" s="5"/>
      <c r="H63" s="5"/>
    </row>
    <row r="64" spans="1:8" ht="15.75">
      <c r="A64" s="14"/>
      <c r="B64" s="3"/>
      <c r="C64" s="3"/>
      <c r="D64" s="5"/>
      <c r="E64" s="5"/>
      <c r="H64" s="5"/>
    </row>
    <row r="65" spans="1:8" ht="15.75">
      <c r="B65" s="3"/>
      <c r="C65" s="3"/>
      <c r="D65" s="5"/>
      <c r="E65" s="5"/>
      <c r="F65" s="9"/>
      <c r="G65" s="5"/>
      <c r="H65" s="5"/>
    </row>
    <row r="66" spans="1:8" ht="15.75">
      <c r="B66" s="3"/>
      <c r="C66" s="3"/>
      <c r="D66" s="5"/>
      <c r="E66" s="5"/>
      <c r="F66" s="9"/>
      <c r="G66" s="5"/>
      <c r="H66" s="5"/>
    </row>
    <row r="67" spans="1:8" ht="15.75">
      <c r="B67" s="3"/>
      <c r="C67" s="3"/>
      <c r="D67" s="5"/>
      <c r="E67" s="5"/>
      <c r="F67" s="9"/>
      <c r="G67" s="5"/>
      <c r="H67" s="5"/>
    </row>
    <row r="68" spans="1:8" ht="15.75">
      <c r="B68" s="3"/>
      <c r="C68" s="3"/>
      <c r="D68" s="5"/>
      <c r="E68" s="5"/>
      <c r="F68" s="9"/>
      <c r="G68" s="5"/>
      <c r="H68" s="5"/>
    </row>
    <row r="69" spans="1:8" ht="15.75">
      <c r="B69" s="3"/>
      <c r="C69" s="3"/>
      <c r="D69" s="5"/>
      <c r="E69" s="5"/>
      <c r="F69" s="9"/>
      <c r="G69" s="5"/>
      <c r="H69" s="5"/>
    </row>
    <row r="70" spans="1:8" ht="15.75">
      <c r="B70" s="3"/>
      <c r="C70" s="3"/>
      <c r="D70" s="5"/>
      <c r="E70" s="5"/>
      <c r="F70" s="9"/>
      <c r="G70" s="5"/>
      <c r="H70" s="5"/>
    </row>
    <row r="71" spans="1:8" ht="15.75">
      <c r="B71" s="3"/>
      <c r="C71" s="3"/>
      <c r="D71" s="5"/>
      <c r="E71" s="5"/>
      <c r="F71" s="9"/>
      <c r="G71" s="5"/>
      <c r="H71" s="5"/>
    </row>
    <row r="72" spans="1:8" ht="15.75">
      <c r="B72" s="3"/>
      <c r="C72" s="3"/>
      <c r="D72" s="5"/>
      <c r="E72" s="5"/>
      <c r="F72" s="9"/>
      <c r="G72" s="5"/>
      <c r="H72" s="5"/>
    </row>
    <row r="73" spans="1:8" ht="15.75">
      <c r="B73" s="3"/>
      <c r="C73" s="3"/>
      <c r="D73" s="5"/>
      <c r="E73" s="5"/>
      <c r="F73" s="9"/>
      <c r="G73" s="5"/>
      <c r="H73" s="5"/>
    </row>
    <row r="74" spans="1:8" ht="15.75">
      <c r="B74" s="3"/>
      <c r="C74" s="3"/>
      <c r="D74" s="5"/>
      <c r="E74" s="5"/>
      <c r="F74" s="9"/>
      <c r="G74" s="5"/>
      <c r="H74" s="5"/>
    </row>
    <row r="75" spans="1:8" ht="15.75">
      <c r="B75" s="3"/>
      <c r="C75" s="3"/>
    </row>
    <row r="76" spans="1:8" ht="15.75">
      <c r="B76" s="3"/>
      <c r="C76" s="3"/>
      <c r="D76" s="5"/>
      <c r="E76" s="5"/>
      <c r="H76" s="5"/>
    </row>
    <row r="77" spans="1:8" ht="15.75">
      <c r="A77" s="14"/>
      <c r="B77" s="3"/>
      <c r="C77" s="3"/>
      <c r="D77" s="5"/>
      <c r="E77" s="5"/>
      <c r="H77" s="5"/>
    </row>
    <row r="78" spans="1:8" ht="15.75">
      <c r="A78" s="3"/>
      <c r="B78" s="3"/>
      <c r="C78" s="3"/>
      <c r="D78" s="5"/>
      <c r="E78" s="5"/>
      <c r="F78" s="9"/>
      <c r="G78" s="5"/>
      <c r="H78" s="5"/>
    </row>
    <row r="79" spans="1:8" ht="15.75">
      <c r="B79" s="3"/>
      <c r="C79" s="3"/>
      <c r="D79" s="5"/>
      <c r="E79" s="5"/>
      <c r="F79" s="9"/>
      <c r="G79" s="5"/>
      <c r="H79" s="5"/>
    </row>
    <row r="80" spans="1:8" ht="15.75">
      <c r="A80" s="3"/>
      <c r="B80" s="3"/>
      <c r="C80" s="3"/>
      <c r="D80" s="5"/>
      <c r="E80" s="5"/>
      <c r="F80" s="9"/>
      <c r="G80" s="5"/>
      <c r="H80" s="5"/>
    </row>
    <row r="81" spans="1:8" ht="15.75">
      <c r="B81" s="3"/>
      <c r="C81" s="3"/>
      <c r="D81" s="5"/>
      <c r="E81" s="5"/>
      <c r="F81" s="9"/>
      <c r="G81" s="5"/>
      <c r="H81" s="5"/>
    </row>
    <row r="82" spans="1:8" ht="15.75">
      <c r="B82" s="3"/>
      <c r="C82" s="3"/>
      <c r="D82" s="5"/>
      <c r="E82" s="5"/>
      <c r="F82" s="9"/>
      <c r="G82" s="5"/>
      <c r="H82" s="5"/>
    </row>
    <row r="83" spans="1:8" ht="15.75">
      <c r="B83" s="3"/>
      <c r="C83" s="3"/>
      <c r="D83" s="5"/>
      <c r="E83" s="5"/>
      <c r="F83" s="9"/>
      <c r="G83" s="5"/>
      <c r="H83" s="5"/>
    </row>
    <row r="84" spans="1:8" ht="15.75">
      <c r="B84" s="3"/>
      <c r="C84" s="3"/>
      <c r="D84" s="5"/>
      <c r="E84" s="5"/>
      <c r="F84" s="9"/>
      <c r="G84" s="5"/>
      <c r="H84" s="5"/>
    </row>
    <row r="85" spans="1:8" ht="15.75">
      <c r="B85" s="3"/>
      <c r="C85" s="3"/>
      <c r="D85" s="5"/>
      <c r="E85" s="5"/>
      <c r="F85" s="9"/>
      <c r="G85" s="5"/>
      <c r="H85" s="5"/>
    </row>
    <row r="86" spans="1:8" ht="15.75">
      <c r="B86" s="3"/>
      <c r="C86" s="3"/>
      <c r="D86" s="5"/>
      <c r="E86" s="5"/>
      <c r="F86" s="9"/>
      <c r="G86" s="5"/>
      <c r="H86" s="5"/>
    </row>
    <row r="87" spans="1:8" ht="15.75">
      <c r="B87" s="3"/>
      <c r="C87" s="3"/>
      <c r="D87" s="5"/>
      <c r="E87" s="5"/>
      <c r="F87" s="9"/>
      <c r="G87" s="5"/>
      <c r="H87" s="5"/>
    </row>
    <row r="88" spans="1:8" ht="15.75">
      <c r="B88" s="3"/>
      <c r="C88" s="3"/>
    </row>
    <row r="89" spans="1:8" ht="15.75">
      <c r="B89" s="3"/>
      <c r="C89" s="3"/>
      <c r="D89" s="5"/>
      <c r="E89" s="5"/>
      <c r="H89" s="5"/>
    </row>
    <row r="90" spans="1:8" ht="15.75">
      <c r="A90" s="14"/>
      <c r="B90" s="3"/>
      <c r="C90" s="3"/>
      <c r="D90" s="5"/>
      <c r="E90" s="5"/>
      <c r="H90" s="5"/>
    </row>
    <row r="91" spans="1:8" ht="15.75">
      <c r="A91" s="3"/>
      <c r="B91" s="3"/>
      <c r="C91" s="3"/>
      <c r="D91" s="5"/>
      <c r="E91" s="5"/>
      <c r="F91" s="9"/>
      <c r="G91" s="5"/>
      <c r="H91" s="5"/>
    </row>
    <row r="92" spans="1:8" ht="15.75">
      <c r="B92" s="3"/>
      <c r="C92" s="3"/>
      <c r="D92" s="5"/>
      <c r="E92" s="5"/>
      <c r="F92" s="9"/>
      <c r="G92" s="5"/>
      <c r="H92" s="5"/>
    </row>
    <row r="93" spans="1:8" ht="15.75">
      <c r="B93" s="3"/>
      <c r="C93" s="3"/>
      <c r="D93" s="5"/>
      <c r="E93" s="5"/>
      <c r="F93" s="9"/>
      <c r="G93" s="5"/>
      <c r="H93" s="5"/>
    </row>
    <row r="94" spans="1:8" ht="15.75">
      <c r="A94" s="3"/>
      <c r="B94" s="3"/>
      <c r="C94" s="3"/>
      <c r="D94" s="5"/>
      <c r="E94" s="5"/>
      <c r="F94" s="9"/>
      <c r="G94" s="5"/>
      <c r="H94" s="5"/>
    </row>
    <row r="95" spans="1:8" ht="15.75">
      <c r="B95" s="3"/>
      <c r="C95" s="3"/>
      <c r="D95" s="5"/>
      <c r="E95" s="5"/>
      <c r="F95" s="9"/>
      <c r="G95" s="5"/>
      <c r="H95" s="5"/>
    </row>
    <row r="96" spans="1:8" ht="15.75">
      <c r="B96" s="3"/>
      <c r="C96" s="3"/>
      <c r="D96" s="5"/>
      <c r="E96" s="5"/>
      <c r="F96" s="9"/>
      <c r="G96" s="5"/>
      <c r="H96" s="5"/>
    </row>
    <row r="97" spans="1:8" ht="15.75">
      <c r="B97" s="3"/>
      <c r="C97" s="3"/>
      <c r="D97" s="5"/>
      <c r="E97" s="5"/>
      <c r="F97" s="9"/>
      <c r="G97" s="5"/>
      <c r="H97" s="5"/>
    </row>
    <row r="98" spans="1:8" ht="15.75">
      <c r="B98" s="3"/>
      <c r="C98" s="3"/>
      <c r="D98" s="5"/>
      <c r="E98" s="5"/>
      <c r="F98" s="9"/>
      <c r="G98" s="5"/>
      <c r="H98" s="5"/>
    </row>
    <row r="99" spans="1:8" ht="15.75">
      <c r="B99" s="3"/>
      <c r="C99" s="3"/>
      <c r="D99" s="5"/>
      <c r="E99" s="5"/>
      <c r="F99" s="9"/>
      <c r="G99" s="5"/>
      <c r="H99" s="5"/>
    </row>
    <row r="100" spans="1:8" ht="15.75">
      <c r="B100" s="3"/>
      <c r="C100" s="3"/>
      <c r="D100" s="5"/>
      <c r="E100" s="5"/>
      <c r="F100" s="9"/>
      <c r="G100" s="5"/>
      <c r="H100" s="5"/>
    </row>
    <row r="101" spans="1:8" ht="15.75">
      <c r="B101" s="3"/>
      <c r="C101" s="3"/>
    </row>
    <row r="102" spans="1:8" ht="15.75">
      <c r="B102" s="3"/>
      <c r="C102" s="3"/>
      <c r="D102" s="5"/>
      <c r="E102" s="5"/>
      <c r="H102" s="5"/>
    </row>
    <row r="103" spans="1:8" ht="15.75">
      <c r="A103" s="14"/>
      <c r="B103" s="3"/>
      <c r="C103" s="3"/>
      <c r="D103" s="5"/>
      <c r="E103" s="5"/>
      <c r="H103" s="5"/>
    </row>
    <row r="104" spans="1:8" ht="15.75">
      <c r="B104" s="3"/>
      <c r="C104" s="3"/>
      <c r="D104" s="5"/>
      <c r="E104" s="5"/>
      <c r="F104" s="9"/>
      <c r="G104" s="5"/>
      <c r="H104" s="5"/>
    </row>
    <row r="105" spans="1:8" ht="15.75">
      <c r="A105" s="3"/>
      <c r="B105" s="3"/>
      <c r="C105" s="3"/>
      <c r="D105" s="5"/>
      <c r="E105" s="5"/>
      <c r="F105" s="9"/>
      <c r="G105" s="5"/>
      <c r="H105" s="5"/>
    </row>
    <row r="106" spans="1:8" ht="15.75">
      <c r="B106" s="3"/>
      <c r="C106" s="3"/>
      <c r="D106" s="5"/>
      <c r="E106" s="5"/>
      <c r="F106" s="9"/>
      <c r="G106" s="5"/>
      <c r="H106" s="5"/>
    </row>
    <row r="107" spans="1:8" ht="15.75">
      <c r="B107" s="3"/>
      <c r="C107" s="3"/>
      <c r="D107" s="5"/>
      <c r="E107" s="5"/>
      <c r="F107" s="9"/>
      <c r="G107" s="5"/>
      <c r="H107" s="5"/>
    </row>
    <row r="108" spans="1:8" ht="15.75">
      <c r="A108" s="3"/>
      <c r="B108" s="3"/>
      <c r="C108" s="3"/>
      <c r="D108" s="5"/>
      <c r="E108" s="5"/>
      <c r="F108" s="9"/>
      <c r="G108" s="5"/>
      <c r="H108" s="5"/>
    </row>
    <row r="109" spans="1:8" ht="15.75">
      <c r="A109" s="3"/>
      <c r="B109" s="3"/>
      <c r="C109" s="3"/>
      <c r="D109" s="5"/>
      <c r="E109" s="5"/>
      <c r="F109" s="9"/>
      <c r="G109" s="5"/>
      <c r="H109" s="5"/>
    </row>
    <row r="110" spans="1:8" ht="15.75">
      <c r="B110" s="3"/>
      <c r="C110" s="3"/>
      <c r="D110" s="5"/>
      <c r="E110" s="5"/>
      <c r="F110" s="9"/>
      <c r="G110" s="5"/>
      <c r="H110" s="5"/>
    </row>
    <row r="111" spans="1:8" ht="15.75">
      <c r="B111" s="3"/>
      <c r="C111" s="3"/>
      <c r="D111" s="5"/>
      <c r="E111" s="5"/>
      <c r="F111" s="9"/>
      <c r="G111" s="5"/>
      <c r="H111" s="5"/>
    </row>
    <row r="112" spans="1:8" ht="15.75">
      <c r="B112" s="3"/>
      <c r="C112" s="3"/>
      <c r="D112" s="5"/>
      <c r="E112" s="5"/>
      <c r="F112" s="9"/>
      <c r="G112" s="5"/>
      <c r="H112" s="5"/>
    </row>
    <row r="113" spans="1:8" ht="15.75">
      <c r="A113" s="3"/>
      <c r="B113" s="3"/>
      <c r="C113" s="3"/>
      <c r="D113" s="5"/>
      <c r="E113" s="5"/>
      <c r="F113" s="9"/>
      <c r="G113" s="5"/>
      <c r="H113" s="5"/>
    </row>
    <row r="114" spans="1:8" ht="15.75" customHeight="1">
      <c r="B114" s="3"/>
      <c r="C114" s="3"/>
    </row>
    <row r="115" spans="1:8" ht="15.75" customHeight="1">
      <c r="D115" s="5"/>
      <c r="E115" s="5"/>
      <c r="H115" s="5"/>
    </row>
    <row r="116" spans="1:8" ht="15.75" customHeight="1">
      <c r="D116" s="5"/>
      <c r="E116" s="5"/>
      <c r="H116" s="5"/>
    </row>
    <row r="117" spans="1:8" ht="15.75" customHeight="1">
      <c r="A117" s="3"/>
      <c r="D117" s="5"/>
      <c r="E117" s="5"/>
      <c r="F117" s="9"/>
      <c r="G117" s="5"/>
      <c r="H117" s="5"/>
    </row>
    <row r="118" spans="1:8" ht="15.75" customHeight="1">
      <c r="D118" s="5"/>
      <c r="E118" s="5"/>
      <c r="F118" s="9"/>
      <c r="G118" s="5"/>
      <c r="H118" s="5"/>
    </row>
    <row r="119" spans="1:8" ht="15.75" customHeight="1">
      <c r="D119" s="5"/>
      <c r="E119" s="5"/>
      <c r="F119" s="9"/>
      <c r="G119" s="5"/>
      <c r="H119" s="5"/>
    </row>
    <row r="120" spans="1:8" ht="15.75" customHeight="1">
      <c r="D120" s="5"/>
      <c r="E120" s="5"/>
      <c r="F120" s="9"/>
      <c r="G120" s="5"/>
      <c r="H120" s="5"/>
    </row>
    <row r="121" spans="1:8" ht="15.75" customHeight="1">
      <c r="D121" s="5"/>
      <c r="E121" s="5"/>
      <c r="F121" s="9"/>
      <c r="G121" s="5"/>
      <c r="H121" s="5"/>
    </row>
    <row r="122" spans="1:8" ht="15.75" customHeight="1">
      <c r="D122" s="5"/>
      <c r="E122" s="5"/>
      <c r="F122" s="9"/>
      <c r="G122" s="5"/>
      <c r="H122" s="5"/>
    </row>
    <row r="123" spans="1:8" ht="15.75" customHeight="1">
      <c r="D123" s="5"/>
      <c r="E123" s="5"/>
      <c r="F123" s="9"/>
      <c r="G123" s="5"/>
      <c r="H123" s="5"/>
    </row>
    <row r="124" spans="1:8" ht="15.75" customHeight="1">
      <c r="D124" s="5"/>
      <c r="E124" s="5"/>
      <c r="F124" s="9"/>
      <c r="G124" s="5"/>
      <c r="H124" s="5"/>
    </row>
    <row r="125" spans="1:8" ht="15.75" customHeight="1">
      <c r="D125" s="5"/>
      <c r="E125" s="5"/>
      <c r="F125" s="9"/>
      <c r="G125" s="5"/>
      <c r="H125" s="5"/>
    </row>
    <row r="126" spans="1:8" ht="15.75" customHeight="1">
      <c r="D126" s="5"/>
      <c r="E126" s="5"/>
      <c r="F126" s="9"/>
      <c r="G126" s="5"/>
      <c r="H126" s="5"/>
    </row>
    <row r="127" spans="1:8" ht="15.75" customHeight="1"/>
    <row r="128" spans="1:8" ht="15.75" customHeight="1">
      <c r="D128" s="5"/>
      <c r="E128" s="5"/>
      <c r="H128" s="5"/>
    </row>
    <row r="129" spans="1:8" ht="15.75" customHeight="1">
      <c r="D129" s="5"/>
      <c r="E129" s="5"/>
      <c r="H129" s="5"/>
    </row>
    <row r="130" spans="1:8" ht="15.75" customHeight="1">
      <c r="A130" s="3"/>
      <c r="D130" s="5"/>
      <c r="E130" s="5"/>
      <c r="F130" s="9"/>
      <c r="G130" s="5"/>
      <c r="H130" s="5"/>
    </row>
    <row r="131" spans="1:8" ht="15.75" customHeight="1">
      <c r="D131" s="5"/>
      <c r="E131" s="5"/>
      <c r="F131" s="9"/>
      <c r="G131" s="5"/>
      <c r="H131" s="5"/>
    </row>
    <row r="132" spans="1:8" ht="15.75" customHeight="1">
      <c r="D132" s="5"/>
      <c r="E132" s="5"/>
      <c r="F132" s="9"/>
      <c r="G132" s="5"/>
      <c r="H132" s="5"/>
    </row>
    <row r="133" spans="1:8" ht="15.75" customHeight="1">
      <c r="D133" s="5"/>
      <c r="E133" s="5"/>
      <c r="F133" s="9"/>
      <c r="G133" s="5"/>
      <c r="H133" s="5"/>
    </row>
    <row r="134" spans="1:8" ht="15.75" customHeight="1">
      <c r="D134" s="5"/>
      <c r="E134" s="5"/>
      <c r="F134" s="9"/>
      <c r="G134" s="5"/>
      <c r="H134" s="5"/>
    </row>
    <row r="135" spans="1:8" ht="15.75" customHeight="1">
      <c r="D135" s="5"/>
      <c r="E135" s="5"/>
      <c r="F135" s="9"/>
      <c r="G135" s="5"/>
      <c r="H135" s="5"/>
    </row>
    <row r="136" spans="1:8" ht="15.75" customHeight="1">
      <c r="D136" s="5"/>
      <c r="E136" s="5"/>
      <c r="F136" s="9"/>
      <c r="G136" s="5"/>
      <c r="H136" s="5"/>
    </row>
    <row r="137" spans="1:8" ht="15.75" customHeight="1">
      <c r="D137" s="5"/>
      <c r="E137" s="5"/>
      <c r="F137" s="9"/>
      <c r="G137" s="5"/>
      <c r="H137" s="5"/>
    </row>
    <row r="138" spans="1:8" ht="15.75" customHeight="1">
      <c r="D138" s="5"/>
      <c r="E138" s="5"/>
      <c r="F138" s="9"/>
      <c r="G138" s="5"/>
      <c r="H138" s="5"/>
    </row>
    <row r="139" spans="1:8" ht="15.75" customHeight="1">
      <c r="D139" s="5"/>
      <c r="E139" s="5"/>
      <c r="F139" s="9"/>
      <c r="G139" s="5"/>
      <c r="H139" s="5"/>
    </row>
    <row r="140" spans="1:8" ht="15.75" customHeight="1"/>
    <row r="141" spans="1:8" ht="15.75" customHeight="1">
      <c r="D141" s="5"/>
      <c r="E141" s="5"/>
      <c r="H141" s="5"/>
    </row>
    <row r="142" spans="1:8" ht="15.75" customHeight="1">
      <c r="D142" s="5"/>
      <c r="E142" s="5"/>
      <c r="H142" s="5"/>
    </row>
    <row r="143" spans="1:8" ht="15.75" customHeight="1">
      <c r="A143" s="3"/>
      <c r="D143" s="5"/>
      <c r="E143" s="5"/>
      <c r="F143" s="9"/>
      <c r="G143" s="5"/>
      <c r="H143" s="5"/>
    </row>
    <row r="144" spans="1:8" ht="15.75" customHeight="1">
      <c r="D144" s="5"/>
      <c r="E144" s="5"/>
      <c r="F144" s="9"/>
      <c r="G144" s="5"/>
      <c r="H144" s="5"/>
    </row>
    <row r="145" spans="1:8" ht="15.75" customHeight="1">
      <c r="D145" s="5"/>
      <c r="E145" s="5"/>
      <c r="F145" s="9"/>
      <c r="G145" s="5"/>
      <c r="H145" s="5"/>
    </row>
    <row r="146" spans="1:8" ht="15.75" customHeight="1">
      <c r="A146" s="3"/>
      <c r="D146" s="5"/>
      <c r="E146" s="5"/>
      <c r="F146" s="9"/>
      <c r="G146" s="5"/>
      <c r="H146" s="5"/>
    </row>
    <row r="147" spans="1:8" ht="15.75" customHeight="1">
      <c r="D147" s="5"/>
      <c r="E147" s="5"/>
      <c r="F147" s="9"/>
      <c r="G147" s="5"/>
      <c r="H147" s="5"/>
    </row>
    <row r="148" spans="1:8" ht="15.75" customHeight="1">
      <c r="D148" s="5"/>
      <c r="E148" s="5"/>
      <c r="F148" s="9"/>
      <c r="G148" s="5"/>
      <c r="H148" s="5"/>
    </row>
    <row r="149" spans="1:8" ht="15.75" customHeight="1">
      <c r="D149" s="5"/>
      <c r="E149" s="5"/>
      <c r="F149" s="9"/>
      <c r="G149" s="5"/>
      <c r="H149" s="5"/>
    </row>
    <row r="150" spans="1:8" ht="15.75" customHeight="1">
      <c r="D150" s="5"/>
      <c r="E150" s="5"/>
      <c r="F150" s="9"/>
      <c r="G150" s="5"/>
      <c r="H150" s="5"/>
    </row>
    <row r="151" spans="1:8" ht="15.75" customHeight="1">
      <c r="D151" s="5"/>
      <c r="E151" s="5"/>
      <c r="F151" s="9"/>
      <c r="G151" s="5"/>
      <c r="H151" s="5"/>
    </row>
    <row r="152" spans="1:8" ht="15.75" customHeight="1">
      <c r="D152" s="5"/>
      <c r="E152" s="5"/>
      <c r="F152" s="9"/>
      <c r="G152" s="5"/>
      <c r="H152" s="5"/>
    </row>
    <row r="153" spans="1:8" ht="15.75" customHeight="1"/>
    <row r="154" spans="1:8" ht="15.75" customHeight="1">
      <c r="D154" s="5"/>
      <c r="E154" s="5"/>
      <c r="H154" s="5"/>
    </row>
    <row r="155" spans="1:8" ht="15.75" customHeight="1">
      <c r="D155" s="5"/>
      <c r="E155" s="5"/>
      <c r="H155" s="5"/>
    </row>
    <row r="156" spans="1:8" ht="15.75" customHeight="1">
      <c r="D156" s="5"/>
      <c r="E156" s="5"/>
      <c r="F156" s="9"/>
      <c r="G156" s="5"/>
      <c r="H156" s="5"/>
    </row>
    <row r="157" spans="1:8" ht="15.75" customHeight="1">
      <c r="D157" s="5"/>
      <c r="E157" s="5"/>
      <c r="F157" s="9"/>
      <c r="G157" s="5"/>
      <c r="H157" s="5"/>
    </row>
    <row r="158" spans="1:8" ht="15.75" customHeight="1">
      <c r="D158" s="5"/>
      <c r="E158" s="5"/>
      <c r="F158" s="9"/>
      <c r="G158" s="5"/>
      <c r="H158" s="5"/>
    </row>
    <row r="159" spans="1:8" ht="15.75" customHeight="1">
      <c r="D159" s="5"/>
      <c r="E159" s="5"/>
      <c r="F159" s="9"/>
      <c r="G159" s="5"/>
      <c r="H159" s="5"/>
    </row>
    <row r="160" spans="1:8" ht="15.75" customHeight="1">
      <c r="D160" s="5"/>
      <c r="E160" s="5"/>
      <c r="F160" s="9"/>
      <c r="G160" s="5"/>
      <c r="H160" s="5"/>
    </row>
    <row r="161" spans="1:8" ht="15.75" customHeight="1">
      <c r="D161" s="5"/>
      <c r="E161" s="5"/>
      <c r="F161" s="9"/>
      <c r="G161" s="5"/>
      <c r="H161" s="5"/>
    </row>
    <row r="162" spans="1:8" ht="15.75" customHeight="1">
      <c r="D162" s="5"/>
      <c r="E162" s="5"/>
      <c r="F162" s="9"/>
      <c r="G162" s="5"/>
      <c r="H162" s="5"/>
    </row>
    <row r="163" spans="1:8" ht="15.75" customHeight="1">
      <c r="D163" s="5"/>
      <c r="E163" s="5"/>
      <c r="F163" s="9"/>
      <c r="G163" s="5"/>
      <c r="H163" s="5"/>
    </row>
    <row r="164" spans="1:8" ht="15.75" customHeight="1">
      <c r="D164" s="5"/>
      <c r="E164" s="5"/>
      <c r="F164" s="9"/>
      <c r="G164" s="5"/>
      <c r="H164" s="5"/>
    </row>
    <row r="165" spans="1:8" ht="15.75" customHeight="1">
      <c r="A165" s="3"/>
      <c r="D165" s="5"/>
      <c r="E165" s="5"/>
      <c r="F165" s="9"/>
      <c r="G165" s="5"/>
      <c r="H165" s="5"/>
    </row>
    <row r="166" spans="1:8" ht="15.75" customHeight="1">
      <c r="H166" s="15"/>
    </row>
    <row r="167" spans="1:8">
      <c r="D167" s="5"/>
      <c r="E167" s="5"/>
      <c r="H167" s="5"/>
    </row>
    <row r="168" spans="1:8">
      <c r="D168" s="5"/>
      <c r="E168" s="5"/>
      <c r="H168" s="5"/>
    </row>
    <row r="169" spans="1:8">
      <c r="D169" s="5"/>
      <c r="E169" s="5"/>
      <c r="F169" s="9"/>
      <c r="G169" s="5"/>
      <c r="H169" s="5"/>
    </row>
    <row r="170" spans="1:8">
      <c r="D170" s="5"/>
      <c r="E170" s="5"/>
      <c r="F170" s="9"/>
      <c r="G170" s="5"/>
      <c r="H170" s="5"/>
    </row>
    <row r="171" spans="1:8">
      <c r="D171" s="5"/>
      <c r="E171" s="5"/>
      <c r="F171" s="9"/>
      <c r="G171" s="5"/>
      <c r="H171" s="5"/>
    </row>
    <row r="172" spans="1:8">
      <c r="D172" s="5"/>
      <c r="E172" s="5"/>
      <c r="F172" s="9"/>
      <c r="G172" s="5"/>
      <c r="H172" s="5"/>
    </row>
    <row r="173" spans="1:8">
      <c r="D173" s="5"/>
      <c r="E173" s="5"/>
      <c r="F173" s="9"/>
      <c r="G173" s="5"/>
      <c r="H173" s="5"/>
    </row>
    <row r="174" spans="1:8">
      <c r="D174" s="5"/>
      <c r="E174" s="5"/>
      <c r="F174" s="9"/>
      <c r="G174" s="5"/>
      <c r="H174" s="5"/>
    </row>
    <row r="175" spans="1:8">
      <c r="D175" s="5"/>
      <c r="E175" s="5"/>
      <c r="F175" s="9"/>
      <c r="G175" s="5"/>
      <c r="H175" s="5"/>
    </row>
    <row r="176" spans="1:8">
      <c r="D176" s="5"/>
      <c r="E176" s="5"/>
      <c r="F176" s="9"/>
      <c r="G176" s="5"/>
      <c r="H176" s="5"/>
    </row>
    <row r="177" spans="4:8">
      <c r="D177" s="5"/>
      <c r="E177" s="5"/>
      <c r="F177" s="9"/>
      <c r="G177" s="5"/>
      <c r="H177" s="5"/>
    </row>
    <row r="178" spans="4:8">
      <c r="D178" s="5"/>
      <c r="E178" s="5"/>
      <c r="F178" s="9"/>
      <c r="G178" s="5"/>
      <c r="H178" s="5"/>
    </row>
    <row r="179" spans="4:8">
      <c r="H179" s="15"/>
    </row>
    <row r="180" spans="4:8">
      <c r="D180" s="5"/>
      <c r="E180" s="5"/>
      <c r="H180" s="5"/>
    </row>
    <row r="181" spans="4:8">
      <c r="D181" s="5"/>
      <c r="E181" s="5"/>
      <c r="H181" s="5"/>
    </row>
    <row r="182" spans="4:8">
      <c r="D182" s="5"/>
      <c r="E182" s="5"/>
      <c r="F182" s="9"/>
      <c r="G182" s="5"/>
      <c r="H182" s="5"/>
    </row>
    <row r="183" spans="4:8">
      <c r="D183" s="5"/>
      <c r="E183" s="5"/>
      <c r="F183" s="9"/>
      <c r="G183" s="5"/>
      <c r="H183" s="5"/>
    </row>
    <row r="184" spans="4:8">
      <c r="D184" s="5"/>
      <c r="E184" s="5"/>
      <c r="F184" s="9"/>
      <c r="G184" s="5"/>
      <c r="H184" s="5"/>
    </row>
    <row r="185" spans="4:8">
      <c r="D185" s="5"/>
      <c r="E185" s="5"/>
      <c r="F185" s="9"/>
      <c r="G185" s="5"/>
      <c r="H185" s="5"/>
    </row>
    <row r="186" spans="4:8">
      <c r="D186" s="5"/>
      <c r="E186" s="5"/>
      <c r="F186" s="9"/>
      <c r="G186" s="5"/>
      <c r="H186" s="5"/>
    </row>
    <row r="187" spans="4:8">
      <c r="D187" s="5"/>
      <c r="E187" s="5"/>
      <c r="F187" s="9"/>
      <c r="G187" s="5"/>
      <c r="H187" s="5"/>
    </row>
    <row r="188" spans="4:8">
      <c r="D188" s="5"/>
      <c r="E188" s="5"/>
      <c r="F188" s="9"/>
      <c r="G188" s="5"/>
      <c r="H188" s="5"/>
    </row>
    <row r="189" spans="4:8">
      <c r="D189" s="5"/>
      <c r="E189" s="5"/>
      <c r="F189" s="9"/>
      <c r="G189" s="5"/>
      <c r="H189" s="5"/>
    </row>
    <row r="190" spans="4:8">
      <c r="D190" s="5"/>
      <c r="E190" s="5"/>
      <c r="F190" s="9"/>
      <c r="G190" s="5"/>
      <c r="H190" s="5"/>
    </row>
    <row r="191" spans="4:8">
      <c r="D191" s="5"/>
      <c r="E191" s="5"/>
      <c r="F191" s="9"/>
      <c r="G191" s="5"/>
      <c r="H191" s="5"/>
    </row>
    <row r="192" spans="4:8">
      <c r="H192" s="15"/>
    </row>
    <row r="193" spans="4:8">
      <c r="D193" s="5"/>
      <c r="E193" s="5"/>
      <c r="H193" s="5"/>
    </row>
    <row r="194" spans="4:8">
      <c r="D194" s="5"/>
      <c r="E194" s="5"/>
      <c r="H194" s="5"/>
    </row>
    <row r="195" spans="4:8">
      <c r="D195" s="5"/>
      <c r="E195" s="5"/>
      <c r="F195" s="9"/>
      <c r="G195" s="5"/>
      <c r="H195" s="5"/>
    </row>
    <row r="196" spans="4:8">
      <c r="D196" s="5"/>
      <c r="E196" s="5"/>
      <c r="F196" s="9"/>
      <c r="G196" s="5"/>
      <c r="H196" s="5"/>
    </row>
    <row r="197" spans="4:8">
      <c r="D197" s="5"/>
      <c r="E197" s="5"/>
      <c r="F197" s="9"/>
      <c r="G197" s="5"/>
      <c r="H197" s="5"/>
    </row>
    <row r="198" spans="4:8">
      <c r="D198" s="5"/>
      <c r="E198" s="5"/>
      <c r="F198" s="9"/>
      <c r="G198" s="5"/>
      <c r="H198" s="5"/>
    </row>
    <row r="199" spans="4:8">
      <c r="D199" s="5"/>
      <c r="E199" s="5"/>
      <c r="F199" s="9"/>
      <c r="G199" s="5"/>
      <c r="H199" s="5"/>
    </row>
    <row r="200" spans="4:8">
      <c r="D200" s="5"/>
      <c r="E200" s="5"/>
      <c r="F200" s="9"/>
      <c r="G200" s="5"/>
      <c r="H200" s="5"/>
    </row>
    <row r="201" spans="4:8">
      <c r="D201" s="5"/>
      <c r="E201" s="5"/>
      <c r="F201" s="9"/>
      <c r="G201" s="5"/>
      <c r="H201" s="5"/>
    </row>
    <row r="202" spans="4:8">
      <c r="D202" s="5"/>
      <c r="E202" s="5"/>
      <c r="F202" s="9"/>
      <c r="G202" s="5"/>
      <c r="H202" s="5"/>
    </row>
    <row r="203" spans="4:8">
      <c r="D203" s="5"/>
      <c r="E203" s="5"/>
      <c r="F203" s="9"/>
      <c r="G203" s="5"/>
      <c r="H203" s="5"/>
    </row>
    <row r="204" spans="4:8">
      <c r="D204" s="5"/>
      <c r="E204" s="5"/>
      <c r="F204" s="9"/>
      <c r="G204" s="5"/>
      <c r="H204" s="5"/>
    </row>
    <row r="205" spans="4:8">
      <c r="H205" s="15"/>
    </row>
    <row r="206" spans="4:8">
      <c r="D206" s="5"/>
      <c r="E206" s="5"/>
      <c r="H206" s="5"/>
    </row>
    <row r="207" spans="4:8">
      <c r="D207" s="5"/>
      <c r="E207" s="5"/>
      <c r="H207" s="5"/>
    </row>
    <row r="208" spans="4:8">
      <c r="D208" s="5"/>
      <c r="E208" s="5"/>
      <c r="F208" s="9"/>
      <c r="G208" s="5"/>
      <c r="H208" s="5"/>
    </row>
    <row r="209" spans="4:8">
      <c r="D209" s="5"/>
      <c r="E209" s="5"/>
      <c r="F209" s="9"/>
      <c r="G209" s="5"/>
      <c r="H209" s="5"/>
    </row>
    <row r="210" spans="4:8">
      <c r="D210" s="5"/>
      <c r="E210" s="5"/>
      <c r="F210" s="9"/>
      <c r="G210" s="5"/>
      <c r="H210" s="5"/>
    </row>
    <row r="211" spans="4:8">
      <c r="D211" s="5"/>
      <c r="E211" s="5"/>
      <c r="F211" s="9"/>
      <c r="G211" s="5"/>
      <c r="H211" s="5"/>
    </row>
    <row r="212" spans="4:8">
      <c r="D212" s="5"/>
      <c r="E212" s="5"/>
      <c r="F212" s="9"/>
      <c r="G212" s="5"/>
      <c r="H212" s="5"/>
    </row>
    <row r="213" spans="4:8">
      <c r="D213" s="5"/>
      <c r="E213" s="5"/>
      <c r="F213" s="9"/>
      <c r="G213" s="5"/>
      <c r="H213" s="5"/>
    </row>
    <row r="214" spans="4:8">
      <c r="D214" s="5"/>
      <c r="E214" s="5"/>
      <c r="F214" s="9"/>
      <c r="G214" s="5"/>
      <c r="H214" s="5"/>
    </row>
    <row r="215" spans="4:8">
      <c r="D215" s="5"/>
      <c r="E215" s="5"/>
      <c r="F215" s="9"/>
      <c r="G215" s="5"/>
      <c r="H215" s="5"/>
    </row>
    <row r="216" spans="4:8">
      <c r="D216" s="5"/>
      <c r="E216" s="5"/>
      <c r="F216" s="9"/>
      <c r="G216" s="5"/>
      <c r="H216" s="5"/>
    </row>
    <row r="217" spans="4:8">
      <c r="D217" s="5"/>
      <c r="E217" s="5"/>
      <c r="F217" s="9"/>
      <c r="G217" s="5"/>
      <c r="H2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AB</vt:lpstr>
      <vt:lpstr>CD</vt:lpstr>
      <vt:lpstr>EF</vt:lpstr>
      <vt:lpstr>GH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Atheir Abbas</dc:creator>
  <cp:lastModifiedBy>Atheir Abbas</cp:lastModifiedBy>
  <dcterms:created xsi:type="dcterms:W3CDTF">2024-09-26T21:17:12Z</dcterms:created>
  <dcterms:modified xsi:type="dcterms:W3CDTF">2024-10-10T21:07:13Z</dcterms:modified>
</cp:coreProperties>
</file>