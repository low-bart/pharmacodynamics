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CONTRACTS/1st DEA contract/OPIOIDS/OpR 5 OpRs Dec 2023/"/>
    </mc:Choice>
  </mc:AlternateContent>
  <xr:revisionPtr revIDLastSave="2" documentId="8_{F7143199-C278-444B-8650-FB83C183BF86}" xr6:coauthVersionLast="47" xr6:coauthVersionMax="47" xr10:uidLastSave="{C7B18879-475F-4722-B2D2-D7C5033144F8}"/>
  <bookViews>
    <workbookView xWindow="-120" yWindow="-120" windowWidth="29040" windowHeight="15840" tabRatio="323" activeTab="3" xr2:uid="{00000000-000D-0000-FFFF-FFFF00000000}"/>
  </bookViews>
  <sheets>
    <sheet name="Raw Data" sheetId="1" r:id="rId1"/>
    <sheet name="DOR" sheetId="2" r:id="rId2"/>
    <sheet name="KOR" sheetId="19" r:id="rId3"/>
    <sheet name="hMOR" sheetId="21" r:id="rId4"/>
    <sheet name="Module1" sheetId="18" state="very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2" i="2"/>
  <c r="D4" i="2" s="1"/>
  <c r="D2" i="2"/>
  <c r="G1" i="2"/>
  <c r="D37" i="21"/>
  <c r="E37" i="21" s="1"/>
  <c r="D38" i="21"/>
  <c r="G38" i="21"/>
  <c r="E38" i="21" l="1"/>
  <c r="D5" i="2"/>
  <c r="D172" i="2"/>
  <c r="D171" i="2"/>
  <c r="D170" i="2"/>
  <c r="D169" i="2"/>
  <c r="D168" i="2"/>
  <c r="D167" i="2"/>
  <c r="D166" i="2"/>
  <c r="D164" i="2"/>
  <c r="D163" i="2"/>
  <c r="D162" i="2"/>
  <c r="E162" i="2" s="1"/>
  <c r="H162" i="2" s="1"/>
  <c r="D161" i="2"/>
  <c r="D160" i="2"/>
  <c r="D159" i="2"/>
  <c r="E159" i="2" s="1"/>
  <c r="H159" i="2" s="1"/>
  <c r="D158" i="2"/>
  <c r="D157" i="2"/>
  <c r="E157" i="2" s="1"/>
  <c r="H157" i="2" s="1"/>
  <c r="D156" i="2"/>
  <c r="D155" i="2"/>
  <c r="D154" i="2"/>
  <c r="D153" i="2"/>
  <c r="D151" i="2"/>
  <c r="D150" i="2"/>
  <c r="E150" i="2" s="1"/>
  <c r="H150" i="2" s="1"/>
  <c r="D149" i="2"/>
  <c r="D148" i="2"/>
  <c r="D147" i="2"/>
  <c r="E147" i="2" s="1"/>
  <c r="D146" i="2"/>
  <c r="D145" i="2"/>
  <c r="D144" i="2"/>
  <c r="E144" i="2" s="1"/>
  <c r="D143" i="2"/>
  <c r="D142" i="2"/>
  <c r="D141" i="2"/>
  <c r="E148" i="2"/>
  <c r="D140" i="2"/>
  <c r="D138" i="2"/>
  <c r="D137" i="2"/>
  <c r="D136" i="2"/>
  <c r="D135" i="2"/>
  <c r="D134" i="2"/>
  <c r="D133" i="2"/>
  <c r="D132" i="2"/>
  <c r="D131" i="2"/>
  <c r="D130" i="2"/>
  <c r="D129" i="2"/>
  <c r="D128" i="2"/>
  <c r="E137" i="2" s="1"/>
  <c r="D127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99" i="2"/>
  <c r="D98" i="2"/>
  <c r="D97" i="2"/>
  <c r="D96" i="2"/>
  <c r="D95" i="2"/>
  <c r="D94" i="2"/>
  <c r="D93" i="2"/>
  <c r="D92" i="2"/>
  <c r="D91" i="2"/>
  <c r="D90" i="2"/>
  <c r="D89" i="2"/>
  <c r="D88" i="2"/>
  <c r="D75" i="2"/>
  <c r="D86" i="2"/>
  <c r="D85" i="2"/>
  <c r="D84" i="2"/>
  <c r="D83" i="2"/>
  <c r="D82" i="2"/>
  <c r="D81" i="2"/>
  <c r="D80" i="2"/>
  <c r="D79" i="2"/>
  <c r="D78" i="2"/>
  <c r="D77" i="2"/>
  <c r="D76" i="2"/>
  <c r="D73" i="2"/>
  <c r="D72" i="2"/>
  <c r="D71" i="2"/>
  <c r="D70" i="2"/>
  <c r="D69" i="2"/>
  <c r="D68" i="2"/>
  <c r="D67" i="2"/>
  <c r="E67" i="2" s="1"/>
  <c r="D66" i="2"/>
  <c r="D65" i="2"/>
  <c r="D64" i="2"/>
  <c r="D63" i="2"/>
  <c r="D62" i="2"/>
  <c r="D60" i="2"/>
  <c r="D59" i="2"/>
  <c r="D58" i="2"/>
  <c r="D57" i="2"/>
  <c r="D56" i="2"/>
  <c r="D55" i="2"/>
  <c r="D54" i="2"/>
  <c r="D53" i="2"/>
  <c r="D52" i="2"/>
  <c r="D51" i="2"/>
  <c r="D50" i="2"/>
  <c r="D49" i="2"/>
  <c r="D47" i="2"/>
  <c r="D46" i="2"/>
  <c r="D45" i="2"/>
  <c r="D44" i="2"/>
  <c r="D43" i="2"/>
  <c r="D42" i="2"/>
  <c r="D41" i="2"/>
  <c r="E41" i="2" s="1"/>
  <c r="D40" i="2"/>
  <c r="D39" i="2"/>
  <c r="E39" i="2" s="1"/>
  <c r="D38" i="2"/>
  <c r="D37" i="2"/>
  <c r="E38" i="2" s="1"/>
  <c r="D36" i="2"/>
  <c r="D34" i="2"/>
  <c r="D33" i="2"/>
  <c r="D32" i="2"/>
  <c r="D31" i="2"/>
  <c r="D30" i="2"/>
  <c r="D29" i="2"/>
  <c r="D28" i="2"/>
  <c r="D27" i="2"/>
  <c r="D26" i="2"/>
  <c r="D25" i="2"/>
  <c r="D24" i="2"/>
  <c r="E24" i="2" s="1"/>
  <c r="D23" i="2"/>
  <c r="D21" i="2"/>
  <c r="D20" i="2"/>
  <c r="D19" i="2"/>
  <c r="D18" i="2"/>
  <c r="D17" i="2"/>
  <c r="D16" i="2"/>
  <c r="D15" i="2"/>
  <c r="E15" i="2" s="1"/>
  <c r="D14" i="2"/>
  <c r="D13" i="2"/>
  <c r="D12" i="2"/>
  <c r="D11" i="2"/>
  <c r="E12" i="2" s="1"/>
  <c r="D10" i="2"/>
  <c r="D268" i="21"/>
  <c r="D267" i="21"/>
  <c r="D266" i="21"/>
  <c r="D265" i="21"/>
  <c r="D264" i="21"/>
  <c r="D263" i="21"/>
  <c r="D262" i="21"/>
  <c r="D261" i="21"/>
  <c r="F260" i="21"/>
  <c r="G260" i="21" s="1"/>
  <c r="D260" i="21"/>
  <c r="G259" i="21"/>
  <c r="D259" i="21"/>
  <c r="D258" i="21"/>
  <c r="D257" i="21"/>
  <c r="D255" i="21"/>
  <c r="D254" i="21"/>
  <c r="D253" i="21"/>
  <c r="D252" i="21"/>
  <c r="D251" i="21"/>
  <c r="D250" i="21"/>
  <c r="D249" i="21"/>
  <c r="D248" i="21"/>
  <c r="F247" i="21"/>
  <c r="G247" i="21" s="1"/>
  <c r="D247" i="21"/>
  <c r="G246" i="21"/>
  <c r="D246" i="21"/>
  <c r="D245" i="21"/>
  <c r="D244" i="21"/>
  <c r="D242" i="21"/>
  <c r="D241" i="21"/>
  <c r="D240" i="21"/>
  <c r="D239" i="21"/>
  <c r="D238" i="21"/>
  <c r="D237" i="21"/>
  <c r="D236" i="21"/>
  <c r="D235" i="21"/>
  <c r="F234" i="21"/>
  <c r="G234" i="21" s="1"/>
  <c r="D234" i="21"/>
  <c r="G233" i="21"/>
  <c r="D233" i="21"/>
  <c r="D232" i="21"/>
  <c r="E232" i="21" s="1"/>
  <c r="D231" i="21"/>
  <c r="D229" i="21"/>
  <c r="D228" i="21"/>
  <c r="D227" i="21"/>
  <c r="E227" i="21" s="1"/>
  <c r="D226" i="21"/>
  <c r="D225" i="21"/>
  <c r="D224" i="21"/>
  <c r="D223" i="21"/>
  <c r="D222" i="21"/>
  <c r="F221" i="21"/>
  <c r="G221" i="21" s="1"/>
  <c r="D221" i="21"/>
  <c r="G220" i="21"/>
  <c r="D220" i="21"/>
  <c r="D219" i="21"/>
  <c r="D218" i="21"/>
  <c r="D216" i="21"/>
  <c r="D215" i="21"/>
  <c r="D214" i="21"/>
  <c r="D213" i="21"/>
  <c r="D212" i="21"/>
  <c r="D211" i="21"/>
  <c r="D210" i="21"/>
  <c r="D209" i="21"/>
  <c r="F208" i="21"/>
  <c r="F209" i="21" s="1"/>
  <c r="D208" i="21"/>
  <c r="G207" i="21"/>
  <c r="D207" i="21"/>
  <c r="D206" i="21"/>
  <c r="D205" i="21"/>
  <c r="D203" i="21"/>
  <c r="D202" i="21"/>
  <c r="D201" i="21"/>
  <c r="D200" i="21"/>
  <c r="D199" i="21"/>
  <c r="D198" i="21"/>
  <c r="D197" i="21"/>
  <c r="D196" i="21"/>
  <c r="F195" i="21"/>
  <c r="G195" i="21" s="1"/>
  <c r="D195" i="21"/>
  <c r="G194" i="21"/>
  <c r="D194" i="21"/>
  <c r="D193" i="21"/>
  <c r="E193" i="21" s="1"/>
  <c r="D192" i="21"/>
  <c r="D190" i="21"/>
  <c r="D189" i="21"/>
  <c r="D188" i="21"/>
  <c r="D187" i="21"/>
  <c r="D186" i="21"/>
  <c r="D185" i="21"/>
  <c r="D184" i="21"/>
  <c r="D183" i="21"/>
  <c r="F182" i="21"/>
  <c r="D182" i="21"/>
  <c r="G181" i="21"/>
  <c r="D181" i="21"/>
  <c r="E181" i="21" s="1"/>
  <c r="D180" i="21"/>
  <c r="E180" i="21" s="1"/>
  <c r="D179" i="21"/>
  <c r="D177" i="21"/>
  <c r="D176" i="21"/>
  <c r="D175" i="21"/>
  <c r="E175" i="21" s="1"/>
  <c r="D174" i="21"/>
  <c r="D173" i="21"/>
  <c r="D172" i="21"/>
  <c r="E172" i="21" s="1"/>
  <c r="D171" i="21"/>
  <c r="D170" i="21"/>
  <c r="F169" i="21"/>
  <c r="G169" i="21" s="1"/>
  <c r="D169" i="21"/>
  <c r="G168" i="21"/>
  <c r="D168" i="21"/>
  <c r="D167" i="21"/>
  <c r="E167" i="21" s="1"/>
  <c r="D166" i="21"/>
  <c r="E166" i="21" s="1"/>
  <c r="D164" i="21"/>
  <c r="D163" i="21"/>
  <c r="D162" i="21"/>
  <c r="D161" i="21"/>
  <c r="D160" i="21"/>
  <c r="D159" i="21"/>
  <c r="D158" i="21"/>
  <c r="D157" i="21"/>
  <c r="F156" i="21"/>
  <c r="G156" i="21" s="1"/>
  <c r="D156" i="21"/>
  <c r="G155" i="21"/>
  <c r="D155" i="21"/>
  <c r="D154" i="21"/>
  <c r="E154" i="21" s="1"/>
  <c r="D153" i="21"/>
  <c r="D151" i="21"/>
  <c r="D150" i="21"/>
  <c r="E150" i="21" s="1"/>
  <c r="D149" i="21"/>
  <c r="D148" i="21"/>
  <c r="D147" i="21"/>
  <c r="D146" i="21"/>
  <c r="D145" i="21"/>
  <c r="D144" i="21"/>
  <c r="F143" i="21"/>
  <c r="F144" i="21" s="1"/>
  <c r="D143" i="21"/>
  <c r="G142" i="21"/>
  <c r="D142" i="21"/>
  <c r="D141" i="21"/>
  <c r="D140" i="21"/>
  <c r="D138" i="21"/>
  <c r="D137" i="21"/>
  <c r="D136" i="21"/>
  <c r="D135" i="21"/>
  <c r="D134" i="21"/>
  <c r="D133" i="21"/>
  <c r="D132" i="21"/>
  <c r="D131" i="21"/>
  <c r="F130" i="21"/>
  <c r="F131" i="21" s="1"/>
  <c r="D130" i="21"/>
  <c r="G129" i="21"/>
  <c r="D129" i="21"/>
  <c r="D128" i="21"/>
  <c r="D127" i="21"/>
  <c r="D125" i="21"/>
  <c r="D124" i="21"/>
  <c r="D123" i="21"/>
  <c r="D122" i="21"/>
  <c r="D121" i="21"/>
  <c r="D120" i="21"/>
  <c r="D119" i="21"/>
  <c r="D118" i="21"/>
  <c r="F117" i="21"/>
  <c r="F118" i="21" s="1"/>
  <c r="F119" i="21" s="1"/>
  <c r="D117" i="21"/>
  <c r="G116" i="21"/>
  <c r="D116" i="21"/>
  <c r="D115" i="21"/>
  <c r="E115" i="21" s="1"/>
  <c r="D114" i="21"/>
  <c r="D112" i="21"/>
  <c r="D111" i="21"/>
  <c r="D110" i="21"/>
  <c r="D109" i="21"/>
  <c r="D108" i="21"/>
  <c r="D107" i="21"/>
  <c r="D106" i="21"/>
  <c r="D105" i="21"/>
  <c r="F104" i="21"/>
  <c r="F105" i="21" s="1"/>
  <c r="D104" i="21"/>
  <c r="G103" i="21"/>
  <c r="D103" i="21"/>
  <c r="D102" i="21"/>
  <c r="D101" i="21"/>
  <c r="D99" i="21"/>
  <c r="D98" i="21"/>
  <c r="D97" i="21"/>
  <c r="D96" i="21"/>
  <c r="D95" i="21"/>
  <c r="D94" i="21"/>
  <c r="D93" i="21"/>
  <c r="D92" i="21"/>
  <c r="F91" i="21"/>
  <c r="G91" i="21" s="1"/>
  <c r="D91" i="21"/>
  <c r="G90" i="21"/>
  <c r="D90" i="21"/>
  <c r="D89" i="21"/>
  <c r="D88" i="21"/>
  <c r="D86" i="21"/>
  <c r="D85" i="21"/>
  <c r="D84" i="21"/>
  <c r="D83" i="21"/>
  <c r="D82" i="21"/>
  <c r="D81" i="21"/>
  <c r="D80" i="21"/>
  <c r="D79" i="21"/>
  <c r="F78" i="21"/>
  <c r="F79" i="21" s="1"/>
  <c r="D78" i="21"/>
  <c r="G77" i="21"/>
  <c r="D77" i="21"/>
  <c r="D76" i="21"/>
  <c r="E83" i="21" s="1"/>
  <c r="D75" i="21"/>
  <c r="D73" i="21"/>
  <c r="D72" i="21"/>
  <c r="D71" i="21"/>
  <c r="D70" i="21"/>
  <c r="D69" i="21"/>
  <c r="D68" i="21"/>
  <c r="D67" i="21"/>
  <c r="D66" i="21"/>
  <c r="F65" i="21"/>
  <c r="G65" i="21" s="1"/>
  <c r="D65" i="21"/>
  <c r="G64" i="21"/>
  <c r="D64" i="21"/>
  <c r="D63" i="21"/>
  <c r="E63" i="21" s="1"/>
  <c r="D62" i="21"/>
  <c r="D60" i="21"/>
  <c r="D59" i="21"/>
  <c r="D58" i="21"/>
  <c r="D57" i="21"/>
  <c r="D56" i="21"/>
  <c r="D55" i="21"/>
  <c r="D54" i="21"/>
  <c r="D53" i="21"/>
  <c r="F52" i="21"/>
  <c r="F53" i="21" s="1"/>
  <c r="D52" i="21"/>
  <c r="G51" i="21"/>
  <c r="D51" i="21"/>
  <c r="D50" i="21"/>
  <c r="D49" i="21"/>
  <c r="D47" i="21"/>
  <c r="E36" i="21" s="1"/>
  <c r="H36" i="21" s="1"/>
  <c r="D46" i="21"/>
  <c r="D45" i="21"/>
  <c r="D44" i="21"/>
  <c r="D43" i="21"/>
  <c r="D42" i="21"/>
  <c r="D41" i="21"/>
  <c r="E41" i="21" s="1"/>
  <c r="D40" i="21"/>
  <c r="F39" i="21"/>
  <c r="D39" i="21"/>
  <c r="D36" i="21"/>
  <c r="D34" i="21"/>
  <c r="D33" i="21"/>
  <c r="D32" i="21"/>
  <c r="D31" i="21"/>
  <c r="D30" i="21"/>
  <c r="D29" i="21"/>
  <c r="D28" i="21"/>
  <c r="D27" i="21"/>
  <c r="F26" i="21"/>
  <c r="G26" i="21" s="1"/>
  <c r="D26" i="21"/>
  <c r="G25" i="21"/>
  <c r="D25" i="21"/>
  <c r="D24" i="21"/>
  <c r="D23" i="21"/>
  <c r="D21" i="21"/>
  <c r="D20" i="21"/>
  <c r="D19" i="21"/>
  <c r="D18" i="21"/>
  <c r="D17" i="21"/>
  <c r="D16" i="21"/>
  <c r="D15" i="21"/>
  <c r="D14" i="21"/>
  <c r="F13" i="21"/>
  <c r="F14" i="21" s="1"/>
  <c r="D13" i="21"/>
  <c r="G12" i="21"/>
  <c r="D12" i="21"/>
  <c r="D11" i="21"/>
  <c r="E20" i="21" s="1"/>
  <c r="D10" i="21"/>
  <c r="G3" i="21"/>
  <c r="G2" i="21"/>
  <c r="D2" i="21"/>
  <c r="G1" i="21"/>
  <c r="E267" i="21"/>
  <c r="E224" i="21"/>
  <c r="E132" i="21"/>
  <c r="E185" i="21"/>
  <c r="E168" i="21"/>
  <c r="E171" i="21"/>
  <c r="E186" i="21"/>
  <c r="F157" i="21"/>
  <c r="G157" i="21" s="1"/>
  <c r="G117" i="21"/>
  <c r="E251" i="21"/>
  <c r="F158" i="21"/>
  <c r="F159" i="21" s="1"/>
  <c r="G1" i="19"/>
  <c r="G2" i="19"/>
  <c r="G3" i="19"/>
  <c r="D2" i="19"/>
  <c r="D216" i="19"/>
  <c r="D215" i="19"/>
  <c r="E215" i="19" s="1"/>
  <c r="D214" i="19"/>
  <c r="D213" i="19"/>
  <c r="D212" i="19"/>
  <c r="E212" i="19" s="1"/>
  <c r="D211" i="19"/>
  <c r="D210" i="19"/>
  <c r="D209" i="19"/>
  <c r="F208" i="19"/>
  <c r="G208" i="19" s="1"/>
  <c r="F209" i="19"/>
  <c r="F210" i="19" s="1"/>
  <c r="F211" i="19" s="1"/>
  <c r="D208" i="19"/>
  <c r="E208" i="19" s="1"/>
  <c r="G207" i="19"/>
  <c r="D207" i="19"/>
  <c r="D206" i="19"/>
  <c r="E206" i="19"/>
  <c r="D205" i="19"/>
  <c r="D203" i="19"/>
  <c r="D202" i="19"/>
  <c r="E202" i="19" s="1"/>
  <c r="H202" i="19" s="1"/>
  <c r="D201" i="19"/>
  <c r="D200" i="19"/>
  <c r="D199" i="19"/>
  <c r="D198" i="19"/>
  <c r="D197" i="19"/>
  <c r="E197" i="19" s="1"/>
  <c r="H197" i="19" s="1"/>
  <c r="D196" i="19"/>
  <c r="E196" i="19"/>
  <c r="F195" i="19"/>
  <c r="F196" i="19"/>
  <c r="D195" i="19"/>
  <c r="E195" i="19" s="1"/>
  <c r="H195" i="19" s="1"/>
  <c r="G194" i="19"/>
  <c r="D194" i="19"/>
  <c r="E194" i="19"/>
  <c r="H194" i="19" s="1"/>
  <c r="D193" i="19"/>
  <c r="E193" i="19"/>
  <c r="D192" i="19"/>
  <c r="E192" i="19"/>
  <c r="D190" i="19"/>
  <c r="D189" i="19"/>
  <c r="D188" i="19"/>
  <c r="D187" i="19"/>
  <c r="E187" i="19" s="1"/>
  <c r="D186" i="19"/>
  <c r="D185" i="19"/>
  <c r="D184" i="19"/>
  <c r="D183" i="19"/>
  <c r="E183" i="19"/>
  <c r="F182" i="19"/>
  <c r="F183" i="19" s="1"/>
  <c r="F184" i="19" s="1"/>
  <c r="D182" i="19"/>
  <c r="E182" i="19" s="1"/>
  <c r="G181" i="19"/>
  <c r="D181" i="19"/>
  <c r="D180" i="19"/>
  <c r="E188" i="19"/>
  <c r="D179" i="19"/>
  <c r="D177" i="19"/>
  <c r="D176" i="19"/>
  <c r="D175" i="19"/>
  <c r="D174" i="19"/>
  <c r="E174" i="19" s="1"/>
  <c r="D173" i="19"/>
  <c r="D172" i="19"/>
  <c r="D171" i="19"/>
  <c r="D170" i="19"/>
  <c r="F169" i="19"/>
  <c r="G169" i="19"/>
  <c r="D169" i="19"/>
  <c r="G168" i="19"/>
  <c r="D168" i="19"/>
  <c r="D167" i="19"/>
  <c r="E167" i="19" s="1"/>
  <c r="D166" i="19"/>
  <c r="F170" i="19"/>
  <c r="F171" i="19"/>
  <c r="F172" i="19"/>
  <c r="G172" i="19" s="1"/>
  <c r="E199" i="19"/>
  <c r="E201" i="19"/>
  <c r="H201" i="19" s="1"/>
  <c r="E210" i="19"/>
  <c r="E214" i="19"/>
  <c r="E198" i="19"/>
  <c r="E200" i="19"/>
  <c r="H200" i="19" s="1"/>
  <c r="E207" i="19"/>
  <c r="E211" i="19"/>
  <c r="E213" i="19"/>
  <c r="G170" i="19"/>
  <c r="D190" i="2"/>
  <c r="D189" i="2"/>
  <c r="E189" i="2" s="1"/>
  <c r="D188" i="2"/>
  <c r="D187" i="2"/>
  <c r="E187" i="2" s="1"/>
  <c r="D186" i="2"/>
  <c r="E186" i="2" s="1"/>
  <c r="D185" i="2"/>
  <c r="D184" i="2"/>
  <c r="D183" i="2"/>
  <c r="E183" i="2" s="1"/>
  <c r="F182" i="2"/>
  <c r="D182" i="2"/>
  <c r="E182" i="2" s="1"/>
  <c r="G181" i="2"/>
  <c r="D181" i="2"/>
  <c r="D180" i="2"/>
  <c r="D179" i="2"/>
  <c r="D177" i="2"/>
  <c r="D176" i="2"/>
  <c r="D175" i="2"/>
  <c r="D174" i="2"/>
  <c r="D173" i="2"/>
  <c r="F169" i="2"/>
  <c r="G168" i="2"/>
  <c r="E181" i="2"/>
  <c r="E184" i="2"/>
  <c r="E188" i="2"/>
  <c r="E185" i="2"/>
  <c r="E180" i="2"/>
  <c r="G90" i="19"/>
  <c r="D164" i="19"/>
  <c r="D163" i="19"/>
  <c r="D162" i="19"/>
  <c r="D161" i="19"/>
  <c r="D160" i="19"/>
  <c r="D159" i="19"/>
  <c r="D158" i="19"/>
  <c r="D157" i="19"/>
  <c r="F156" i="19"/>
  <c r="F157" i="19"/>
  <c r="D156" i="19"/>
  <c r="G155" i="19"/>
  <c r="D155" i="19"/>
  <c r="D154" i="19"/>
  <c r="E158" i="19" s="1"/>
  <c r="D153" i="19"/>
  <c r="D151" i="19"/>
  <c r="D150" i="19"/>
  <c r="D149" i="19"/>
  <c r="D148" i="19"/>
  <c r="D147" i="19"/>
  <c r="D146" i="19"/>
  <c r="D145" i="19"/>
  <c r="D144" i="19"/>
  <c r="F143" i="19"/>
  <c r="F144" i="19"/>
  <c r="D143" i="19"/>
  <c r="G142" i="19"/>
  <c r="D142" i="19"/>
  <c r="D141" i="19"/>
  <c r="E141" i="19" s="1"/>
  <c r="D140" i="19"/>
  <c r="D138" i="19"/>
  <c r="D137" i="19"/>
  <c r="D136" i="19"/>
  <c r="D135" i="19"/>
  <c r="D134" i="19"/>
  <c r="E134" i="19" s="1"/>
  <c r="D133" i="19"/>
  <c r="D132" i="19"/>
  <c r="D131" i="19"/>
  <c r="F130" i="19"/>
  <c r="F131" i="19" s="1"/>
  <c r="D130" i="19"/>
  <c r="G129" i="19"/>
  <c r="D129" i="19"/>
  <c r="D128" i="19"/>
  <c r="D127" i="19"/>
  <c r="D125" i="19"/>
  <c r="D124" i="19"/>
  <c r="D123" i="19"/>
  <c r="D122" i="19"/>
  <c r="D121" i="19"/>
  <c r="D120" i="19"/>
  <c r="D119" i="19"/>
  <c r="D118" i="19"/>
  <c r="F117" i="19"/>
  <c r="G117" i="19" s="1"/>
  <c r="D117" i="19"/>
  <c r="G116" i="19"/>
  <c r="D116" i="19"/>
  <c r="D115" i="19"/>
  <c r="D114" i="19"/>
  <c r="D112" i="19"/>
  <c r="D111" i="19"/>
  <c r="D110" i="19"/>
  <c r="D109" i="19"/>
  <c r="D108" i="19"/>
  <c r="D107" i="19"/>
  <c r="D106" i="19"/>
  <c r="D105" i="19"/>
  <c r="F104" i="19"/>
  <c r="G104" i="19" s="1"/>
  <c r="D104" i="19"/>
  <c r="G103" i="19"/>
  <c r="D103" i="19"/>
  <c r="D102" i="19"/>
  <c r="D101" i="19"/>
  <c r="D99" i="19"/>
  <c r="D98" i="19"/>
  <c r="D97" i="19"/>
  <c r="D96" i="19"/>
  <c r="D95" i="19"/>
  <c r="D94" i="19"/>
  <c r="D93" i="19"/>
  <c r="D92" i="19"/>
  <c r="F91" i="19"/>
  <c r="F92" i="19" s="1"/>
  <c r="D91" i="19"/>
  <c r="D90" i="19"/>
  <c r="D89" i="19"/>
  <c r="D88" i="19"/>
  <c r="D86" i="19"/>
  <c r="D85" i="19"/>
  <c r="D84" i="19"/>
  <c r="D83" i="19"/>
  <c r="D82" i="19"/>
  <c r="D81" i="19"/>
  <c r="D80" i="19"/>
  <c r="D79" i="19"/>
  <c r="F78" i="19"/>
  <c r="F79" i="19" s="1"/>
  <c r="D78" i="19"/>
  <c r="G77" i="19"/>
  <c r="D77" i="19"/>
  <c r="D76" i="19"/>
  <c r="E76" i="19" s="1"/>
  <c r="D75" i="19"/>
  <c r="D73" i="19"/>
  <c r="D72" i="19"/>
  <c r="D71" i="19"/>
  <c r="D70" i="19"/>
  <c r="D69" i="19"/>
  <c r="D68" i="19"/>
  <c r="D67" i="19"/>
  <c r="D66" i="19"/>
  <c r="F65" i="19"/>
  <c r="D65" i="19"/>
  <c r="G64" i="19"/>
  <c r="D64" i="19"/>
  <c r="D63" i="19"/>
  <c r="E63" i="19" s="1"/>
  <c r="D62" i="19"/>
  <c r="D60" i="19"/>
  <c r="D59" i="19"/>
  <c r="D58" i="19"/>
  <c r="D57" i="19"/>
  <c r="D56" i="19"/>
  <c r="D55" i="19"/>
  <c r="D54" i="19"/>
  <c r="D53" i="19"/>
  <c r="F52" i="19"/>
  <c r="G52" i="19" s="1"/>
  <c r="D52" i="19"/>
  <c r="G51" i="19"/>
  <c r="D51" i="19"/>
  <c r="D50" i="19"/>
  <c r="E50" i="19" s="1"/>
  <c r="D49" i="19"/>
  <c r="D47" i="19"/>
  <c r="D46" i="19"/>
  <c r="D45" i="19"/>
  <c r="D44" i="19"/>
  <c r="E44" i="19" s="1"/>
  <c r="D43" i="19"/>
  <c r="D42" i="19"/>
  <c r="D41" i="19"/>
  <c r="D40" i="19"/>
  <c r="F39" i="19"/>
  <c r="F40" i="19" s="1"/>
  <c r="D39" i="19"/>
  <c r="G38" i="19"/>
  <c r="D38" i="19"/>
  <c r="E38" i="19" s="1"/>
  <c r="D37" i="19"/>
  <c r="E37" i="19" s="1"/>
  <c r="D36" i="19"/>
  <c r="D34" i="19"/>
  <c r="D33" i="19"/>
  <c r="D32" i="19"/>
  <c r="D31" i="19"/>
  <c r="D30" i="19"/>
  <c r="D29" i="19"/>
  <c r="D28" i="19"/>
  <c r="D27" i="19"/>
  <c r="F26" i="19"/>
  <c r="G26" i="19" s="1"/>
  <c r="D26" i="19"/>
  <c r="G25" i="19"/>
  <c r="D25" i="19"/>
  <c r="D24" i="19"/>
  <c r="D23" i="19"/>
  <c r="D21" i="19"/>
  <c r="D20" i="19"/>
  <c r="D19" i="19"/>
  <c r="D18" i="19"/>
  <c r="D17" i="19"/>
  <c r="D16" i="19"/>
  <c r="D15" i="19"/>
  <c r="D14" i="19"/>
  <c r="F13" i="19"/>
  <c r="F14" i="19" s="1"/>
  <c r="D13" i="19"/>
  <c r="G12" i="19"/>
  <c r="D12" i="19"/>
  <c r="D11" i="19"/>
  <c r="D10" i="19"/>
  <c r="F156" i="2"/>
  <c r="F157" i="2"/>
  <c r="G155" i="2"/>
  <c r="F143" i="2"/>
  <c r="F144" i="2"/>
  <c r="G142" i="2"/>
  <c r="F130" i="2"/>
  <c r="F131" i="2"/>
  <c r="G131" i="2" s="1"/>
  <c r="G129" i="2"/>
  <c r="F117" i="2"/>
  <c r="G116" i="2"/>
  <c r="E11" i="2"/>
  <c r="G12" i="2"/>
  <c r="F13" i="2"/>
  <c r="G13" i="2" s="1"/>
  <c r="G25" i="2"/>
  <c r="F26" i="2"/>
  <c r="F27" i="2" s="1"/>
  <c r="E37" i="2"/>
  <c r="G38" i="2"/>
  <c r="F39" i="2"/>
  <c r="G39" i="2" s="1"/>
  <c r="G51" i="2"/>
  <c r="F52" i="2"/>
  <c r="G52" i="2"/>
  <c r="G64" i="2"/>
  <c r="F65" i="2"/>
  <c r="F66" i="2" s="1"/>
  <c r="F67" i="2" s="1"/>
  <c r="F68" i="2" s="1"/>
  <c r="G68" i="2" s="1"/>
  <c r="G65" i="2"/>
  <c r="G77" i="2"/>
  <c r="F78" i="2"/>
  <c r="F79" i="2" s="1"/>
  <c r="G90" i="2"/>
  <c r="F91" i="2"/>
  <c r="F92" i="2"/>
  <c r="G92" i="2" s="1"/>
  <c r="G103" i="2"/>
  <c r="F104" i="2"/>
  <c r="G104" i="2" s="1"/>
  <c r="G156" i="2"/>
  <c r="G143" i="2"/>
  <c r="G130" i="2"/>
  <c r="E142" i="2"/>
  <c r="E143" i="2"/>
  <c r="E146" i="2"/>
  <c r="E153" i="2"/>
  <c r="H155" i="2" s="1"/>
  <c r="H153" i="2"/>
  <c r="G143" i="19"/>
  <c r="F53" i="2"/>
  <c r="F54" i="2"/>
  <c r="E163" i="2"/>
  <c r="H163" i="2" s="1"/>
  <c r="E89" i="2"/>
  <c r="G144" i="2"/>
  <c r="F145" i="2"/>
  <c r="E145" i="2"/>
  <c r="E158" i="2"/>
  <c r="E160" i="2"/>
  <c r="H160" i="2"/>
  <c r="E46" i="2"/>
  <c r="F132" i="2"/>
  <c r="G132" i="2" s="1"/>
  <c r="E155" i="2"/>
  <c r="E156" i="2"/>
  <c r="E154" i="2"/>
  <c r="E90" i="2"/>
  <c r="F40" i="2"/>
  <c r="G40" i="2" s="1"/>
  <c r="E149" i="2"/>
  <c r="E141" i="2"/>
  <c r="E161" i="2"/>
  <c r="H161" i="2"/>
  <c r="G53" i="2"/>
  <c r="H158" i="2"/>
  <c r="H156" i="2"/>
  <c r="G66" i="2"/>
  <c r="G145" i="2"/>
  <c r="F146" i="2"/>
  <c r="F147" i="2" s="1"/>
  <c r="G147" i="2" s="1"/>
  <c r="F133" i="2"/>
  <c r="G133" i="2" s="1"/>
  <c r="G146" i="2"/>
  <c r="F148" i="2"/>
  <c r="F149" i="2" s="1"/>
  <c r="G148" i="2"/>
  <c r="E45" i="21"/>
  <c r="G13" i="21"/>
  <c r="E140" i="2"/>
  <c r="E121" i="2"/>
  <c r="E119" i="2"/>
  <c r="H149" i="2"/>
  <c r="E97" i="2"/>
  <c r="E45" i="2"/>
  <c r="F93" i="2"/>
  <c r="G93" i="2" s="1"/>
  <c r="G91" i="2"/>
  <c r="E68" i="21"/>
  <c r="E27" i="21"/>
  <c r="E66" i="2"/>
  <c r="E62" i="2"/>
  <c r="E28" i="21"/>
  <c r="E24" i="21"/>
  <c r="G13" i="19"/>
  <c r="G210" i="19"/>
  <c r="F197" i="19"/>
  <c r="F198" i="19" s="1"/>
  <c r="G196" i="19"/>
  <c r="H199" i="19"/>
  <c r="H198" i="19"/>
  <c r="H192" i="19"/>
  <c r="E163" i="19"/>
  <c r="G209" i="19"/>
  <c r="E209" i="19"/>
  <c r="E205" i="19"/>
  <c r="G171" i="19"/>
  <c r="E181" i="19"/>
  <c r="F118" i="19"/>
  <c r="G118" i="19" s="1"/>
  <c r="G130" i="19"/>
  <c r="E179" i="19"/>
  <c r="G182" i="19"/>
  <c r="G195" i="19"/>
  <c r="E189" i="19"/>
  <c r="E133" i="21"/>
  <c r="E129" i="21"/>
  <c r="E128" i="21"/>
  <c r="H205" i="19"/>
  <c r="H207" i="19"/>
  <c r="G211" i="19"/>
  <c r="F212" i="19"/>
  <c r="F213" i="19" s="1"/>
  <c r="G197" i="19"/>
  <c r="G157" i="19"/>
  <c r="F158" i="19"/>
  <c r="G156" i="19"/>
  <c r="F145" i="19"/>
  <c r="G144" i="19"/>
  <c r="G158" i="19"/>
  <c r="F159" i="19"/>
  <c r="F160" i="19" s="1"/>
  <c r="G160" i="19" s="1"/>
  <c r="F146" i="19"/>
  <c r="F147" i="19" s="1"/>
  <c r="G147" i="19" s="1"/>
  <c r="G145" i="19"/>
  <c r="G159" i="19"/>
  <c r="G146" i="19"/>
  <c r="E102" i="21"/>
  <c r="E107" i="21"/>
  <c r="E169" i="2" l="1"/>
  <c r="H169" i="2" s="1"/>
  <c r="E166" i="2"/>
  <c r="H166" i="2" s="1"/>
  <c r="E167" i="2"/>
  <c r="E172" i="2"/>
  <c r="H172" i="2" s="1"/>
  <c r="E173" i="2"/>
  <c r="H173" i="2" s="1"/>
  <c r="E168" i="2"/>
  <c r="H168" i="2" s="1"/>
  <c r="E176" i="2"/>
  <c r="H176" i="2" s="1"/>
  <c r="E174" i="2"/>
  <c r="H174" i="2" s="1"/>
  <c r="F66" i="19"/>
  <c r="G65" i="19"/>
  <c r="G182" i="21"/>
  <c r="F183" i="21"/>
  <c r="F184" i="21" s="1"/>
  <c r="F185" i="21" s="1"/>
  <c r="E206" i="21"/>
  <c r="E209" i="21"/>
  <c r="E208" i="21"/>
  <c r="E212" i="21"/>
  <c r="E265" i="21"/>
  <c r="H265" i="21" s="1"/>
  <c r="E257" i="21"/>
  <c r="H257" i="21" s="1"/>
  <c r="E259" i="21"/>
  <c r="H259" i="21" s="1"/>
  <c r="E263" i="21"/>
  <c r="H263" i="21" s="1"/>
  <c r="E260" i="21"/>
  <c r="H260" i="21" s="1"/>
  <c r="E258" i="21"/>
  <c r="E264" i="21"/>
  <c r="H264" i="21" s="1"/>
  <c r="G117" i="2"/>
  <c r="F118" i="2"/>
  <c r="G157" i="2"/>
  <c r="F158" i="2"/>
  <c r="H182" i="19"/>
  <c r="H179" i="19"/>
  <c r="G212" i="19"/>
  <c r="E171" i="2"/>
  <c r="H171" i="2" s="1"/>
  <c r="H187" i="19"/>
  <c r="F214" i="19"/>
  <c r="G213" i="19"/>
  <c r="G54" i="2"/>
  <c r="F55" i="2"/>
  <c r="F199" i="19"/>
  <c r="G198" i="19"/>
  <c r="G131" i="19"/>
  <c r="F132" i="19"/>
  <c r="F170" i="2"/>
  <c r="G169" i="2"/>
  <c r="E261" i="21"/>
  <c r="H261" i="21" s="1"/>
  <c r="H267" i="21"/>
  <c r="H181" i="19"/>
  <c r="F148" i="19"/>
  <c r="F161" i="19"/>
  <c r="F150" i="2"/>
  <c r="G150" i="2" s="1"/>
  <c r="G149" i="2"/>
  <c r="F185" i="19"/>
  <c r="G184" i="19"/>
  <c r="F94" i="2"/>
  <c r="F69" i="2"/>
  <c r="F134" i="2"/>
  <c r="E154" i="19"/>
  <c r="E214" i="21"/>
  <c r="H214" i="21" s="1"/>
  <c r="E247" i="21"/>
  <c r="E248" i="21"/>
  <c r="E244" i="21"/>
  <c r="H246" i="21" s="1"/>
  <c r="E250" i="21"/>
  <c r="E266" i="21"/>
  <c r="E55" i="2"/>
  <c r="E59" i="2"/>
  <c r="H59" i="2" s="1"/>
  <c r="E58" i="2"/>
  <c r="H58" i="2" s="1"/>
  <c r="E105" i="2"/>
  <c r="E110" i="2"/>
  <c r="E136" i="2"/>
  <c r="E155" i="19"/>
  <c r="E161" i="19"/>
  <c r="H183" i="19"/>
  <c r="F173" i="19"/>
  <c r="F105" i="2"/>
  <c r="G105" i="2" s="1"/>
  <c r="G67" i="2"/>
  <c r="E254" i="21"/>
  <c r="E175" i="2"/>
  <c r="H175" i="2" s="1"/>
  <c r="E170" i="2"/>
  <c r="H170" i="2" s="1"/>
  <c r="E157" i="19"/>
  <c r="G183" i="19"/>
  <c r="H188" i="2"/>
  <c r="H188" i="19"/>
  <c r="F40" i="21"/>
  <c r="G39" i="21"/>
  <c r="E210" i="21"/>
  <c r="E220" i="21"/>
  <c r="H220" i="21" s="1"/>
  <c r="E228" i="21"/>
  <c r="H228" i="21" s="1"/>
  <c r="E218" i="21"/>
  <c r="H218" i="21" s="1"/>
  <c r="E219" i="21"/>
  <c r="E262" i="21"/>
  <c r="H262" i="21" s="1"/>
  <c r="E28" i="2"/>
  <c r="E63" i="2"/>
  <c r="E72" i="2"/>
  <c r="H72" i="2" s="1"/>
  <c r="E92" i="2"/>
  <c r="E98" i="2"/>
  <c r="E114" i="2"/>
  <c r="E120" i="2"/>
  <c r="E116" i="2"/>
  <c r="H116" i="2" s="1"/>
  <c r="E124" i="2"/>
  <c r="H124" i="2" s="1"/>
  <c r="E115" i="2"/>
  <c r="F183" i="2"/>
  <c r="G182" i="2"/>
  <c r="H189" i="19"/>
  <c r="E156" i="19"/>
  <c r="E153" i="19"/>
  <c r="H210" i="19" s="1"/>
  <c r="H142" i="2"/>
  <c r="H184" i="2"/>
  <c r="E179" i="2"/>
  <c r="E180" i="19"/>
  <c r="E186" i="19"/>
  <c r="H186" i="19" s="1"/>
  <c r="E185" i="19"/>
  <c r="H185" i="19" s="1"/>
  <c r="H196" i="19"/>
  <c r="E170" i="21"/>
  <c r="E215" i="21"/>
  <c r="E16" i="2"/>
  <c r="H16" i="2" s="1"/>
  <c r="E25" i="2"/>
  <c r="E33" i="2"/>
  <c r="E42" i="2"/>
  <c r="E51" i="2"/>
  <c r="H51" i="2" s="1"/>
  <c r="E68" i="2"/>
  <c r="H68" i="2" s="1"/>
  <c r="E94" i="2"/>
  <c r="E43" i="2"/>
  <c r="E142" i="19"/>
  <c r="E173" i="19"/>
  <c r="E184" i="19"/>
  <c r="H184" i="19" s="1"/>
  <c r="E25" i="21"/>
  <c r="E174" i="21"/>
  <c r="H174" i="21" s="1"/>
  <c r="E205" i="21"/>
  <c r="H213" i="21" s="1"/>
  <c r="E211" i="21"/>
  <c r="E135" i="19"/>
  <c r="E162" i="19"/>
  <c r="H162" i="19" s="1"/>
  <c r="E169" i="19"/>
  <c r="E146" i="21"/>
  <c r="E176" i="21"/>
  <c r="E183" i="21"/>
  <c r="E207" i="21"/>
  <c r="E213" i="21"/>
  <c r="F14" i="2"/>
  <c r="H173" i="19"/>
  <c r="H174" i="19"/>
  <c r="H169" i="19"/>
  <c r="E170" i="19"/>
  <c r="E166" i="19"/>
  <c r="H166" i="19" s="1"/>
  <c r="E144" i="19"/>
  <c r="E171" i="19"/>
  <c r="H171" i="19" s="1"/>
  <c r="E176" i="19"/>
  <c r="H176" i="19" s="1"/>
  <c r="E168" i="19"/>
  <c r="H168" i="19" s="1"/>
  <c r="E145" i="19"/>
  <c r="E147" i="19"/>
  <c r="E159" i="19"/>
  <c r="E172" i="19"/>
  <c r="H172" i="19" s="1"/>
  <c r="E175" i="19"/>
  <c r="H175" i="19" s="1"/>
  <c r="E160" i="19"/>
  <c r="H160" i="19" s="1"/>
  <c r="F66" i="21"/>
  <c r="F67" i="21" s="1"/>
  <c r="H224" i="21"/>
  <c r="H266" i="21"/>
  <c r="G118" i="21"/>
  <c r="F222" i="21"/>
  <c r="G222" i="21" s="1"/>
  <c r="E246" i="21"/>
  <c r="E252" i="21"/>
  <c r="E223" i="21"/>
  <c r="H223" i="21" s="1"/>
  <c r="E137" i="21"/>
  <c r="E182" i="21"/>
  <c r="E189" i="21"/>
  <c r="E239" i="21"/>
  <c r="E184" i="21"/>
  <c r="H184" i="21" s="1"/>
  <c r="E33" i="21"/>
  <c r="E62" i="21"/>
  <c r="H62" i="21" s="1"/>
  <c r="E91" i="21"/>
  <c r="E233" i="21"/>
  <c r="E236" i="21"/>
  <c r="H227" i="21"/>
  <c r="E235" i="21"/>
  <c r="E155" i="21"/>
  <c r="E156" i="21"/>
  <c r="E237" i="21"/>
  <c r="E199" i="21"/>
  <c r="E226" i="21"/>
  <c r="H226" i="21" s="1"/>
  <c r="E234" i="21"/>
  <c r="H234" i="21" s="1"/>
  <c r="E159" i="21"/>
  <c r="E16" i="21"/>
  <c r="E163" i="21"/>
  <c r="H163" i="21" s="1"/>
  <c r="E11" i="21"/>
  <c r="G183" i="21"/>
  <c r="G52" i="21"/>
  <c r="E162" i="21"/>
  <c r="H162" i="21" s="1"/>
  <c r="E240" i="21"/>
  <c r="E157" i="21"/>
  <c r="E238" i="21"/>
  <c r="E153" i="21"/>
  <c r="H153" i="21" s="1"/>
  <c r="E187" i="21"/>
  <c r="H187" i="21" s="1"/>
  <c r="E195" i="21"/>
  <c r="E241" i="21"/>
  <c r="H241" i="21" s="1"/>
  <c r="E231" i="21"/>
  <c r="H231" i="21" s="1"/>
  <c r="G131" i="21"/>
  <c r="F132" i="21"/>
  <c r="F120" i="21"/>
  <c r="G119" i="21"/>
  <c r="G185" i="21"/>
  <c r="F186" i="21"/>
  <c r="F210" i="21"/>
  <c r="G209" i="21"/>
  <c r="G159" i="21"/>
  <c r="F160" i="21"/>
  <c r="G144" i="21"/>
  <c r="F145" i="21"/>
  <c r="G184" i="21"/>
  <c r="F223" i="21"/>
  <c r="G143" i="21"/>
  <c r="E110" i="21"/>
  <c r="G130" i="21"/>
  <c r="G208" i="21"/>
  <c r="E104" i="21"/>
  <c r="G78" i="21"/>
  <c r="F170" i="21"/>
  <c r="F261" i="21"/>
  <c r="G158" i="21"/>
  <c r="F196" i="21"/>
  <c r="F235" i="21"/>
  <c r="E179" i="21"/>
  <c r="H182" i="21" s="1"/>
  <c r="E161" i="21"/>
  <c r="H161" i="21" s="1"/>
  <c r="E169" i="21"/>
  <c r="H169" i="21" s="1"/>
  <c r="E173" i="21"/>
  <c r="E222" i="21"/>
  <c r="H222" i="21" s="1"/>
  <c r="F248" i="21"/>
  <c r="H156" i="21"/>
  <c r="E136" i="21"/>
  <c r="E188" i="21"/>
  <c r="H188" i="21" s="1"/>
  <c r="E200" i="21"/>
  <c r="E72" i="21"/>
  <c r="E95" i="2"/>
  <c r="E106" i="2"/>
  <c r="E78" i="2"/>
  <c r="E50" i="2"/>
  <c r="E17" i="2"/>
  <c r="H17" i="2" s="1"/>
  <c r="E23" i="2"/>
  <c r="H28" i="2" s="1"/>
  <c r="E29" i="2"/>
  <c r="E10" i="2"/>
  <c r="E30" i="2"/>
  <c r="E13" i="21"/>
  <c r="E118" i="21"/>
  <c r="E134" i="21"/>
  <c r="E121" i="21"/>
  <c r="G91" i="19"/>
  <c r="F27" i="19"/>
  <c r="F28" i="19" s="1"/>
  <c r="E150" i="19"/>
  <c r="E148" i="19"/>
  <c r="H158" i="19"/>
  <c r="E149" i="19"/>
  <c r="E140" i="19"/>
  <c r="E146" i="19"/>
  <c r="H146" i="19" s="1"/>
  <c r="E143" i="19"/>
  <c r="H143" i="19" s="1"/>
  <c r="E130" i="21"/>
  <c r="E101" i="21"/>
  <c r="H101" i="21" s="1"/>
  <c r="H144" i="19"/>
  <c r="H208" i="19"/>
  <c r="H214" i="19"/>
  <c r="E43" i="19"/>
  <c r="H157" i="19"/>
  <c r="H213" i="19"/>
  <c r="H161" i="19"/>
  <c r="E137" i="19"/>
  <c r="H215" i="19"/>
  <c r="H211" i="19"/>
  <c r="E120" i="19"/>
  <c r="H155" i="19"/>
  <c r="E124" i="19"/>
  <c r="H163" i="19"/>
  <c r="H159" i="19"/>
  <c r="H212" i="19"/>
  <c r="H156" i="19"/>
  <c r="H209" i="19"/>
  <c r="H153" i="19"/>
  <c r="D4" i="21"/>
  <c r="D5" i="21" s="1"/>
  <c r="G27" i="19"/>
  <c r="G39" i="19"/>
  <c r="F53" i="19"/>
  <c r="G92" i="19"/>
  <c r="F93" i="19"/>
  <c r="F119" i="19"/>
  <c r="E129" i="19"/>
  <c r="E130" i="19"/>
  <c r="E122" i="19"/>
  <c r="E136" i="19"/>
  <c r="E133" i="19"/>
  <c r="E131" i="19"/>
  <c r="E118" i="19"/>
  <c r="E127" i="19"/>
  <c r="H135" i="19" s="1"/>
  <c r="E119" i="19"/>
  <c r="E128" i="19"/>
  <c r="E132" i="19"/>
  <c r="E101" i="19"/>
  <c r="H101" i="19" s="1"/>
  <c r="E25" i="19"/>
  <c r="E39" i="19"/>
  <c r="E46" i="19"/>
  <c r="E40" i="19"/>
  <c r="E41" i="19"/>
  <c r="E42" i="19"/>
  <c r="E10" i="19"/>
  <c r="E19" i="19"/>
  <c r="E13" i="19"/>
  <c r="E20" i="19"/>
  <c r="E14" i="21"/>
  <c r="E23" i="21"/>
  <c r="H25" i="21" s="1"/>
  <c r="E29" i="21"/>
  <c r="E103" i="21"/>
  <c r="H103" i="21" s="1"/>
  <c r="H38" i="21"/>
  <c r="E77" i="2"/>
  <c r="G27" i="2"/>
  <c r="F28" i="2"/>
  <c r="G26" i="2"/>
  <c r="G28" i="19"/>
  <c r="F29" i="19"/>
  <c r="F80" i="21"/>
  <c r="G79" i="21"/>
  <c r="G14" i="21"/>
  <c r="F15" i="21"/>
  <c r="E82" i="19"/>
  <c r="E97" i="19"/>
  <c r="E65" i="19"/>
  <c r="E71" i="19"/>
  <c r="E86" i="19"/>
  <c r="E68" i="19"/>
  <c r="E70" i="19"/>
  <c r="E72" i="19"/>
  <c r="E83" i="2"/>
  <c r="E76" i="2"/>
  <c r="E102" i="2"/>
  <c r="E82" i="2"/>
  <c r="E80" i="2"/>
  <c r="E79" i="2"/>
  <c r="E81" i="2"/>
  <c r="E108" i="2"/>
  <c r="E52" i="2"/>
  <c r="E49" i="2"/>
  <c r="H49" i="2" s="1"/>
  <c r="H33" i="21"/>
  <c r="H140" i="2"/>
  <c r="E127" i="2"/>
  <c r="H135" i="2" s="1"/>
  <c r="E86" i="2"/>
  <c r="H146" i="2"/>
  <c r="E129" i="2"/>
  <c r="E135" i="2"/>
  <c r="E27" i="2"/>
  <c r="E36" i="2"/>
  <c r="H38" i="2" s="1"/>
  <c r="E53" i="2"/>
  <c r="H143" i="2"/>
  <c r="H148" i="2"/>
  <c r="E133" i="2"/>
  <c r="E122" i="2"/>
  <c r="H147" i="2"/>
  <c r="H145" i="2"/>
  <c r="E123" i="2"/>
  <c r="H123" i="2" s="1"/>
  <c r="E131" i="2"/>
  <c r="H131" i="2" s="1"/>
  <c r="E134" i="2"/>
  <c r="H134" i="2" s="1"/>
  <c r="E65" i="2"/>
  <c r="H65" i="2" s="1"/>
  <c r="E91" i="2"/>
  <c r="E88" i="2"/>
  <c r="H94" i="2" s="1"/>
  <c r="E117" i="2"/>
  <c r="H117" i="2" s="1"/>
  <c r="H144" i="2"/>
  <c r="E132" i="2"/>
  <c r="E128" i="2"/>
  <c r="E14" i="2"/>
  <c r="H14" i="2" s="1"/>
  <c r="E40" i="2"/>
  <c r="E118" i="2"/>
  <c r="H118" i="2" s="1"/>
  <c r="E130" i="2"/>
  <c r="E93" i="2"/>
  <c r="E115" i="19"/>
  <c r="E121" i="19"/>
  <c r="E103" i="19"/>
  <c r="E106" i="19"/>
  <c r="E111" i="19"/>
  <c r="E12" i="19"/>
  <c r="E18" i="19"/>
  <c r="E32" i="19"/>
  <c r="E88" i="19"/>
  <c r="H97" i="19" s="1"/>
  <c r="E95" i="19"/>
  <c r="E110" i="19"/>
  <c r="E16" i="19"/>
  <c r="E69" i="19"/>
  <c r="E117" i="19"/>
  <c r="E66" i="19"/>
  <c r="E123" i="19"/>
  <c r="E116" i="19"/>
  <c r="E105" i="19"/>
  <c r="E114" i="19"/>
  <c r="H114" i="19" s="1"/>
  <c r="E11" i="19"/>
  <c r="E15" i="19"/>
  <c r="E64" i="19"/>
  <c r="H175" i="21"/>
  <c r="H171" i="21"/>
  <c r="H176" i="21"/>
  <c r="H172" i="21"/>
  <c r="H166" i="21"/>
  <c r="H168" i="21"/>
  <c r="H210" i="21"/>
  <c r="H173" i="21"/>
  <c r="H240" i="21"/>
  <c r="H189" i="21"/>
  <c r="H170" i="21"/>
  <c r="E198" i="21"/>
  <c r="E97" i="21"/>
  <c r="E98" i="21"/>
  <c r="E89" i="21"/>
  <c r="E196" i="21"/>
  <c r="E197" i="21"/>
  <c r="E54" i="21"/>
  <c r="E116" i="21"/>
  <c r="H116" i="21" s="1"/>
  <c r="E119" i="21"/>
  <c r="E127" i="21"/>
  <c r="H127" i="21" s="1"/>
  <c r="E131" i="21"/>
  <c r="E192" i="21"/>
  <c r="H192" i="21" s="1"/>
  <c r="E120" i="21"/>
  <c r="E147" i="21"/>
  <c r="E114" i="21"/>
  <c r="E202" i="21"/>
  <c r="E225" i="21"/>
  <c r="H225" i="21" s="1"/>
  <c r="E43" i="21"/>
  <c r="H43" i="21" s="1"/>
  <c r="E94" i="21"/>
  <c r="E117" i="21"/>
  <c r="E194" i="21"/>
  <c r="E221" i="21"/>
  <c r="H221" i="21" s="1"/>
  <c r="E122" i="21"/>
  <c r="H122" i="21" s="1"/>
  <c r="E135" i="21"/>
  <c r="H135" i="21" s="1"/>
  <c r="E201" i="21"/>
  <c r="E245" i="21"/>
  <c r="E253" i="21"/>
  <c r="E249" i="21"/>
  <c r="E46" i="21"/>
  <c r="H46" i="21" s="1"/>
  <c r="E123" i="21"/>
  <c r="G67" i="21"/>
  <c r="F68" i="21"/>
  <c r="G66" i="21"/>
  <c r="F41" i="21"/>
  <c r="G40" i="21"/>
  <c r="F27" i="21"/>
  <c r="G79" i="2"/>
  <c r="F80" i="2"/>
  <c r="G78" i="2"/>
  <c r="F41" i="2"/>
  <c r="D4" i="19"/>
  <c r="D5" i="19" s="1"/>
  <c r="E92" i="21"/>
  <c r="E57" i="21"/>
  <c r="E49" i="21"/>
  <c r="H49" i="21" s="1"/>
  <c r="E88" i="21"/>
  <c r="H88" i="21" s="1"/>
  <c r="E93" i="21"/>
  <c r="E50" i="21"/>
  <c r="E53" i="21"/>
  <c r="E65" i="21"/>
  <c r="E79" i="21"/>
  <c r="E69" i="21"/>
  <c r="E40" i="21"/>
  <c r="H40" i="21" s="1"/>
  <c r="E26" i="21"/>
  <c r="H41" i="21"/>
  <c r="E12" i="21"/>
  <c r="E17" i="21"/>
  <c r="E31" i="21"/>
  <c r="E19" i="21"/>
  <c r="E96" i="19"/>
  <c r="E104" i="19"/>
  <c r="E90" i="19"/>
  <c r="E62" i="19"/>
  <c r="E91" i="19"/>
  <c r="E94" i="19"/>
  <c r="E89" i="19"/>
  <c r="E92" i="19"/>
  <c r="E108" i="19"/>
  <c r="E109" i="19"/>
  <c r="E53" i="19"/>
  <c r="E26" i="19"/>
  <c r="E107" i="2"/>
  <c r="H10" i="2"/>
  <c r="H12" i="2"/>
  <c r="E26" i="2"/>
  <c r="E31" i="2"/>
  <c r="E56" i="2"/>
  <c r="H120" i="2"/>
  <c r="H119" i="2"/>
  <c r="H121" i="2"/>
  <c r="H114" i="2"/>
  <c r="H122" i="2"/>
  <c r="E32" i="2"/>
  <c r="H32" i="2" s="1"/>
  <c r="E57" i="2"/>
  <c r="E85" i="2"/>
  <c r="E84" i="2"/>
  <c r="E101" i="2"/>
  <c r="H108" i="2" s="1"/>
  <c r="E109" i="2"/>
  <c r="H25" i="2"/>
  <c r="H129" i="2"/>
  <c r="H43" i="2"/>
  <c r="E103" i="2"/>
  <c r="H66" i="2"/>
  <c r="E69" i="2"/>
  <c r="H69" i="2" s="1"/>
  <c r="E75" i="2"/>
  <c r="H83" i="2" s="1"/>
  <c r="E104" i="2"/>
  <c r="H62" i="2"/>
  <c r="H36" i="2"/>
  <c r="E20" i="2"/>
  <c r="H20" i="2" s="1"/>
  <c r="E44" i="2"/>
  <c r="E54" i="2"/>
  <c r="H54" i="2" s="1"/>
  <c r="E70" i="2"/>
  <c r="H70" i="2" s="1"/>
  <c r="E96" i="2"/>
  <c r="H96" i="2" s="1"/>
  <c r="E111" i="2"/>
  <c r="H55" i="2"/>
  <c r="E71" i="2"/>
  <c r="H71" i="2" s="1"/>
  <c r="H33" i="2"/>
  <c r="H15" i="2"/>
  <c r="E64" i="2"/>
  <c r="H64" i="2" s="1"/>
  <c r="E39" i="21"/>
  <c r="H39" i="21" s="1"/>
  <c r="E44" i="21"/>
  <c r="H44" i="21" s="1"/>
  <c r="E59" i="21"/>
  <c r="E86" i="21"/>
  <c r="E124" i="21"/>
  <c r="E143" i="21"/>
  <c r="E160" i="21"/>
  <c r="H160" i="21" s="1"/>
  <c r="E108" i="21"/>
  <c r="H108" i="21" s="1"/>
  <c r="E158" i="21"/>
  <c r="H28" i="21"/>
  <c r="E67" i="21"/>
  <c r="H67" i="21" s="1"/>
  <c r="E84" i="21"/>
  <c r="E90" i="21"/>
  <c r="E95" i="21"/>
  <c r="E140" i="21"/>
  <c r="H140" i="21" s="1"/>
  <c r="E144" i="21"/>
  <c r="E149" i="21"/>
  <c r="E55" i="21"/>
  <c r="E64" i="21"/>
  <c r="H64" i="21" s="1"/>
  <c r="E96" i="21"/>
  <c r="E42" i="21"/>
  <c r="H42" i="21" s="1"/>
  <c r="E145" i="21"/>
  <c r="E15" i="21"/>
  <c r="E142" i="21"/>
  <c r="E81" i="19"/>
  <c r="E58" i="19"/>
  <c r="E54" i="19"/>
  <c r="E67" i="19"/>
  <c r="E83" i="19"/>
  <c r="E80" i="19"/>
  <c r="E36" i="19"/>
  <c r="E55" i="19"/>
  <c r="E98" i="19"/>
  <c r="E75" i="19"/>
  <c r="H75" i="19" s="1"/>
  <c r="E56" i="19"/>
  <c r="E57" i="19"/>
  <c r="E17" i="19"/>
  <c r="E45" i="19"/>
  <c r="E77" i="19"/>
  <c r="E84" i="19"/>
  <c r="E93" i="19"/>
  <c r="E107" i="19"/>
  <c r="E79" i="19"/>
  <c r="E52" i="19"/>
  <c r="E51" i="19"/>
  <c r="E59" i="19"/>
  <c r="E78" i="19"/>
  <c r="E85" i="19"/>
  <c r="G79" i="19"/>
  <c r="F80" i="19"/>
  <c r="G78" i="19"/>
  <c r="F105" i="19"/>
  <c r="G40" i="19"/>
  <c r="F41" i="19"/>
  <c r="G14" i="19"/>
  <c r="F15" i="19"/>
  <c r="G105" i="21"/>
  <c r="F106" i="21"/>
  <c r="G104" i="21"/>
  <c r="F92" i="21"/>
  <c r="F54" i="21"/>
  <c r="G53" i="21"/>
  <c r="E102" i="19"/>
  <c r="E30" i="19"/>
  <c r="E31" i="19"/>
  <c r="E23" i="19"/>
  <c r="H23" i="19" s="1"/>
  <c r="E29" i="19"/>
  <c r="E33" i="19"/>
  <c r="E49" i="19"/>
  <c r="E28" i="19"/>
  <c r="E24" i="19"/>
  <c r="E14" i="19"/>
  <c r="E27" i="19"/>
  <c r="H93" i="2"/>
  <c r="H67" i="2"/>
  <c r="E18" i="2"/>
  <c r="H18" i="2" s="1"/>
  <c r="E19" i="2"/>
  <c r="H19" i="2" s="1"/>
  <c r="E13" i="2"/>
  <c r="H13" i="2" s="1"/>
  <c r="E80" i="21"/>
  <c r="E75" i="21"/>
  <c r="H75" i="21" s="1"/>
  <c r="E77" i="21"/>
  <c r="E81" i="21"/>
  <c r="E109" i="21"/>
  <c r="E70" i="21"/>
  <c r="E82" i="21"/>
  <c r="E71" i="21"/>
  <c r="H71" i="21" s="1"/>
  <c r="E78" i="21"/>
  <c r="E111" i="21"/>
  <c r="E66" i="21"/>
  <c r="H66" i="21" s="1"/>
  <c r="E105" i="21"/>
  <c r="E85" i="21"/>
  <c r="E106" i="21"/>
  <c r="E18" i="21"/>
  <c r="E58" i="21"/>
  <c r="E30" i="21"/>
  <c r="E32" i="21"/>
  <c r="E51" i="21"/>
  <c r="H45" i="21"/>
  <c r="E10" i="21"/>
  <c r="H10" i="21" s="1"/>
  <c r="E52" i="21"/>
  <c r="E56" i="21"/>
  <c r="H114" i="21"/>
  <c r="E76" i="21"/>
  <c r="E148" i="21"/>
  <c r="E141" i="21"/>
  <c r="H253" i="21" l="1"/>
  <c r="H179" i="21"/>
  <c r="H212" i="21"/>
  <c r="H215" i="21"/>
  <c r="H208" i="21"/>
  <c r="H211" i="21"/>
  <c r="H147" i="19"/>
  <c r="G69" i="2"/>
  <c r="F70" i="2"/>
  <c r="F200" i="19"/>
  <c r="G199" i="19"/>
  <c r="G214" i="19"/>
  <c r="F215" i="19"/>
  <c r="G215" i="19" s="1"/>
  <c r="H205" i="21"/>
  <c r="H244" i="21"/>
  <c r="H27" i="2"/>
  <c r="H209" i="21"/>
  <c r="F186" i="19"/>
  <c r="G185" i="19"/>
  <c r="F184" i="2"/>
  <c r="G183" i="2"/>
  <c r="G94" i="2"/>
  <c r="F95" i="2"/>
  <c r="H127" i="2"/>
  <c r="H185" i="21"/>
  <c r="F174" i="19"/>
  <c r="G173" i="19"/>
  <c r="H23" i="2"/>
  <c r="H31" i="2"/>
  <c r="H52" i="2"/>
  <c r="H248" i="21"/>
  <c r="H247" i="21"/>
  <c r="F162" i="19"/>
  <c r="G161" i="19"/>
  <c r="G148" i="19"/>
  <c r="F149" i="19"/>
  <c r="F159" i="2"/>
  <c r="G158" i="2"/>
  <c r="H251" i="21"/>
  <c r="H30" i="2"/>
  <c r="H207" i="21"/>
  <c r="H252" i="21"/>
  <c r="H46" i="2"/>
  <c r="H29" i="2"/>
  <c r="H121" i="21"/>
  <c r="H183" i="21"/>
  <c r="H133" i="2"/>
  <c r="F106" i="2"/>
  <c r="H157" i="21"/>
  <c r="H235" i="21"/>
  <c r="H250" i="21"/>
  <c r="H181" i="2"/>
  <c r="H182" i="2"/>
  <c r="H189" i="2"/>
  <c r="H179" i="2"/>
  <c r="H185" i="2"/>
  <c r="H186" i="2"/>
  <c r="H187" i="2"/>
  <c r="H183" i="2"/>
  <c r="G170" i="2"/>
  <c r="F171" i="2"/>
  <c r="G55" i="2"/>
  <c r="F56" i="2"/>
  <c r="H186" i="21"/>
  <c r="H26" i="2"/>
  <c r="H249" i="21"/>
  <c r="H181" i="21"/>
  <c r="H40" i="2"/>
  <c r="H254" i="21"/>
  <c r="F135" i="2"/>
  <c r="G134" i="2"/>
  <c r="G132" i="19"/>
  <c r="F133" i="19"/>
  <c r="F119" i="2"/>
  <c r="G118" i="2"/>
  <c r="F67" i="19"/>
  <c r="G66" i="19"/>
  <c r="F15" i="2"/>
  <c r="G14" i="2"/>
  <c r="H145" i="19"/>
  <c r="H148" i="19"/>
  <c r="H170" i="19"/>
  <c r="H238" i="21"/>
  <c r="H233" i="21"/>
  <c r="H239" i="21"/>
  <c r="H237" i="21"/>
  <c r="H72" i="21"/>
  <c r="H158" i="21"/>
  <c r="H159" i="21"/>
  <c r="H70" i="21"/>
  <c r="H69" i="21"/>
  <c r="H236" i="21"/>
  <c r="H68" i="21"/>
  <c r="H65" i="21"/>
  <c r="H29" i="21"/>
  <c r="H155" i="21"/>
  <c r="H199" i="21"/>
  <c r="F187" i="21"/>
  <c r="G186" i="21"/>
  <c r="H120" i="21"/>
  <c r="H196" i="21"/>
  <c r="F249" i="21"/>
  <c r="G248" i="21"/>
  <c r="F197" i="21"/>
  <c r="G196" i="21"/>
  <c r="F224" i="21"/>
  <c r="G223" i="21"/>
  <c r="G210" i="21"/>
  <c r="F211" i="21"/>
  <c r="H201" i="21"/>
  <c r="H195" i="21"/>
  <c r="H198" i="21"/>
  <c r="G261" i="21"/>
  <c r="F262" i="21"/>
  <c r="F146" i="21"/>
  <c r="G145" i="21"/>
  <c r="H145" i="21"/>
  <c r="H202" i="21"/>
  <c r="G120" i="21"/>
  <c r="F121" i="21"/>
  <c r="H194" i="21"/>
  <c r="F161" i="21"/>
  <c r="G160" i="21"/>
  <c r="F133" i="21"/>
  <c r="G132" i="21"/>
  <c r="H92" i="21"/>
  <c r="H197" i="21"/>
  <c r="H200" i="21"/>
  <c r="G235" i="21"/>
  <c r="F236" i="21"/>
  <c r="F171" i="21"/>
  <c r="G170" i="21"/>
  <c r="H30" i="21"/>
  <c r="H14" i="21"/>
  <c r="H19" i="21"/>
  <c r="H13" i="19"/>
  <c r="H105" i="2"/>
  <c r="H101" i="2"/>
  <c r="H111" i="2"/>
  <c r="H110" i="2"/>
  <c r="H106" i="2"/>
  <c r="H104" i="2"/>
  <c r="H42" i="2"/>
  <c r="H39" i="2"/>
  <c r="H44" i="2"/>
  <c r="H107" i="21"/>
  <c r="H111" i="21"/>
  <c r="H131" i="21"/>
  <c r="H109" i="21"/>
  <c r="H13" i="21"/>
  <c r="H106" i="21"/>
  <c r="H105" i="21"/>
  <c r="H118" i="21"/>
  <c r="H110" i="21"/>
  <c r="H104" i="21"/>
  <c r="H122" i="19"/>
  <c r="H124" i="19"/>
  <c r="H140" i="19"/>
  <c r="H149" i="19"/>
  <c r="H150" i="19"/>
  <c r="H142" i="19"/>
  <c r="H70" i="19"/>
  <c r="H108" i="19"/>
  <c r="H95" i="21"/>
  <c r="H94" i="21"/>
  <c r="H97" i="21"/>
  <c r="H131" i="19"/>
  <c r="H133" i="19"/>
  <c r="H68" i="19"/>
  <c r="H41" i="19"/>
  <c r="H109" i="19"/>
  <c r="H105" i="19"/>
  <c r="H20" i="19"/>
  <c r="G53" i="19"/>
  <c r="F54" i="19"/>
  <c r="F94" i="19"/>
  <c r="G93" i="19"/>
  <c r="G119" i="19"/>
  <c r="F120" i="19"/>
  <c r="H116" i="19"/>
  <c r="H132" i="19"/>
  <c r="H127" i="19"/>
  <c r="H134" i="19"/>
  <c r="H123" i="19"/>
  <c r="H130" i="19"/>
  <c r="H137" i="19"/>
  <c r="H136" i="19"/>
  <c r="H117" i="19"/>
  <c r="H120" i="19"/>
  <c r="H129" i="19"/>
  <c r="H83" i="19"/>
  <c r="H107" i="19"/>
  <c r="H91" i="19"/>
  <c r="H111" i="19"/>
  <c r="H78" i="19"/>
  <c r="H98" i="19"/>
  <c r="H81" i="19"/>
  <c r="H106" i="19"/>
  <c r="H110" i="19"/>
  <c r="H103" i="19"/>
  <c r="H104" i="19"/>
  <c r="H12" i="19"/>
  <c r="H16" i="19"/>
  <c r="H10" i="19"/>
  <c r="H15" i="19"/>
  <c r="H19" i="19"/>
  <c r="H14" i="19"/>
  <c r="H17" i="19"/>
  <c r="H72" i="19"/>
  <c r="H85" i="19"/>
  <c r="H18" i="19"/>
  <c r="H18" i="21"/>
  <c r="H31" i="21"/>
  <c r="H23" i="21"/>
  <c r="H17" i="21"/>
  <c r="H27" i="21"/>
  <c r="H52" i="21"/>
  <c r="H59" i="21"/>
  <c r="H20" i="21"/>
  <c r="H55" i="21"/>
  <c r="H12" i="21"/>
  <c r="H16" i="21"/>
  <c r="H51" i="21"/>
  <c r="H15" i="21"/>
  <c r="H58" i="21"/>
  <c r="H32" i="21"/>
  <c r="H26" i="21"/>
  <c r="H56" i="21"/>
  <c r="F107" i="2"/>
  <c r="G106" i="2"/>
  <c r="F29" i="2"/>
  <c r="G28" i="2"/>
  <c r="F30" i="19"/>
  <c r="G29" i="19"/>
  <c r="F81" i="21"/>
  <c r="G80" i="21"/>
  <c r="F16" i="21"/>
  <c r="G15" i="21"/>
  <c r="H88" i="19"/>
  <c r="H79" i="19"/>
  <c r="H96" i="19"/>
  <c r="H27" i="19"/>
  <c r="H90" i="2"/>
  <c r="H91" i="2"/>
  <c r="H92" i="2"/>
  <c r="H98" i="2"/>
  <c r="H95" i="2"/>
  <c r="H97" i="2"/>
  <c r="H88" i="2"/>
  <c r="H84" i="2"/>
  <c r="H57" i="2"/>
  <c r="H41" i="2"/>
  <c r="H45" i="2"/>
  <c r="H53" i="2"/>
  <c r="H56" i="2"/>
  <c r="H98" i="21"/>
  <c r="H57" i="21"/>
  <c r="H54" i="21"/>
  <c r="H109" i="2"/>
  <c r="H132" i="2"/>
  <c r="H107" i="2"/>
  <c r="H137" i="2"/>
  <c r="H130" i="2"/>
  <c r="H136" i="2"/>
  <c r="H90" i="19"/>
  <c r="H95" i="19"/>
  <c r="H93" i="19"/>
  <c r="H69" i="19"/>
  <c r="H64" i="19"/>
  <c r="H62" i="19"/>
  <c r="H67" i="19"/>
  <c r="H92" i="19"/>
  <c r="H118" i="19"/>
  <c r="H66" i="19"/>
  <c r="H119" i="19"/>
  <c r="H65" i="19"/>
  <c r="H71" i="19"/>
  <c r="H94" i="19"/>
  <c r="H121" i="19"/>
  <c r="H147" i="21"/>
  <c r="H119" i="21"/>
  <c r="H91" i="21"/>
  <c r="H132" i="21"/>
  <c r="H117" i="21"/>
  <c r="H137" i="21"/>
  <c r="H124" i="21"/>
  <c r="H123" i="21"/>
  <c r="H142" i="21"/>
  <c r="H134" i="21"/>
  <c r="H144" i="21"/>
  <c r="H90" i="21"/>
  <c r="H150" i="21"/>
  <c r="H136" i="21"/>
  <c r="H130" i="21"/>
  <c r="H133" i="21"/>
  <c r="H53" i="21"/>
  <c r="H129" i="21"/>
  <c r="F69" i="21"/>
  <c r="G68" i="21"/>
  <c r="G41" i="21"/>
  <c r="F42" i="21"/>
  <c r="G27" i="21"/>
  <c r="F28" i="21"/>
  <c r="G80" i="2"/>
  <c r="F81" i="2"/>
  <c r="F42" i="2"/>
  <c r="G41" i="2"/>
  <c r="H93" i="21"/>
  <c r="H96" i="21"/>
  <c r="H81" i="21"/>
  <c r="H80" i="19"/>
  <c r="H84" i="19"/>
  <c r="H45" i="19"/>
  <c r="H78" i="2"/>
  <c r="H77" i="2"/>
  <c r="H75" i="2"/>
  <c r="H103" i="2"/>
  <c r="H81" i="2"/>
  <c r="H85" i="2"/>
  <c r="H82" i="2"/>
  <c r="H79" i="2"/>
  <c r="H80" i="2"/>
  <c r="H146" i="21"/>
  <c r="H143" i="21"/>
  <c r="H149" i="21"/>
  <c r="H148" i="21"/>
  <c r="H32" i="19"/>
  <c r="H44" i="19"/>
  <c r="H42" i="19"/>
  <c r="H36" i="19"/>
  <c r="H28" i="19"/>
  <c r="H43" i="19"/>
  <c r="H39" i="19"/>
  <c r="H82" i="19"/>
  <c r="H46" i="19"/>
  <c r="H38" i="19"/>
  <c r="H77" i="19"/>
  <c r="H40" i="19"/>
  <c r="F81" i="19"/>
  <c r="G80" i="19"/>
  <c r="G105" i="19"/>
  <c r="F106" i="19"/>
  <c r="F42" i="19"/>
  <c r="G41" i="19"/>
  <c r="F16" i="19"/>
  <c r="G15" i="19"/>
  <c r="G106" i="21"/>
  <c r="F107" i="21"/>
  <c r="G92" i="21"/>
  <c r="F93" i="21"/>
  <c r="G54" i="21"/>
  <c r="F55" i="21"/>
  <c r="H56" i="19"/>
  <c r="H49" i="19"/>
  <c r="H54" i="19"/>
  <c r="H51" i="19"/>
  <c r="H53" i="19"/>
  <c r="H57" i="19"/>
  <c r="H59" i="19"/>
  <c r="H33" i="19"/>
  <c r="H29" i="19"/>
  <c r="H31" i="19"/>
  <c r="H58" i="19"/>
  <c r="H55" i="19"/>
  <c r="H26" i="19"/>
  <c r="H30" i="19"/>
  <c r="H52" i="19"/>
  <c r="H25" i="19"/>
  <c r="H83" i="21"/>
  <c r="H80" i="21"/>
  <c r="H84" i="21"/>
  <c r="H78" i="21"/>
  <c r="H79" i="21"/>
  <c r="H85" i="21"/>
  <c r="H82" i="21"/>
  <c r="H77" i="21"/>
  <c r="F185" i="2" l="1"/>
  <c r="G184" i="2"/>
  <c r="F172" i="2"/>
  <c r="G171" i="2"/>
  <c r="G135" i="2"/>
  <c r="F136" i="2"/>
  <c r="F175" i="19"/>
  <c r="G174" i="19"/>
  <c r="F201" i="19"/>
  <c r="G200" i="19"/>
  <c r="F68" i="19"/>
  <c r="G67" i="19"/>
  <c r="F120" i="2"/>
  <c r="G119" i="2"/>
  <c r="F160" i="2"/>
  <c r="G159" i="2"/>
  <c r="G70" i="2"/>
  <c r="F71" i="2"/>
  <c r="F187" i="19"/>
  <c r="G186" i="19"/>
  <c r="F134" i="19"/>
  <c r="G133" i="19"/>
  <c r="F57" i="2"/>
  <c r="G56" i="2"/>
  <c r="G149" i="19"/>
  <c r="F150" i="19"/>
  <c r="G150" i="19" s="1"/>
  <c r="G95" i="2"/>
  <c r="F96" i="2"/>
  <c r="F163" i="19"/>
  <c r="G163" i="19" s="1"/>
  <c r="G162" i="19"/>
  <c r="G15" i="2"/>
  <c r="F16" i="2"/>
  <c r="F122" i="21"/>
  <c r="G121" i="21"/>
  <c r="F198" i="21"/>
  <c r="G197" i="21"/>
  <c r="G211" i="21"/>
  <c r="F212" i="21"/>
  <c r="F134" i="21"/>
  <c r="G133" i="21"/>
  <c r="F172" i="21"/>
  <c r="G171" i="21"/>
  <c r="F147" i="21"/>
  <c r="G146" i="21"/>
  <c r="F237" i="21"/>
  <c r="G236" i="21"/>
  <c r="G161" i="21"/>
  <c r="F162" i="21"/>
  <c r="G262" i="21"/>
  <c r="F263" i="21"/>
  <c r="F225" i="21"/>
  <c r="G224" i="21"/>
  <c r="G187" i="21"/>
  <c r="F188" i="21"/>
  <c r="F250" i="21"/>
  <c r="G249" i="21"/>
  <c r="F55" i="19"/>
  <c r="G54" i="19"/>
  <c r="G94" i="19"/>
  <c r="F95" i="19"/>
  <c r="F121" i="19"/>
  <c r="G120" i="19"/>
  <c r="G107" i="2"/>
  <c r="F108" i="2"/>
  <c r="G29" i="2"/>
  <c r="F30" i="2"/>
  <c r="F31" i="19"/>
  <c r="G30" i="19"/>
  <c r="F82" i="21"/>
  <c r="G81" i="21"/>
  <c r="G16" i="21"/>
  <c r="F17" i="21"/>
  <c r="F70" i="21"/>
  <c r="G69" i="21"/>
  <c r="F43" i="21"/>
  <c r="G42" i="21"/>
  <c r="F29" i="21"/>
  <c r="G28" i="21"/>
  <c r="F82" i="2"/>
  <c r="G81" i="2"/>
  <c r="G42" i="2"/>
  <c r="F43" i="2"/>
  <c r="G81" i="19"/>
  <c r="F82" i="19"/>
  <c r="F107" i="19"/>
  <c r="G106" i="19"/>
  <c r="F43" i="19"/>
  <c r="G42" i="19"/>
  <c r="F17" i="19"/>
  <c r="G16" i="19"/>
  <c r="G107" i="21"/>
  <c r="F108" i="21"/>
  <c r="G93" i="21"/>
  <c r="F94" i="21"/>
  <c r="F56" i="21"/>
  <c r="G55" i="21"/>
  <c r="G187" i="19" l="1"/>
  <c r="F188" i="19"/>
  <c r="G201" i="19"/>
  <c r="F202" i="19"/>
  <c r="G202" i="19" s="1"/>
  <c r="G175" i="19"/>
  <c r="F176" i="19"/>
  <c r="G176" i="19" s="1"/>
  <c r="F137" i="2"/>
  <c r="G137" i="2" s="1"/>
  <c r="G136" i="2"/>
  <c r="F121" i="2"/>
  <c r="G120" i="2"/>
  <c r="F186" i="2"/>
  <c r="G185" i="2"/>
  <c r="G71" i="2"/>
  <c r="F72" i="2"/>
  <c r="G72" i="2" s="1"/>
  <c r="G172" i="2"/>
  <c r="F173" i="2"/>
  <c r="F97" i="2"/>
  <c r="G96" i="2"/>
  <c r="F58" i="2"/>
  <c r="G57" i="2"/>
  <c r="G134" i="19"/>
  <c r="F135" i="19"/>
  <c r="F161" i="2"/>
  <c r="G160" i="2"/>
  <c r="G68" i="19"/>
  <c r="F69" i="19"/>
  <c r="F17" i="2"/>
  <c r="G16" i="2"/>
  <c r="G134" i="21"/>
  <c r="F135" i="21"/>
  <c r="G212" i="21"/>
  <c r="F213" i="21"/>
  <c r="G237" i="21"/>
  <c r="F238" i="21"/>
  <c r="G225" i="21"/>
  <c r="F226" i="21"/>
  <c r="F148" i="21"/>
  <c r="G147" i="21"/>
  <c r="G198" i="21"/>
  <c r="F199" i="21"/>
  <c r="G162" i="21"/>
  <c r="F163" i="21"/>
  <c r="G163" i="21" s="1"/>
  <c r="F189" i="21"/>
  <c r="G189" i="21" s="1"/>
  <c r="G188" i="21"/>
  <c r="F264" i="21"/>
  <c r="G263" i="21"/>
  <c r="G250" i="21"/>
  <c r="F251" i="21"/>
  <c r="F173" i="21"/>
  <c r="G172" i="21"/>
  <c r="F123" i="21"/>
  <c r="G122" i="21"/>
  <c r="F56" i="19"/>
  <c r="G55" i="19"/>
  <c r="F96" i="19"/>
  <c r="G95" i="19"/>
  <c r="G121" i="19"/>
  <c r="F122" i="19"/>
  <c r="G108" i="2"/>
  <c r="F109" i="2"/>
  <c r="F31" i="2"/>
  <c r="G30" i="2"/>
  <c r="G31" i="19"/>
  <c r="F32" i="19"/>
  <c r="F83" i="21"/>
  <c r="G82" i="21"/>
  <c r="F18" i="21"/>
  <c r="G17" i="21"/>
  <c r="G70" i="21"/>
  <c r="F71" i="21"/>
  <c r="G43" i="21"/>
  <c r="F44" i="21"/>
  <c r="G29" i="21"/>
  <c r="F30" i="21"/>
  <c r="G82" i="2"/>
  <c r="F83" i="2"/>
  <c r="F44" i="2"/>
  <c r="G43" i="2"/>
  <c r="G82" i="19"/>
  <c r="F83" i="19"/>
  <c r="G107" i="19"/>
  <c r="F108" i="19"/>
  <c r="F44" i="19"/>
  <c r="G43" i="19"/>
  <c r="F18" i="19"/>
  <c r="G17" i="19"/>
  <c r="G108" i="21"/>
  <c r="F109" i="21"/>
  <c r="G94" i="21"/>
  <c r="F95" i="21"/>
  <c r="G56" i="21"/>
  <c r="F57" i="21"/>
  <c r="G135" i="19" l="1"/>
  <c r="F136" i="19"/>
  <c r="F187" i="2"/>
  <c r="G186" i="2"/>
  <c r="F189" i="19"/>
  <c r="G189" i="19" s="1"/>
  <c r="G188" i="19"/>
  <c r="F162" i="2"/>
  <c r="G161" i="2"/>
  <c r="F59" i="2"/>
  <c r="G59" i="2" s="1"/>
  <c r="G58" i="2"/>
  <c r="F122" i="2"/>
  <c r="G121" i="2"/>
  <c r="G69" i="19"/>
  <c r="F70" i="19"/>
  <c r="F174" i="2"/>
  <c r="G173" i="2"/>
  <c r="F98" i="2"/>
  <c r="G98" i="2" s="1"/>
  <c r="G97" i="2"/>
  <c r="F18" i="2"/>
  <c r="G17" i="2"/>
  <c r="F227" i="21"/>
  <c r="G226" i="21"/>
  <c r="G173" i="21"/>
  <c r="F174" i="21"/>
  <c r="F252" i="21"/>
  <c r="G251" i="21"/>
  <c r="F200" i="21"/>
  <c r="G199" i="21"/>
  <c r="G213" i="21"/>
  <c r="F214" i="21"/>
  <c r="G135" i="21"/>
  <c r="F136" i="21"/>
  <c r="G123" i="21"/>
  <c r="F124" i="21"/>
  <c r="G124" i="21" s="1"/>
  <c r="F239" i="21"/>
  <c r="G238" i="21"/>
  <c r="F265" i="21"/>
  <c r="G264" i="21"/>
  <c r="G148" i="21"/>
  <c r="F149" i="21"/>
  <c r="G56" i="19"/>
  <c r="F57" i="19"/>
  <c r="G96" i="19"/>
  <c r="F97" i="19"/>
  <c r="G122" i="19"/>
  <c r="F123" i="19"/>
  <c r="F110" i="2"/>
  <c r="G109" i="2"/>
  <c r="G31" i="2"/>
  <c r="F32" i="2"/>
  <c r="G32" i="19"/>
  <c r="F33" i="19"/>
  <c r="G33" i="19" s="1"/>
  <c r="F84" i="21"/>
  <c r="G83" i="21"/>
  <c r="G18" i="21"/>
  <c r="F19" i="21"/>
  <c r="F72" i="21"/>
  <c r="G72" i="21" s="1"/>
  <c r="G71" i="21"/>
  <c r="F45" i="21"/>
  <c r="G44" i="21"/>
  <c r="F31" i="21"/>
  <c r="G30" i="21"/>
  <c r="G83" i="2"/>
  <c r="F84" i="2"/>
  <c r="G44" i="2"/>
  <c r="F45" i="2"/>
  <c r="G83" i="19"/>
  <c r="F84" i="19"/>
  <c r="G108" i="19"/>
  <c r="F109" i="19"/>
  <c r="G44" i="19"/>
  <c r="F45" i="19"/>
  <c r="F19" i="19"/>
  <c r="G18" i="19"/>
  <c r="F110" i="21"/>
  <c r="G109" i="21"/>
  <c r="F96" i="21"/>
  <c r="G95" i="21"/>
  <c r="G57" i="21"/>
  <c r="F58" i="21"/>
  <c r="F137" i="19" l="1"/>
  <c r="G137" i="19" s="1"/>
  <c r="G136" i="19"/>
  <c r="F123" i="2"/>
  <c r="G122" i="2"/>
  <c r="G162" i="2"/>
  <c r="F163" i="2"/>
  <c r="G163" i="2" s="1"/>
  <c r="G174" i="2"/>
  <c r="F175" i="2"/>
  <c r="G70" i="19"/>
  <c r="F71" i="19"/>
  <c r="F188" i="2"/>
  <c r="G187" i="2"/>
  <c r="F19" i="2"/>
  <c r="G18" i="2"/>
  <c r="F201" i="21"/>
  <c r="G200" i="21"/>
  <c r="G252" i="21"/>
  <c r="F253" i="21"/>
  <c r="G149" i="21"/>
  <c r="F150" i="21"/>
  <c r="G150" i="21" s="1"/>
  <c r="F137" i="21"/>
  <c r="G137" i="21" s="1"/>
  <c r="G136" i="21"/>
  <c r="F175" i="21"/>
  <c r="G174" i="21"/>
  <c r="F240" i="21"/>
  <c r="G239" i="21"/>
  <c r="G214" i="21"/>
  <c r="F215" i="21"/>
  <c r="G215" i="21" s="1"/>
  <c r="G265" i="21"/>
  <c r="F266" i="21"/>
  <c r="G227" i="21"/>
  <c r="F228" i="21"/>
  <c r="G228" i="21" s="1"/>
  <c r="F58" i="19"/>
  <c r="G57" i="19"/>
  <c r="F98" i="19"/>
  <c r="G98" i="19" s="1"/>
  <c r="G97" i="19"/>
  <c r="F124" i="19"/>
  <c r="G124" i="19" s="1"/>
  <c r="G123" i="19"/>
  <c r="F111" i="2"/>
  <c r="G111" i="2" s="1"/>
  <c r="G110" i="2"/>
  <c r="F33" i="2"/>
  <c r="G33" i="2" s="1"/>
  <c r="G32" i="2"/>
  <c r="F85" i="21"/>
  <c r="G85" i="21" s="1"/>
  <c r="G84" i="21"/>
  <c r="G19" i="21"/>
  <c r="F20" i="21"/>
  <c r="G20" i="21" s="1"/>
  <c r="G45" i="21"/>
  <c r="F46" i="21"/>
  <c r="G46" i="21" s="1"/>
  <c r="F32" i="21"/>
  <c r="G31" i="21"/>
  <c r="G84" i="2"/>
  <c r="F85" i="2"/>
  <c r="G85" i="2" s="1"/>
  <c r="F46" i="2"/>
  <c r="G46" i="2" s="1"/>
  <c r="G45" i="2"/>
  <c r="F85" i="19"/>
  <c r="G85" i="19" s="1"/>
  <c r="G84" i="19"/>
  <c r="F110" i="19"/>
  <c r="G109" i="19"/>
  <c r="G45" i="19"/>
  <c r="F46" i="19"/>
  <c r="G46" i="19" s="1"/>
  <c r="G19" i="19"/>
  <c r="F20" i="19"/>
  <c r="G20" i="19" s="1"/>
  <c r="G110" i="21"/>
  <c r="F111" i="21"/>
  <c r="G111" i="21" s="1"/>
  <c r="F97" i="21"/>
  <c r="G96" i="21"/>
  <c r="F59" i="21"/>
  <c r="G59" i="21" s="1"/>
  <c r="G58" i="21"/>
  <c r="F124" i="2" l="1"/>
  <c r="G124" i="2" s="1"/>
  <c r="G123" i="2"/>
  <c r="G175" i="2"/>
  <c r="F176" i="2"/>
  <c r="G176" i="2" s="1"/>
  <c r="G71" i="19"/>
  <c r="F72" i="19"/>
  <c r="G72" i="19" s="1"/>
  <c r="F189" i="2"/>
  <c r="G189" i="2" s="1"/>
  <c r="G188" i="2"/>
  <c r="G19" i="2"/>
  <c r="F20" i="2"/>
  <c r="G20" i="2" s="1"/>
  <c r="F267" i="21"/>
  <c r="G267" i="21" s="1"/>
  <c r="G266" i="21"/>
  <c r="F254" i="21"/>
  <c r="G254" i="21" s="1"/>
  <c r="G253" i="21"/>
  <c r="F241" i="21"/>
  <c r="G241" i="21" s="1"/>
  <c r="G240" i="21"/>
  <c r="F176" i="21"/>
  <c r="G176" i="21" s="1"/>
  <c r="G175" i="21"/>
  <c r="G201" i="21"/>
  <c r="F202" i="21"/>
  <c r="G202" i="21" s="1"/>
  <c r="F59" i="19"/>
  <c r="G59" i="19" s="1"/>
  <c r="G58" i="19"/>
  <c r="F33" i="21"/>
  <c r="G33" i="21" s="1"/>
  <c r="G32" i="21"/>
  <c r="F111" i="19"/>
  <c r="G111" i="19" s="1"/>
  <c r="G110" i="19"/>
  <c r="G97" i="21"/>
  <c r="F98" i="21"/>
  <c r="G98" i="21" s="1"/>
</calcChain>
</file>

<file path=xl/sharedStrings.xml><?xml version="1.0" encoding="utf-8"?>
<sst xmlns="http://schemas.openxmlformats.org/spreadsheetml/2006/main" count="2492" uniqueCount="876">
  <si>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</si>
  <si>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</si>
  <si>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</si>
  <si>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</si>
  <si>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</si>
  <si>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</si>
  <si>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</si>
  <si>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</si>
  <si>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</si>
  <si>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</si>
  <si>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</si>
  <si>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</si>
  <si>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</si>
  <si>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</si>
  <si>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</si>
  <si>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</si>
  <si>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</si>
  <si>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</si>
  <si>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</si>
  <si>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</si>
  <si>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</si>
  <si>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</si>
  <si>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</si>
  <si>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</si>
  <si>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</si>
  <si>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</si>
  <si>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</si>
  <si>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</si>
  <si>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</si>
  <si>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</si>
  <si>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</si>
  <si>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</si>
  <si>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</si>
  <si>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</si>
  <si>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</si>
  <si>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</si>
  <si>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</si>
  <si>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</si>
  <si>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</si>
  <si>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</si>
  <si>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</si>
  <si>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</si>
  <si>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</si>
  <si>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</si>
  <si>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</si>
  <si>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</si>
  <si>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</si>
  <si>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</si>
  <si>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</si>
  <si>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</si>
  <si>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</si>
  <si>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</si>
  <si>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</si>
  <si>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</si>
  <si>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</si>
  <si>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</si>
  <si>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</si>
  <si>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</si>
  <si>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</si>
  <si>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</si>
  <si>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</si>
  <si>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</si>
  <si>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</si>
  <si>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</si>
  <si>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</si>
  <si>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</si>
  <si>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</si>
  <si>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</si>
  <si>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</si>
  <si>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</si>
  <si>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</si>
  <si>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</si>
  <si>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</si>
  <si>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</si>
  <si>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</si>
  <si>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</si>
  <si>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</si>
  <si>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</si>
  <si>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</si>
  <si>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</si>
  <si>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</si>
  <si>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</si>
  <si>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</si>
  <si>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</si>
  <si>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</si>
  <si>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</si>
  <si>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</si>
  <si>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</si>
  <si>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</si>
  <si>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</si>
  <si>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</si>
  <si>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</si>
  <si>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</si>
  <si>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</si>
  <si>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</si>
  <si>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</si>
  <si>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Date expt</t>
  </si>
  <si>
    <t>Ci/pmol</t>
  </si>
  <si>
    <t>cpm/pmol</t>
  </si>
  <si>
    <t>ml vol</t>
  </si>
  <si>
    <t>cpm added</t>
  </si>
  <si>
    <t>average</t>
  </si>
  <si>
    <t>specific</t>
  </si>
  <si>
    <t>[drug]</t>
  </si>
  <si>
    <t>log [drug]</t>
  </si>
  <si>
    <t>% total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</si>
  <si>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</si>
  <si>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</si>
  <si>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</si>
  <si>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</si>
  <si>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</si>
  <si>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</si>
  <si>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</si>
  <si>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</si>
  <si>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 xml:space="preserve">pM </t>
  </si>
  <si>
    <t>set 9</t>
  </si>
  <si>
    <t>set 10</t>
  </si>
  <si>
    <t>set 11</t>
  </si>
  <si>
    <t>set 12</t>
  </si>
  <si>
    <t>DOR</t>
  </si>
  <si>
    <t>hKOR cells</t>
  </si>
  <si>
    <t>[3H]DAMGO</t>
  </si>
  <si>
    <t>hMOR cells</t>
  </si>
  <si>
    <t>[3H] DPDPE</t>
  </si>
  <si>
    <t>hDOR cells</t>
  </si>
  <si>
    <t>set 13</t>
  </si>
  <si>
    <t>set 14</t>
  </si>
  <si>
    <t>set 15</t>
  </si>
  <si>
    <t>set 16</t>
  </si>
  <si>
    <t>set 17</t>
  </si>
  <si>
    <t>set 18</t>
  </si>
  <si>
    <t>set 19</t>
  </si>
  <si>
    <t>set 20</t>
  </si>
  <si>
    <t>RUN INFORMATION:</t>
  </si>
  <si>
    <t>================</t>
  </si>
  <si>
    <t>CPM normalization protocol no: 91</t>
  </si>
  <si>
    <t>COLUMNS:</t>
  </si>
  <si>
    <t>========</t>
  </si>
  <si>
    <t xml:space="preserve"> </t>
  </si>
  <si>
    <t>SAMPLE</t>
  </si>
  <si>
    <t>POS</t>
  </si>
  <si>
    <t>CCPM1</t>
  </si>
  <si>
    <t>CCPM1%</t>
  </si>
  <si>
    <t>Unk_1</t>
  </si>
  <si>
    <t>Unk_2</t>
  </si>
  <si>
    <t>Unk_3</t>
  </si>
  <si>
    <t>Unk_4</t>
  </si>
  <si>
    <t>Unk_5</t>
  </si>
  <si>
    <t>Unk_6</t>
  </si>
  <si>
    <t>Unk_7</t>
  </si>
  <si>
    <t>Unk_8</t>
  </si>
  <si>
    <t>Unk_9</t>
  </si>
  <si>
    <t>Unk_10</t>
  </si>
  <si>
    <t>Unk_11</t>
  </si>
  <si>
    <t>Unk_12</t>
  </si>
  <si>
    <t>Unk_13</t>
  </si>
  <si>
    <t>Unk_14</t>
  </si>
  <si>
    <t>Unk_15</t>
  </si>
  <si>
    <t>Unk_16</t>
  </si>
  <si>
    <t>Unk_17</t>
  </si>
  <si>
    <t>Unk_18</t>
  </si>
  <si>
    <t>Unk_19</t>
  </si>
  <si>
    <t>Unk_20</t>
  </si>
  <si>
    <t>Unk_21</t>
  </si>
  <si>
    <t>Unk_22</t>
  </si>
  <si>
    <t>Unk_23</t>
  </si>
  <si>
    <t>Unk_24</t>
  </si>
  <si>
    <t>Unk_25</t>
  </si>
  <si>
    <t>Unk_26</t>
  </si>
  <si>
    <t>Unk_27</t>
  </si>
  <si>
    <t>Unk_28</t>
  </si>
  <si>
    <t>Unk_29</t>
  </si>
  <si>
    <t>Unk_30</t>
  </si>
  <si>
    <t>Unk_31</t>
  </si>
  <si>
    <t>Unk_32</t>
  </si>
  <si>
    <t>Unk_33</t>
  </si>
  <si>
    <t>Unk_34</t>
  </si>
  <si>
    <t>Unk_35</t>
  </si>
  <si>
    <t>Unk_36</t>
  </si>
  <si>
    <t>Unk_37</t>
  </si>
  <si>
    <t>Unk_38</t>
  </si>
  <si>
    <t>Unk_39</t>
  </si>
  <si>
    <t>Unk_40</t>
  </si>
  <si>
    <t>Unk_41</t>
  </si>
  <si>
    <t>Unk_42</t>
  </si>
  <si>
    <t>Unk_43</t>
  </si>
  <si>
    <t>Unk_44</t>
  </si>
  <si>
    <t>Unk_45</t>
  </si>
  <si>
    <t>Unk_46</t>
  </si>
  <si>
    <t>Unk_47</t>
  </si>
  <si>
    <t>Unk_48</t>
  </si>
  <si>
    <t>Unk_49</t>
  </si>
  <si>
    <t>Unk_50</t>
  </si>
  <si>
    <t>Unk_51</t>
  </si>
  <si>
    <t>Unk_52</t>
  </si>
  <si>
    <t>Unk_53</t>
  </si>
  <si>
    <t>Unk_54</t>
  </si>
  <si>
    <t>Unk_55</t>
  </si>
  <si>
    <t>Unk_56</t>
  </si>
  <si>
    <t>Unk_57</t>
  </si>
  <si>
    <t>Unk_58</t>
  </si>
  <si>
    <t>Unk_59</t>
  </si>
  <si>
    <t>Unk_60</t>
  </si>
  <si>
    <t>Unk_61</t>
  </si>
  <si>
    <t>Unk_62</t>
  </si>
  <si>
    <t>Unk_63</t>
  </si>
  <si>
    <t>Unk_64</t>
  </si>
  <si>
    <t>Unk_65</t>
  </si>
  <si>
    <t>Unk_66</t>
  </si>
  <si>
    <t>Unk_67</t>
  </si>
  <si>
    <t>Unk_68</t>
  </si>
  <si>
    <t>Unk_69</t>
  </si>
  <si>
    <t>Unk_70</t>
  </si>
  <si>
    <t>Unk_71</t>
  </si>
  <si>
    <t>Unk_72</t>
  </si>
  <si>
    <t>Unk_73</t>
  </si>
  <si>
    <t>Unk_74</t>
  </si>
  <si>
    <t>Unk_75</t>
  </si>
  <si>
    <t>Unk_76</t>
  </si>
  <si>
    <t>Unk_77</t>
  </si>
  <si>
    <t>Unk_78</t>
  </si>
  <si>
    <t>Unk_79</t>
  </si>
  <si>
    <t>Unk_80</t>
  </si>
  <si>
    <t>Unk_81</t>
  </si>
  <si>
    <t>Unk_82</t>
  </si>
  <si>
    <t>Unk_83</t>
  </si>
  <si>
    <t>Unk_84</t>
  </si>
  <si>
    <t>Unk_85</t>
  </si>
  <si>
    <t>Unk_86</t>
  </si>
  <si>
    <t>Unk_87</t>
  </si>
  <si>
    <t>Unk_88</t>
  </si>
  <si>
    <t>Unk_89</t>
  </si>
  <si>
    <t>Unk_90</t>
  </si>
  <si>
    <t>Unk_91</t>
  </si>
  <si>
    <t>Unk_92</t>
  </si>
  <si>
    <t>Unk_93</t>
  </si>
  <si>
    <t>Unk_94</t>
  </si>
  <si>
    <t>Unk_95</t>
  </si>
  <si>
    <t>Unk_96</t>
  </si>
  <si>
    <t>Unk_97</t>
  </si>
  <si>
    <t>Unk_98</t>
  </si>
  <si>
    <t>Unk_99</t>
  </si>
  <si>
    <t>Unk_100</t>
  </si>
  <si>
    <t>Unk_101</t>
  </si>
  <si>
    <t>Unk_102</t>
  </si>
  <si>
    <t>Unk_103</t>
  </si>
  <si>
    <t>Unk_104</t>
  </si>
  <si>
    <t>Unk_105</t>
  </si>
  <si>
    <t>Unk_106</t>
  </si>
  <si>
    <t>Unk_107</t>
  </si>
  <si>
    <t>Unk_108</t>
  </si>
  <si>
    <t>Unk_109</t>
  </si>
  <si>
    <t>Unk_110</t>
  </si>
  <si>
    <t>Unk_111</t>
  </si>
  <si>
    <t>Unk_112</t>
  </si>
  <si>
    <t>Unk_113</t>
  </si>
  <si>
    <t>Unk_114</t>
  </si>
  <si>
    <t>Unk_115</t>
  </si>
  <si>
    <t>Unk_116</t>
  </si>
  <si>
    <t>Unk_117</t>
  </si>
  <si>
    <t>Unk_118</t>
  </si>
  <si>
    <t>Unk_119</t>
  </si>
  <si>
    <t>Unk_120</t>
  </si>
  <si>
    <t>Unk_121</t>
  </si>
  <si>
    <t>Unk_122</t>
  </si>
  <si>
    <t>Unk_123</t>
  </si>
  <si>
    <t>Unk_124</t>
  </si>
  <si>
    <t>Unk_125</t>
  </si>
  <si>
    <t>Unk_126</t>
  </si>
  <si>
    <t>Unk_127</t>
  </si>
  <si>
    <t>Unk_128</t>
  </si>
  <si>
    <t>Unk_129</t>
  </si>
  <si>
    <t>Unk_130</t>
  </si>
  <si>
    <t>Unk_131</t>
  </si>
  <si>
    <t>Unk_132</t>
  </si>
  <si>
    <t>Unk_133</t>
  </si>
  <si>
    <t>Unk_134</t>
  </si>
  <si>
    <t>Unk_135</t>
  </si>
  <si>
    <t>Unk_136</t>
  </si>
  <si>
    <t>Unk_137</t>
  </si>
  <si>
    <t>Unk_138</t>
  </si>
  <si>
    <t>Unk_139</t>
  </si>
  <si>
    <t>Unk_140</t>
  </si>
  <si>
    <t>Unk_141</t>
  </si>
  <si>
    <t>Unk_142</t>
  </si>
  <si>
    <t>Unk_143</t>
  </si>
  <si>
    <t>Unk_144</t>
  </si>
  <si>
    <t>Unk_145</t>
  </si>
  <si>
    <t>Unk_146</t>
  </si>
  <si>
    <t>Unk_147</t>
  </si>
  <si>
    <t>Unk_148</t>
  </si>
  <si>
    <t>Unk_149</t>
  </si>
  <si>
    <t>Unk_150</t>
  </si>
  <si>
    <t>Unk_151</t>
  </si>
  <si>
    <t>Unk_152</t>
  </si>
  <si>
    <t>Unk_153</t>
  </si>
  <si>
    <t>Unk_154</t>
  </si>
  <si>
    <t>Unk_155</t>
  </si>
  <si>
    <t>Unk_156</t>
  </si>
  <si>
    <t>Unk_157</t>
  </si>
  <si>
    <t>Unk_158</t>
  </si>
  <si>
    <t>Unk_159</t>
  </si>
  <si>
    <t>Unk_160</t>
  </si>
  <si>
    <t>Unk_161</t>
  </si>
  <si>
    <t>Unk_162</t>
  </si>
  <si>
    <t>Unk_163</t>
  </si>
  <si>
    <t>Unk_164</t>
  </si>
  <si>
    <t>Unk_165</t>
  </si>
  <si>
    <t>Unk_166</t>
  </si>
  <si>
    <t>Unk_167</t>
  </si>
  <si>
    <t>Unk_168</t>
  </si>
  <si>
    <t>Unk_169</t>
  </si>
  <si>
    <t>Unk_170</t>
  </si>
  <si>
    <t>Unk_171</t>
  </si>
  <si>
    <t>Unk_172</t>
  </si>
  <si>
    <t>Unk_173</t>
  </si>
  <si>
    <t>Unk_174</t>
  </si>
  <si>
    <t>Unk_175</t>
  </si>
  <si>
    <t>Unk_176</t>
  </si>
  <si>
    <t>Unk_177</t>
  </si>
  <si>
    <t>Unk_178</t>
  </si>
  <si>
    <t>Unk_179</t>
  </si>
  <si>
    <t>Unk_180</t>
  </si>
  <si>
    <t>Unk_181</t>
  </si>
  <si>
    <t>Unk_182</t>
  </si>
  <si>
    <t>Unk_183</t>
  </si>
  <si>
    <t>Unk_184</t>
  </si>
  <si>
    <t>Unk_185</t>
  </si>
  <si>
    <t>Unk_186</t>
  </si>
  <si>
    <t>Unk_187</t>
  </si>
  <si>
    <t>Unk_188</t>
  </si>
  <si>
    <t>Unk_189</t>
  </si>
  <si>
    <t>Unk_190</t>
  </si>
  <si>
    <t>Unk_191</t>
  </si>
  <si>
    <t>Unk_192</t>
  </si>
  <si>
    <t>Unk_193</t>
  </si>
  <si>
    <t>Unk_194</t>
  </si>
  <si>
    <t>Unk_195</t>
  </si>
  <si>
    <t>Unk_196</t>
  </si>
  <si>
    <t>Unk_197</t>
  </si>
  <si>
    <t>Unk_198</t>
  </si>
  <si>
    <t>Unk_199</t>
  </si>
  <si>
    <t>Unk_200</t>
  </si>
  <si>
    <t>Unk_201</t>
  </si>
  <si>
    <t>Unk_202</t>
  </si>
  <si>
    <t>Unk_203</t>
  </si>
  <si>
    <t>Unk_204</t>
  </si>
  <si>
    <t>Unk_205</t>
  </si>
  <si>
    <t>Unk_206</t>
  </si>
  <si>
    <t>Unk_207</t>
  </si>
  <si>
    <t>Unk_208</t>
  </si>
  <si>
    <t>Unk_209</t>
  </si>
  <si>
    <t>Unk_210</t>
  </si>
  <si>
    <t>Unk_211</t>
  </si>
  <si>
    <t>Unk_212</t>
  </si>
  <si>
    <t>Unk_213</t>
  </si>
  <si>
    <t>Unk_214</t>
  </si>
  <si>
    <t>Unk_215</t>
  </si>
  <si>
    <t>Unk_216</t>
  </si>
  <si>
    <t>Unk_217</t>
  </si>
  <si>
    <t>Unk_218</t>
  </si>
  <si>
    <t>Unk_219</t>
  </si>
  <si>
    <t>Unk_220</t>
  </si>
  <si>
    <t>Unk_221</t>
  </si>
  <si>
    <t>Unk_222</t>
  </si>
  <si>
    <t>Unk_223</t>
  </si>
  <si>
    <t>Unk_224</t>
  </si>
  <si>
    <t>Unk_225</t>
  </si>
  <si>
    <t>Unk_226</t>
  </si>
  <si>
    <t>Unk_227</t>
  </si>
  <si>
    <t>Unk_228</t>
  </si>
  <si>
    <t>Unk_229</t>
  </si>
  <si>
    <t>Unk_230</t>
  </si>
  <si>
    <t>Unk_231</t>
  </si>
  <si>
    <t>Unk_232</t>
  </si>
  <si>
    <t>Unk_233</t>
  </si>
  <si>
    <t>Unk_234</t>
  </si>
  <si>
    <t>Unk_235</t>
  </si>
  <si>
    <t>Unk_236</t>
  </si>
  <si>
    <t>Unk_237</t>
  </si>
  <si>
    <t>Unk_238</t>
  </si>
  <si>
    <t>Unk_239</t>
  </si>
  <si>
    <t>Unk_240</t>
  </si>
  <si>
    <t>Unk_241</t>
  </si>
  <si>
    <t>Unk_242</t>
  </si>
  <si>
    <t>Unk_243</t>
  </si>
  <si>
    <t>Unk_244</t>
  </si>
  <si>
    <t>Unk_245</t>
  </si>
  <si>
    <t>Unk_246</t>
  </si>
  <si>
    <t>Unk_247</t>
  </si>
  <si>
    <t>Unk_248</t>
  </si>
  <si>
    <t>Unk_249</t>
  </si>
  <si>
    <t>Unk_250</t>
  </si>
  <si>
    <t>Unk_251</t>
  </si>
  <si>
    <t>Unk_252</t>
  </si>
  <si>
    <t>Unk_253</t>
  </si>
  <si>
    <t>Unk_254</t>
  </si>
  <si>
    <t>Unk_255</t>
  </si>
  <si>
    <t>Unk_256</t>
  </si>
  <si>
    <t>Unk_257</t>
  </si>
  <si>
    <t>Unk_258</t>
  </si>
  <si>
    <t>Unk_259</t>
  </si>
  <si>
    <t>Unk_260</t>
  </si>
  <si>
    <t>Unk_261</t>
  </si>
  <si>
    <t>Unk_262</t>
  </si>
  <si>
    <t>Unk_263</t>
  </si>
  <si>
    <t>Unk_264</t>
  </si>
  <si>
    <t>Unk_265</t>
  </si>
  <si>
    <t>Unk_266</t>
  </si>
  <si>
    <t>Unk_267</t>
  </si>
  <si>
    <t>Unk_268</t>
  </si>
  <si>
    <t>Unk_269</t>
  </si>
  <si>
    <t>Unk_270</t>
  </si>
  <si>
    <t>Unk_271</t>
  </si>
  <si>
    <t>Unk_272</t>
  </si>
  <si>
    <t>Unk_273</t>
  </si>
  <si>
    <t>Unk_274</t>
  </si>
  <si>
    <t>Unk_275</t>
  </si>
  <si>
    <t>Unk_276</t>
  </si>
  <si>
    <t>Unk_277</t>
  </si>
  <si>
    <t>Unk_278</t>
  </si>
  <si>
    <t>Unk_279</t>
  </si>
  <si>
    <t>Unk_280</t>
  </si>
  <si>
    <t>Unk_281</t>
  </si>
  <si>
    <t>Unk_282</t>
  </si>
  <si>
    <t>Unk_283</t>
  </si>
  <si>
    <t>Unk_284</t>
  </si>
  <si>
    <t>Unk_285</t>
  </si>
  <si>
    <t>Unk_286</t>
  </si>
  <si>
    <t>Unk_287</t>
  </si>
  <si>
    <t>Unk_288</t>
  </si>
  <si>
    <t>PLATES:</t>
  </si>
  <si>
    <t>=======</t>
  </si>
  <si>
    <t>Plate 1</t>
  </si>
  <si>
    <t>Cassette information:</t>
  </si>
  <si>
    <t>A</t>
  </si>
  <si>
    <t>B</t>
  </si>
  <si>
    <t>C</t>
  </si>
  <si>
    <t>D</t>
  </si>
  <si>
    <t>E</t>
  </si>
  <si>
    <t>F</t>
  </si>
  <si>
    <t>G</t>
  </si>
  <si>
    <t>H</t>
  </si>
  <si>
    <t>End of plate 1</t>
  </si>
  <si>
    <t>Plate 2</t>
  </si>
  <si>
    <t>End of plate 2</t>
  </si>
  <si>
    <t>Plate 3</t>
  </si>
  <si>
    <t>End of plate 3</t>
  </si>
  <si>
    <t>END</t>
  </si>
  <si>
    <t>[3H]U69 Binding</t>
  </si>
  <si>
    <t>Name: 3H_2MIN</t>
  </si>
  <si>
    <t>Assay:-/Prot:-/Cass:-/Func:-/Cassette no:   2/Shelf: 2/8*12</t>
  </si>
  <si>
    <t>Unk_289</t>
  </si>
  <si>
    <t>Unk_290</t>
  </si>
  <si>
    <t>Unk_291</t>
  </si>
  <si>
    <t>Unk_292</t>
  </si>
  <si>
    <t>Unk_293</t>
  </si>
  <si>
    <t>Unk_294</t>
  </si>
  <si>
    <t>Unk_295</t>
  </si>
  <si>
    <t>Unk_296</t>
  </si>
  <si>
    <t>Unk_297</t>
  </si>
  <si>
    <t>Unk_298</t>
  </si>
  <si>
    <t>Unk_299</t>
  </si>
  <si>
    <t>Unk_300</t>
  </si>
  <si>
    <t>Unk_301</t>
  </si>
  <si>
    <t>Unk_302</t>
  </si>
  <si>
    <t>Unk_303</t>
  </si>
  <si>
    <t>Unk_304</t>
  </si>
  <si>
    <t>Unk_305</t>
  </si>
  <si>
    <t>Unk_306</t>
  </si>
  <si>
    <t>Unk_307</t>
  </si>
  <si>
    <t>Unk_308</t>
  </si>
  <si>
    <t>Unk_309</t>
  </si>
  <si>
    <t>Unk_310</t>
  </si>
  <si>
    <t>Unk_311</t>
  </si>
  <si>
    <t>Unk_312</t>
  </si>
  <si>
    <t>Unk_313</t>
  </si>
  <si>
    <t>Unk_314</t>
  </si>
  <si>
    <t>Unk_315</t>
  </si>
  <si>
    <t>Unk_316</t>
  </si>
  <si>
    <t>Unk_317</t>
  </si>
  <si>
    <t>Unk_318</t>
  </si>
  <si>
    <t>Unk_319</t>
  </si>
  <si>
    <t>Unk_320</t>
  </si>
  <si>
    <t>Unk_321</t>
  </si>
  <si>
    <t>Unk_322</t>
  </si>
  <si>
    <t>Unk_323</t>
  </si>
  <si>
    <t>Unk_324</t>
  </si>
  <si>
    <t>Unk_325</t>
  </si>
  <si>
    <t>Unk_326</t>
  </si>
  <si>
    <t>Unk_327</t>
  </si>
  <si>
    <t>Unk_328</t>
  </si>
  <si>
    <t>Unk_329</t>
  </si>
  <si>
    <t>Unk_330</t>
  </si>
  <si>
    <t>Unk_331</t>
  </si>
  <si>
    <t>Unk_332</t>
  </si>
  <si>
    <t>Unk_333</t>
  </si>
  <si>
    <t>Unk_334</t>
  </si>
  <si>
    <t>Unk_335</t>
  </si>
  <si>
    <t>Unk_336</t>
  </si>
  <si>
    <t>Unk_337</t>
  </si>
  <si>
    <t>Unk_338</t>
  </si>
  <si>
    <t>Unk_339</t>
  </si>
  <si>
    <t>Unk_340</t>
  </si>
  <si>
    <t>Unk_341</t>
  </si>
  <si>
    <t>Unk_342</t>
  </si>
  <si>
    <t>Unk_343</t>
  </si>
  <si>
    <t>Unk_344</t>
  </si>
  <si>
    <t>Unk_345</t>
  </si>
  <si>
    <t>Unk_346</t>
  </si>
  <si>
    <t>Unk_347</t>
  </si>
  <si>
    <t>Unk_348</t>
  </si>
  <si>
    <t>Unk_349</t>
  </si>
  <si>
    <t>Unk_350</t>
  </si>
  <si>
    <t>Unk_351</t>
  </si>
  <si>
    <t>Unk_352</t>
  </si>
  <si>
    <t>Unk_353</t>
  </si>
  <si>
    <t>Unk_354</t>
  </si>
  <si>
    <t>Unk_355</t>
  </si>
  <si>
    <t>Unk_356</t>
  </si>
  <si>
    <t>Unk_357</t>
  </si>
  <si>
    <t>Unk_358</t>
  </si>
  <si>
    <t>Unk_359</t>
  </si>
  <si>
    <t>Unk_360</t>
  </si>
  <si>
    <t>Unk_361</t>
  </si>
  <si>
    <t>Unk_362</t>
  </si>
  <si>
    <t>Unk_363</t>
  </si>
  <si>
    <t>Unk_364</t>
  </si>
  <si>
    <t>Unk_365</t>
  </si>
  <si>
    <t>Unk_366</t>
  </si>
  <si>
    <t>Unk_367</t>
  </si>
  <si>
    <t>Unk_368</t>
  </si>
  <si>
    <t>Unk_369</t>
  </si>
  <si>
    <t>Unk_370</t>
  </si>
  <si>
    <t>Unk_371</t>
  </si>
  <si>
    <t>Unk_372</t>
  </si>
  <si>
    <t>Unk_373</t>
  </si>
  <si>
    <t>Unk_374</t>
  </si>
  <si>
    <t>Unk_375</t>
  </si>
  <si>
    <t>Unk_376</t>
  </si>
  <si>
    <t>Unk_377</t>
  </si>
  <si>
    <t>Unk_378</t>
  </si>
  <si>
    <t>Unk_379</t>
  </si>
  <si>
    <t>Unk_380</t>
  </si>
  <si>
    <t>Unk_381</t>
  </si>
  <si>
    <t>Unk_382</t>
  </si>
  <si>
    <t>Unk_383</t>
  </si>
  <si>
    <t>Unk_384</t>
  </si>
  <si>
    <t>Unk_385</t>
  </si>
  <si>
    <t>Unk_386</t>
  </si>
  <si>
    <t>Unk_387</t>
  </si>
  <si>
    <t>Unk_388</t>
  </si>
  <si>
    <t>Unk_389</t>
  </si>
  <si>
    <t>Unk_390</t>
  </si>
  <si>
    <t>Unk_391</t>
  </si>
  <si>
    <t>Unk_392</t>
  </si>
  <si>
    <t>Unk_393</t>
  </si>
  <si>
    <t>Unk_394</t>
  </si>
  <si>
    <t>Unk_395</t>
  </si>
  <si>
    <t>Unk_396</t>
  </si>
  <si>
    <t>Unk_397</t>
  </si>
  <si>
    <t>Unk_398</t>
  </si>
  <si>
    <t>Unk_399</t>
  </si>
  <si>
    <t>Unk_400</t>
  </si>
  <si>
    <t>Unk_401</t>
  </si>
  <si>
    <t>Unk_402</t>
  </si>
  <si>
    <t>Unk_403</t>
  </si>
  <si>
    <t>Unk_404</t>
  </si>
  <si>
    <t>Unk_405</t>
  </si>
  <si>
    <t>Unk_406</t>
  </si>
  <si>
    <t>Unk_407</t>
  </si>
  <si>
    <t>Unk_408</t>
  </si>
  <si>
    <t>Unk_409</t>
  </si>
  <si>
    <t>Unk_410</t>
  </si>
  <si>
    <t>Unk_411</t>
  </si>
  <si>
    <t>Unk_412</t>
  </si>
  <si>
    <t>Unk_413</t>
  </si>
  <si>
    <t>Unk_414</t>
  </si>
  <si>
    <t>Unk_415</t>
  </si>
  <si>
    <t>Unk_416</t>
  </si>
  <si>
    <t>Unk_417</t>
  </si>
  <si>
    <t>Unk_418</t>
  </si>
  <si>
    <t>Unk_419</t>
  </si>
  <si>
    <t>Unk_420</t>
  </si>
  <si>
    <t>Unk_421</t>
  </si>
  <si>
    <t>Unk_422</t>
  </si>
  <si>
    <t>Unk_423</t>
  </si>
  <si>
    <t>Unk_424</t>
  </si>
  <si>
    <t>Unk_425</t>
  </si>
  <si>
    <t>Unk_426</t>
  </si>
  <si>
    <t>Unk_427</t>
  </si>
  <si>
    <t>Unk_428</t>
  </si>
  <si>
    <t>Unk_429</t>
  </si>
  <si>
    <t>Unk_430</t>
  </si>
  <si>
    <t>Unk_431</t>
  </si>
  <si>
    <t>Unk_432</t>
  </si>
  <si>
    <t>Unk_433</t>
  </si>
  <si>
    <t>Unk_434</t>
  </si>
  <si>
    <t>Unk_435</t>
  </si>
  <si>
    <t>Unk_436</t>
  </si>
  <si>
    <t>Unk_437</t>
  </si>
  <si>
    <t>Unk_438</t>
  </si>
  <si>
    <t>Unk_439</t>
  </si>
  <si>
    <t>Unk_440</t>
  </si>
  <si>
    <t>Unk_441</t>
  </si>
  <si>
    <t>Unk_442</t>
  </si>
  <si>
    <t>Unk_443</t>
  </si>
  <si>
    <t>Unk_444</t>
  </si>
  <si>
    <t>Unk_445</t>
  </si>
  <si>
    <t>Unk_446</t>
  </si>
  <si>
    <t>Unk_447</t>
  </si>
  <si>
    <t>Unk_448</t>
  </si>
  <si>
    <t>Unk_449</t>
  </si>
  <si>
    <t>Unk_450</t>
  </si>
  <si>
    <t>Unk_451</t>
  </si>
  <si>
    <t>Unk_452</t>
  </si>
  <si>
    <t>Unk_453</t>
  </si>
  <si>
    <t>Unk_454</t>
  </si>
  <si>
    <t>Unk_455</t>
  </si>
  <si>
    <t>Unk_456</t>
  </si>
  <si>
    <t>Unk_457</t>
  </si>
  <si>
    <t>Unk_458</t>
  </si>
  <si>
    <t>Unk_459</t>
  </si>
  <si>
    <t>Unk_460</t>
  </si>
  <si>
    <t>Unk_461</t>
  </si>
  <si>
    <t>Unk_462</t>
  </si>
  <si>
    <t>Unk_463</t>
  </si>
  <si>
    <t>Unk_464</t>
  </si>
  <si>
    <t>Unk_465</t>
  </si>
  <si>
    <t>Unk_466</t>
  </si>
  <si>
    <t>Unk_467</t>
  </si>
  <si>
    <t>Unk_468</t>
  </si>
  <si>
    <t>Unk_469</t>
  </si>
  <si>
    <t>Unk_470</t>
  </si>
  <si>
    <t>Unk_471</t>
  </si>
  <si>
    <t>Unk_472</t>
  </si>
  <si>
    <t>Unk_473</t>
  </si>
  <si>
    <t>Unk_474</t>
  </si>
  <si>
    <t>Unk_475</t>
  </si>
  <si>
    <t>Unk_476</t>
  </si>
  <si>
    <t>Unk_477</t>
  </si>
  <si>
    <t>Unk_478</t>
  </si>
  <si>
    <t>Unk_479</t>
  </si>
  <si>
    <t>Unk_480</t>
  </si>
  <si>
    <t>Unk_481</t>
  </si>
  <si>
    <t>Unk_482</t>
  </si>
  <si>
    <t>Unk_483</t>
  </si>
  <si>
    <t>Unk_484</t>
  </si>
  <si>
    <t>Unk_485</t>
  </si>
  <si>
    <t>Unk_486</t>
  </si>
  <si>
    <t>Unk_487</t>
  </si>
  <si>
    <t>Unk_488</t>
  </si>
  <si>
    <t>Unk_489</t>
  </si>
  <si>
    <t>Unk_490</t>
  </si>
  <si>
    <t>Unk_491</t>
  </si>
  <si>
    <t>Unk_492</t>
  </si>
  <si>
    <t>Unk_493</t>
  </si>
  <si>
    <t>Unk_494</t>
  </si>
  <si>
    <t>Unk_495</t>
  </si>
  <si>
    <t>Unk_496</t>
  </si>
  <si>
    <t>Unk_497</t>
  </si>
  <si>
    <t>Unk_498</t>
  </si>
  <si>
    <t>Unk_499</t>
  </si>
  <si>
    <t>Unk_500</t>
  </si>
  <si>
    <t>Unk_501</t>
  </si>
  <si>
    <t>Unk_502</t>
  </si>
  <si>
    <t>Unk_503</t>
  </si>
  <si>
    <t>Unk_504</t>
  </si>
  <si>
    <t>Unk_505</t>
  </si>
  <si>
    <t>Unk_506</t>
  </si>
  <si>
    <t>Unk_507</t>
  </si>
  <si>
    <t>Unk_508</t>
  </si>
  <si>
    <t>Unk_509</t>
  </si>
  <si>
    <t>Unk_510</t>
  </si>
  <si>
    <t>Unk_511</t>
  </si>
  <si>
    <t>Unk_512</t>
  </si>
  <si>
    <t>Unk_513</t>
  </si>
  <si>
    <t>Unk_514</t>
  </si>
  <si>
    <t>Unk_515</t>
  </si>
  <si>
    <t>Unk_516</t>
  </si>
  <si>
    <t>Unk_517</t>
  </si>
  <si>
    <t>Unk_518</t>
  </si>
  <si>
    <t>Unk_519</t>
  </si>
  <si>
    <t>Unk_520</t>
  </si>
  <si>
    <t>Unk_521</t>
  </si>
  <si>
    <t>Unk_522</t>
  </si>
  <si>
    <t>Unk_523</t>
  </si>
  <si>
    <t>Unk_524</t>
  </si>
  <si>
    <t>Unk_525</t>
  </si>
  <si>
    <t>Unk_526</t>
  </si>
  <si>
    <t>Unk_527</t>
  </si>
  <si>
    <t>Unk_528</t>
  </si>
  <si>
    <t>Unk_529</t>
  </si>
  <si>
    <t>Unk_530</t>
  </si>
  <si>
    <t>Unk_531</t>
  </si>
  <si>
    <t>Unk_532</t>
  </si>
  <si>
    <t>Unk_533</t>
  </si>
  <si>
    <t>Unk_534</t>
  </si>
  <si>
    <t>Unk_535</t>
  </si>
  <si>
    <t>Unk_536</t>
  </si>
  <si>
    <t>Unk_537</t>
  </si>
  <si>
    <t>Unk_538</t>
  </si>
  <si>
    <t>Unk_539</t>
  </si>
  <si>
    <t>Unk_540</t>
  </si>
  <si>
    <t>Unk_541</t>
  </si>
  <si>
    <t>Unk_542</t>
  </si>
  <si>
    <t>Unk_543</t>
  </si>
  <si>
    <t>Unk_544</t>
  </si>
  <si>
    <t>Unk_545</t>
  </si>
  <si>
    <t>Unk_546</t>
  </si>
  <si>
    <t>Unk_547</t>
  </si>
  <si>
    <t>Unk_548</t>
  </si>
  <si>
    <t>Unk_549</t>
  </si>
  <si>
    <t>Unk_550</t>
  </si>
  <si>
    <t>Unk_551</t>
  </si>
  <si>
    <t>Unk_552</t>
  </si>
  <si>
    <t>Unk_553</t>
  </si>
  <si>
    <t>Unk_554</t>
  </si>
  <si>
    <t>Unk_555</t>
  </si>
  <si>
    <t>Unk_556</t>
  </si>
  <si>
    <t>Unk_557</t>
  </si>
  <si>
    <t>Unk_558</t>
  </si>
  <si>
    <t>Unk_559</t>
  </si>
  <si>
    <t>Unk_560</t>
  </si>
  <si>
    <t>Unk_561</t>
  </si>
  <si>
    <t>Unk_562</t>
  </si>
  <si>
    <t>Unk_563</t>
  </si>
  <si>
    <t>Unk_564</t>
  </si>
  <si>
    <t>Unk_565</t>
  </si>
  <si>
    <t>Unk_566</t>
  </si>
  <si>
    <t>Unk_567</t>
  </si>
  <si>
    <t>Unk_568</t>
  </si>
  <si>
    <t>Unk_569</t>
  </si>
  <si>
    <t>Unk_570</t>
  </si>
  <si>
    <t>Unk_571</t>
  </si>
  <si>
    <t>Unk_572</t>
  </si>
  <si>
    <t>Unk_573</t>
  </si>
  <si>
    <t>Unk_574</t>
  </si>
  <si>
    <t>Unk_575</t>
  </si>
  <si>
    <t>Unk_576</t>
  </si>
  <si>
    <t>Unk_577</t>
  </si>
  <si>
    <t>Unk_578</t>
  </si>
  <si>
    <t>Unk_579</t>
  </si>
  <si>
    <t>Unk_580</t>
  </si>
  <si>
    <t>Unk_581</t>
  </si>
  <si>
    <t>Unk_582</t>
  </si>
  <si>
    <t>Unk_583</t>
  </si>
  <si>
    <t>Unk_584</t>
  </si>
  <si>
    <t>Unk_585</t>
  </si>
  <si>
    <t>Unk_586</t>
  </si>
  <si>
    <t>Unk_587</t>
  </si>
  <si>
    <t>Unk_588</t>
  </si>
  <si>
    <t>Unk_589</t>
  </si>
  <si>
    <t>Unk_590</t>
  </si>
  <si>
    <t>Unk_591</t>
  </si>
  <si>
    <t>Unk_592</t>
  </si>
  <si>
    <t>Unk_593</t>
  </si>
  <si>
    <t>Unk_594</t>
  </si>
  <si>
    <t>Unk_595</t>
  </si>
  <si>
    <t>Unk_596</t>
  </si>
  <si>
    <t>Unk_597</t>
  </si>
  <si>
    <t>Unk_598</t>
  </si>
  <si>
    <t>Unk_599</t>
  </si>
  <si>
    <t>Unk_600</t>
  </si>
  <si>
    <t>Unk_601</t>
  </si>
  <si>
    <t>Unk_602</t>
  </si>
  <si>
    <t>Unk_603</t>
  </si>
  <si>
    <t>Unk_604</t>
  </si>
  <si>
    <t>Unk_605</t>
  </si>
  <si>
    <t>Unk_606</t>
  </si>
  <si>
    <t>Unk_607</t>
  </si>
  <si>
    <t>Unk_608</t>
  </si>
  <si>
    <t>Unk_609</t>
  </si>
  <si>
    <t>Unk_610</t>
  </si>
  <si>
    <t>Unk_611</t>
  </si>
  <si>
    <t>Unk_612</t>
  </si>
  <si>
    <t>Unk_613</t>
  </si>
  <si>
    <t>Unk_614</t>
  </si>
  <si>
    <t>Unk_615</t>
  </si>
  <si>
    <t>Unk_616</t>
  </si>
  <si>
    <t>Unk_617</t>
  </si>
  <si>
    <t>Unk_618</t>
  </si>
  <si>
    <t>Unk_619</t>
  </si>
  <si>
    <t>Unk_620</t>
  </si>
  <si>
    <t>Unk_621</t>
  </si>
  <si>
    <t>Unk_622</t>
  </si>
  <si>
    <t>Unk_623</t>
  </si>
  <si>
    <t>Unk_624</t>
  </si>
  <si>
    <t>Unk_625</t>
  </si>
  <si>
    <t>Unk_626</t>
  </si>
  <si>
    <t>Unk_627</t>
  </si>
  <si>
    <t>Unk_628</t>
  </si>
  <si>
    <t>Unk_629</t>
  </si>
  <si>
    <t>Unk_630</t>
  </si>
  <si>
    <t>Unk_631</t>
  </si>
  <si>
    <t>Unk_632</t>
  </si>
  <si>
    <t>Unk_633</t>
  </si>
  <si>
    <t>Unk_634</t>
  </si>
  <si>
    <t>Unk_635</t>
  </si>
  <si>
    <t>Unk_636</t>
  </si>
  <si>
    <t>Unk_637</t>
  </si>
  <si>
    <t>Unk_638</t>
  </si>
  <si>
    <t>Unk_639</t>
  </si>
  <si>
    <t>Unk_640</t>
  </si>
  <si>
    <t>Unk_641</t>
  </si>
  <si>
    <t>Unk_642</t>
  </si>
  <si>
    <t>Unk_643</t>
  </si>
  <si>
    <t>Unk_644</t>
  </si>
  <si>
    <t>Unk_645</t>
  </si>
  <si>
    <t>Unk_646</t>
  </si>
  <si>
    <t>Unk_647</t>
  </si>
  <si>
    <t>Unk_648</t>
  </si>
  <si>
    <t>Unk_649</t>
  </si>
  <si>
    <t>Unk_650</t>
  </si>
  <si>
    <t>Unk_651</t>
  </si>
  <si>
    <t>Unk_652</t>
  </si>
  <si>
    <t>Unk_653</t>
  </si>
  <si>
    <t>Unk_654</t>
  </si>
  <si>
    <t>Unk_655</t>
  </si>
  <si>
    <t>Unk_656</t>
  </si>
  <si>
    <t>Unk_657</t>
  </si>
  <si>
    <t>Unk_658</t>
  </si>
  <si>
    <t>Unk_659</t>
  </si>
  <si>
    <t>Unk_660</t>
  </si>
  <si>
    <t>Unk_661</t>
  </si>
  <si>
    <t>Unk_662</t>
  </si>
  <si>
    <t>Unk_663</t>
  </si>
  <si>
    <t>Unk_664</t>
  </si>
  <si>
    <t>Unk_665</t>
  </si>
  <si>
    <t>Unk_666</t>
  </si>
  <si>
    <t>Unk_667</t>
  </si>
  <si>
    <t>Unk_668</t>
  </si>
  <si>
    <t>Unk_669</t>
  </si>
  <si>
    <t>Unk_670</t>
  </si>
  <si>
    <t>Unk_671</t>
  </si>
  <si>
    <t>Unk_672</t>
  </si>
  <si>
    <t>Assay:-/Prot:-/Cass:-/Func:-/Cassette no:   3/Shelf: 3/8*12</t>
  </si>
  <si>
    <t>Plate 4</t>
  </si>
  <si>
    <t>Assay:-/Prot:-/Cass:-/Func:-/Cassette no:   4/Shelf: 4/8*12</t>
  </si>
  <si>
    <t>End of plate 4</t>
  </si>
  <si>
    <t>Plate 5</t>
  </si>
  <si>
    <t>Assay:-/Prot:-/Cass:-/Func:-/Cassette no:   5/Shelf: 5/8*12</t>
  </si>
  <si>
    <t>End of plate 5</t>
  </si>
  <si>
    <t>Plate 6</t>
  </si>
  <si>
    <t>Assay:-/Prot:-/Cass:-/Func:-/Cassette no:   6/Shelf: 6/8*12</t>
  </si>
  <si>
    <t>End of plate 6</t>
  </si>
  <si>
    <t>Plate 7</t>
  </si>
  <si>
    <t>End of plate 7</t>
  </si>
  <si>
    <t>U50</t>
  </si>
  <si>
    <t>kor pl 2</t>
  </si>
  <si>
    <t>naltrexone</t>
  </si>
  <si>
    <t>kor pl 1</t>
  </si>
  <si>
    <t>kor</t>
  </si>
  <si>
    <t>N-desethyl Etonitazene</t>
  </si>
  <si>
    <t>mor pl 2</t>
  </si>
  <si>
    <t>Assay:-/Prot:-/Cass:-/Func:-/Cassette no:   1/Shelf: 1/8*12</t>
  </si>
  <si>
    <t>N-Pyrrolidino Etodesnitazene</t>
  </si>
  <si>
    <t>Damgo</t>
  </si>
  <si>
    <t>N-Piperidinyl Metonitazene</t>
  </si>
  <si>
    <t>N-Piperidinyl Protonitazene</t>
  </si>
  <si>
    <t>N-Pyrrolidino Metodesnitazene</t>
  </si>
  <si>
    <t>C:\mbw\results\A05_578.txt</t>
  </si>
  <si>
    <t>Counting protocol no:  5                                  Thu  9-Nov-2023  4:14</t>
  </si>
  <si>
    <t>dor pl 1</t>
  </si>
  <si>
    <t>dor pl 2</t>
  </si>
  <si>
    <t>hmor pl 1</t>
  </si>
  <si>
    <t>dor</t>
  </si>
  <si>
    <t>hmor</t>
  </si>
  <si>
    <t>Assay:-/Prot:-/Cass:-/Func:STOP/Cassette no:   7/Shelf: 7/8*12</t>
  </si>
  <si>
    <t>Total count rate:  1333228.7 CCPM</t>
  </si>
  <si>
    <t>8/01/23 21ml tot p14</t>
  </si>
  <si>
    <t>8/01/23 p18, 26ml tot</t>
  </si>
  <si>
    <t>11/01/23 21ml p8</t>
  </si>
  <si>
    <t>fentanyl</t>
  </si>
  <si>
    <t>norBNI</t>
  </si>
  <si>
    <t>DPDPE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</si>
</sst>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 x14ac:knownFonts="1">
    <font>
      <sz val="10"/>
      <name val="Arial"/>
    </font>
    <font>
      <sz val="10"/>
      <name val="Arial"/>
      <family val="2"/>
    </font>
    <font>
      <strike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sz val="10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quotePrefix="1" applyAlignment="1">
      <alignment horizontal="left"/>
    </xf>
    <xf numFmtId="2" fontId="0" fillId="0" borderId="0" xfId="0" applyNumberFormat="1"/>
    <xf numFmtId="11" fontId="0" fillId="0" borderId="0" xfId="0" applyNumberFormat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1" fillId="0" borderId="0" xfId="0" applyFont="1"/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7" fillId="0" borderId="0" xfId="0" applyFont="1"/>
    <xf numFmtId="2" fontId="1" fillId="0" borderId="0" xfId="0" applyNumberFormat="1" applyFont="1"/>
    <xf numFmtId="11" fontId="1" fillId="0" borderId="0" xfId="0" applyNumberFormat="1" applyFont="1"/>
    <xf numFmtId="16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1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/>
    </xf>
    <xf numFmtId="1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4"/>
  <sheetViews>
    <sheetView topLeftCell="A771" zoomScaleNormal="100" workbookViewId="0">
      <selection activeCell="I569" sqref="I569"/>
    </sheetView>
  </sheetViews>
  <sheetFormatPr defaultRowHeight="12.75" x14ac:dyDescent="0.2"/>
  <sheetData>
    <row r="1" spans="1:8" x14ac:dyDescent="0.2">
      <c r="A1" t="s">
        <v>861</v>
      </c>
    </row>
    <row r="2" spans="1:8" x14ac:dyDescent="0.2">
      <c r="A2" t="s">
        <v>133</v>
      </c>
    </row>
    <row r="3" spans="1:8" x14ac:dyDescent="0.2">
      <c r="A3" t="s">
        <v>134</v>
      </c>
    </row>
    <row r="4" spans="1:8" x14ac:dyDescent="0.2">
      <c r="A4" t="s">
        <v>862</v>
      </c>
    </row>
    <row r="5" spans="1:8" x14ac:dyDescent="0.2">
      <c r="A5" t="s">
        <v>450</v>
      </c>
    </row>
    <row r="6" spans="1:8" x14ac:dyDescent="0.2">
      <c r="A6" t="s">
        <v>135</v>
      </c>
    </row>
    <row r="9" spans="1:8" x14ac:dyDescent="0.2">
      <c r="A9" t="s">
        <v>136</v>
      </c>
    </row>
    <row r="10" spans="1:8" x14ac:dyDescent="0.2">
      <c r="A10" t="s">
        <v>137</v>
      </c>
    </row>
    <row r="11" spans="1:8" x14ac:dyDescent="0.2">
      <c r="A11" t="s">
        <v>138</v>
      </c>
      <c r="B11" t="s">
        <v>139</v>
      </c>
      <c r="C11" t="s">
        <v>140</v>
      </c>
      <c r="D11" t="s">
        <v>141</v>
      </c>
      <c r="E11" t="s">
        <v>142</v>
      </c>
      <c r="G11" t="s">
        <v>863</v>
      </c>
    </row>
    <row r="12" spans="1:8" x14ac:dyDescent="0.2">
      <c r="A12" t="s">
        <v>138</v>
      </c>
      <c r="B12" t="s">
        <v>143</v>
      </c>
      <c r="C12" t="s">
        <v>0</v>
      </c>
      <c r="D12">
        <v>1305</v>
      </c>
      <c r="E12">
        <v>4.7</v>
      </c>
      <c r="G12">
        <v>1305</v>
      </c>
      <c r="H12">
        <v>1329</v>
      </c>
    </row>
    <row r="13" spans="1:8" x14ac:dyDescent="0.2">
      <c r="A13" t="s">
        <v>138</v>
      </c>
      <c r="B13" t="s">
        <v>144</v>
      </c>
      <c r="C13" t="s">
        <v>1</v>
      </c>
      <c r="D13">
        <v>32</v>
      </c>
      <c r="E13">
        <v>25.3</v>
      </c>
      <c r="G13">
        <v>32</v>
      </c>
      <c r="H13">
        <v>33</v>
      </c>
    </row>
    <row r="14" spans="1:8" x14ac:dyDescent="0.2">
      <c r="A14" t="s">
        <v>138</v>
      </c>
      <c r="B14" t="s">
        <v>145</v>
      </c>
      <c r="C14" t="s">
        <v>2</v>
      </c>
      <c r="D14">
        <v>72</v>
      </c>
      <c r="E14">
        <v>17</v>
      </c>
      <c r="G14">
        <v>72</v>
      </c>
      <c r="H14">
        <v>68</v>
      </c>
    </row>
    <row r="15" spans="1:8" x14ac:dyDescent="0.2">
      <c r="A15" t="s">
        <v>138</v>
      </c>
      <c r="B15" t="s">
        <v>146</v>
      </c>
      <c r="C15" t="s">
        <v>3</v>
      </c>
      <c r="D15">
        <v>135</v>
      </c>
      <c r="E15">
        <v>12.6</v>
      </c>
      <c r="G15">
        <v>135</v>
      </c>
      <c r="H15">
        <v>131</v>
      </c>
    </row>
    <row r="16" spans="1:8" x14ac:dyDescent="0.2">
      <c r="A16" t="s">
        <v>138</v>
      </c>
      <c r="B16" t="s">
        <v>147</v>
      </c>
      <c r="C16" t="s">
        <v>4</v>
      </c>
      <c r="D16">
        <v>281</v>
      </c>
      <c r="E16">
        <v>8.9</v>
      </c>
      <c r="G16">
        <v>281</v>
      </c>
      <c r="H16">
        <v>266</v>
      </c>
    </row>
    <row r="17" spans="1:8" x14ac:dyDescent="0.2">
      <c r="A17" t="s">
        <v>138</v>
      </c>
      <c r="B17" t="s">
        <v>148</v>
      </c>
      <c r="C17" t="s">
        <v>5</v>
      </c>
      <c r="D17">
        <v>577</v>
      </c>
      <c r="E17">
        <v>6.5</v>
      </c>
      <c r="G17">
        <v>577</v>
      </c>
      <c r="H17">
        <v>540</v>
      </c>
    </row>
    <row r="18" spans="1:8" x14ac:dyDescent="0.2">
      <c r="A18" t="s">
        <v>138</v>
      </c>
      <c r="B18" t="s">
        <v>149</v>
      </c>
      <c r="C18" t="s">
        <v>6</v>
      </c>
      <c r="D18">
        <v>858</v>
      </c>
      <c r="E18">
        <v>5.6</v>
      </c>
      <c r="G18">
        <v>858</v>
      </c>
      <c r="H18">
        <v>907</v>
      </c>
    </row>
    <row r="19" spans="1:8" x14ac:dyDescent="0.2">
      <c r="A19" t="s">
        <v>138</v>
      </c>
      <c r="B19" t="s">
        <v>150</v>
      </c>
      <c r="C19" t="s">
        <v>7</v>
      </c>
      <c r="D19">
        <v>1178</v>
      </c>
      <c r="E19">
        <v>4.9000000000000004</v>
      </c>
      <c r="G19">
        <v>1178</v>
      </c>
      <c r="H19">
        <v>1219</v>
      </c>
    </row>
    <row r="20" spans="1:8" x14ac:dyDescent="0.2">
      <c r="A20" t="s">
        <v>138</v>
      </c>
      <c r="B20" t="s">
        <v>151</v>
      </c>
      <c r="C20" t="s">
        <v>8</v>
      </c>
      <c r="D20">
        <v>1303</v>
      </c>
      <c r="E20">
        <v>4.7</v>
      </c>
      <c r="G20">
        <v>1303</v>
      </c>
      <c r="H20">
        <v>1267</v>
      </c>
    </row>
    <row r="21" spans="1:8" x14ac:dyDescent="0.2">
      <c r="A21" t="s">
        <v>138</v>
      </c>
      <c r="B21" t="s">
        <v>152</v>
      </c>
      <c r="C21" t="s">
        <v>9</v>
      </c>
      <c r="D21">
        <v>1407</v>
      </c>
      <c r="E21">
        <v>4.5999999999999996</v>
      </c>
      <c r="G21">
        <v>1407</v>
      </c>
      <c r="H21">
        <v>1332</v>
      </c>
    </row>
    <row r="22" spans="1:8" x14ac:dyDescent="0.2">
      <c r="A22" t="s">
        <v>138</v>
      </c>
      <c r="B22" t="s">
        <v>153</v>
      </c>
      <c r="C22" t="s">
        <v>10</v>
      </c>
      <c r="D22">
        <v>1314</v>
      </c>
      <c r="E22">
        <v>4.7</v>
      </c>
      <c r="G22">
        <v>1314</v>
      </c>
      <c r="H22">
        <v>1375</v>
      </c>
    </row>
    <row r="23" spans="1:8" x14ac:dyDescent="0.2">
      <c r="A23" t="s">
        <v>138</v>
      </c>
      <c r="B23" t="s">
        <v>154</v>
      </c>
      <c r="C23" t="s">
        <v>11</v>
      </c>
      <c r="D23">
        <v>1310</v>
      </c>
      <c r="E23">
        <v>4.7</v>
      </c>
      <c r="G23">
        <v>1310</v>
      </c>
      <c r="H23">
        <v>1227</v>
      </c>
    </row>
    <row r="24" spans="1:8" x14ac:dyDescent="0.2">
      <c r="A24" t="s">
        <v>138</v>
      </c>
      <c r="B24" t="s">
        <v>155</v>
      </c>
      <c r="C24" t="s">
        <v>12</v>
      </c>
      <c r="D24">
        <v>1329</v>
      </c>
      <c r="E24">
        <v>4.7</v>
      </c>
    </row>
    <row r="25" spans="1:8" x14ac:dyDescent="0.2">
      <c r="A25" t="s">
        <v>138</v>
      </c>
      <c r="B25" t="s">
        <v>156</v>
      </c>
      <c r="C25" t="s">
        <v>13</v>
      </c>
      <c r="D25">
        <v>33</v>
      </c>
      <c r="E25">
        <v>25.1</v>
      </c>
      <c r="G25">
        <v>1403</v>
      </c>
      <c r="H25">
        <v>1419</v>
      </c>
    </row>
    <row r="26" spans="1:8" x14ac:dyDescent="0.2">
      <c r="A26" t="s">
        <v>138</v>
      </c>
      <c r="B26" t="s">
        <v>157</v>
      </c>
      <c r="C26" t="s">
        <v>14</v>
      </c>
      <c r="D26">
        <v>68</v>
      </c>
      <c r="E26">
        <v>17.5</v>
      </c>
      <c r="G26">
        <v>38</v>
      </c>
      <c r="H26">
        <v>31</v>
      </c>
    </row>
    <row r="27" spans="1:8" x14ac:dyDescent="0.2">
      <c r="A27" t="s">
        <v>138</v>
      </c>
      <c r="B27" t="s">
        <v>158</v>
      </c>
      <c r="C27" t="s">
        <v>15</v>
      </c>
      <c r="D27">
        <v>131</v>
      </c>
      <c r="E27">
        <v>12.7</v>
      </c>
      <c r="G27">
        <v>191</v>
      </c>
      <c r="H27">
        <v>214</v>
      </c>
    </row>
    <row r="28" spans="1:8" x14ac:dyDescent="0.2">
      <c r="A28" t="s">
        <v>138</v>
      </c>
      <c r="B28" t="s">
        <v>159</v>
      </c>
      <c r="C28" t="s">
        <v>16</v>
      </c>
      <c r="D28">
        <v>266</v>
      </c>
      <c r="E28">
        <v>9.1999999999999993</v>
      </c>
      <c r="G28">
        <v>466</v>
      </c>
      <c r="H28">
        <v>439</v>
      </c>
    </row>
    <row r="29" spans="1:8" x14ac:dyDescent="0.2">
      <c r="A29" t="s">
        <v>138</v>
      </c>
      <c r="B29" t="s">
        <v>160</v>
      </c>
      <c r="C29" t="s">
        <v>17</v>
      </c>
      <c r="D29">
        <v>540</v>
      </c>
      <c r="E29">
        <v>6.7</v>
      </c>
      <c r="G29">
        <v>820</v>
      </c>
      <c r="H29">
        <v>778</v>
      </c>
    </row>
    <row r="30" spans="1:8" x14ac:dyDescent="0.2">
      <c r="A30" t="s">
        <v>138</v>
      </c>
      <c r="B30" t="s">
        <v>161</v>
      </c>
      <c r="C30" t="s">
        <v>18</v>
      </c>
      <c r="D30">
        <v>907</v>
      </c>
      <c r="E30">
        <v>5.4</v>
      </c>
      <c r="G30">
        <v>1187</v>
      </c>
      <c r="H30">
        <v>1153</v>
      </c>
    </row>
    <row r="31" spans="1:8" x14ac:dyDescent="0.2">
      <c r="A31" t="s">
        <v>138</v>
      </c>
      <c r="B31" t="s">
        <v>162</v>
      </c>
      <c r="C31" t="s">
        <v>19</v>
      </c>
      <c r="D31">
        <v>1219</v>
      </c>
      <c r="E31">
        <v>4.9000000000000004</v>
      </c>
      <c r="G31">
        <v>1367</v>
      </c>
      <c r="H31">
        <v>1395</v>
      </c>
    </row>
    <row r="32" spans="1:8" x14ac:dyDescent="0.2">
      <c r="A32" t="s">
        <v>138</v>
      </c>
      <c r="B32" t="s">
        <v>163</v>
      </c>
      <c r="C32" t="s">
        <v>20</v>
      </c>
      <c r="D32">
        <v>1267</v>
      </c>
      <c r="E32">
        <v>4.8</v>
      </c>
      <c r="G32">
        <v>1370</v>
      </c>
      <c r="H32">
        <v>1441</v>
      </c>
    </row>
    <row r="33" spans="1:8" x14ac:dyDescent="0.2">
      <c r="A33" t="s">
        <v>138</v>
      </c>
      <c r="B33" t="s">
        <v>164</v>
      </c>
      <c r="C33" t="s">
        <v>21</v>
      </c>
      <c r="D33">
        <v>1332</v>
      </c>
      <c r="E33">
        <v>4.7</v>
      </c>
      <c r="G33">
        <v>1386</v>
      </c>
      <c r="H33">
        <v>1427</v>
      </c>
    </row>
    <row r="34" spans="1:8" x14ac:dyDescent="0.2">
      <c r="A34" t="s">
        <v>138</v>
      </c>
      <c r="B34" t="s">
        <v>165</v>
      </c>
      <c r="C34" t="s">
        <v>22</v>
      </c>
      <c r="D34">
        <v>1375</v>
      </c>
      <c r="E34">
        <v>4.7</v>
      </c>
      <c r="G34">
        <v>1319</v>
      </c>
      <c r="H34">
        <v>1438</v>
      </c>
    </row>
    <row r="35" spans="1:8" x14ac:dyDescent="0.2">
      <c r="A35" t="s">
        <v>138</v>
      </c>
      <c r="B35" t="s">
        <v>166</v>
      </c>
      <c r="C35" t="s">
        <v>23</v>
      </c>
      <c r="D35">
        <v>1227</v>
      </c>
      <c r="E35">
        <v>4.8</v>
      </c>
      <c r="G35">
        <v>1388</v>
      </c>
      <c r="H35">
        <v>1375</v>
      </c>
    </row>
    <row r="36" spans="1:8" x14ac:dyDescent="0.2">
      <c r="A36" t="s">
        <v>138</v>
      </c>
      <c r="B36" t="s">
        <v>167</v>
      </c>
      <c r="C36" t="s">
        <v>24</v>
      </c>
      <c r="D36">
        <v>1403</v>
      </c>
      <c r="E36">
        <v>4.5999999999999996</v>
      </c>
      <c r="G36">
        <v>1222</v>
      </c>
      <c r="H36">
        <v>1311</v>
      </c>
    </row>
    <row r="37" spans="1:8" x14ac:dyDescent="0.2">
      <c r="A37" t="s">
        <v>138</v>
      </c>
      <c r="B37" t="s">
        <v>168</v>
      </c>
      <c r="C37" t="s">
        <v>25</v>
      </c>
      <c r="D37">
        <v>38</v>
      </c>
      <c r="E37">
        <v>23.4</v>
      </c>
    </row>
    <row r="38" spans="1:8" x14ac:dyDescent="0.2">
      <c r="A38" t="s">
        <v>138</v>
      </c>
      <c r="B38" t="s">
        <v>169</v>
      </c>
      <c r="C38" t="s">
        <v>26</v>
      </c>
      <c r="D38">
        <v>191</v>
      </c>
      <c r="E38">
        <v>10.7</v>
      </c>
      <c r="G38">
        <v>1338</v>
      </c>
      <c r="H38">
        <v>1384</v>
      </c>
    </row>
    <row r="39" spans="1:8" x14ac:dyDescent="0.2">
      <c r="A39" t="s">
        <v>138</v>
      </c>
      <c r="B39" t="s">
        <v>170</v>
      </c>
      <c r="C39" t="s">
        <v>27</v>
      </c>
      <c r="D39">
        <v>466</v>
      </c>
      <c r="E39">
        <v>7.1</v>
      </c>
      <c r="G39">
        <v>33</v>
      </c>
      <c r="H39">
        <v>32</v>
      </c>
    </row>
    <row r="40" spans="1:8" x14ac:dyDescent="0.2">
      <c r="A40" t="s">
        <v>138</v>
      </c>
      <c r="B40" t="s">
        <v>171</v>
      </c>
      <c r="C40" t="s">
        <v>28</v>
      </c>
      <c r="D40">
        <v>820</v>
      </c>
      <c r="E40">
        <v>5.7</v>
      </c>
      <c r="G40">
        <v>83</v>
      </c>
      <c r="H40">
        <v>95</v>
      </c>
    </row>
    <row r="41" spans="1:8" x14ac:dyDescent="0.2">
      <c r="A41" t="s">
        <v>138</v>
      </c>
      <c r="B41" t="s">
        <v>172</v>
      </c>
      <c r="C41" t="s">
        <v>29</v>
      </c>
      <c r="D41">
        <v>1187</v>
      </c>
      <c r="E41">
        <v>4.9000000000000004</v>
      </c>
      <c r="G41">
        <v>158</v>
      </c>
      <c r="H41">
        <v>153</v>
      </c>
    </row>
    <row r="42" spans="1:8" x14ac:dyDescent="0.2">
      <c r="A42" t="s">
        <v>138</v>
      </c>
      <c r="B42" t="s">
        <v>173</v>
      </c>
      <c r="C42" t="s">
        <v>30</v>
      </c>
      <c r="D42">
        <v>1367</v>
      </c>
      <c r="E42">
        <v>4.7</v>
      </c>
      <c r="G42">
        <v>367</v>
      </c>
      <c r="H42">
        <v>350</v>
      </c>
    </row>
    <row r="43" spans="1:8" x14ac:dyDescent="0.2">
      <c r="A43" t="s">
        <v>138</v>
      </c>
      <c r="B43" t="s">
        <v>174</v>
      </c>
      <c r="C43" t="s">
        <v>31</v>
      </c>
      <c r="D43">
        <v>1370</v>
      </c>
      <c r="E43">
        <v>4.7</v>
      </c>
      <c r="G43">
        <v>687</v>
      </c>
      <c r="H43">
        <v>702</v>
      </c>
    </row>
    <row r="44" spans="1:8" x14ac:dyDescent="0.2">
      <c r="A44" t="s">
        <v>138</v>
      </c>
      <c r="B44" t="s">
        <v>175</v>
      </c>
      <c r="C44" t="s">
        <v>32</v>
      </c>
      <c r="D44">
        <v>1386</v>
      </c>
      <c r="E44">
        <v>4.5999999999999996</v>
      </c>
      <c r="G44">
        <v>1069</v>
      </c>
      <c r="H44">
        <v>1012</v>
      </c>
    </row>
    <row r="45" spans="1:8" x14ac:dyDescent="0.2">
      <c r="A45" t="s">
        <v>138</v>
      </c>
      <c r="B45" t="s">
        <v>176</v>
      </c>
      <c r="C45" t="s">
        <v>33</v>
      </c>
      <c r="D45">
        <v>1319</v>
      </c>
      <c r="E45">
        <v>4.7</v>
      </c>
      <c r="G45">
        <v>1263</v>
      </c>
      <c r="H45">
        <v>1273</v>
      </c>
    </row>
    <row r="46" spans="1:8" x14ac:dyDescent="0.2">
      <c r="A46" t="s">
        <v>138</v>
      </c>
      <c r="B46" t="s">
        <v>177</v>
      </c>
      <c r="C46" t="s">
        <v>34</v>
      </c>
      <c r="D46">
        <v>1388</v>
      </c>
      <c r="E46">
        <v>4.5999999999999996</v>
      </c>
      <c r="G46">
        <v>1379</v>
      </c>
      <c r="H46">
        <v>1366</v>
      </c>
    </row>
    <row r="47" spans="1:8" x14ac:dyDescent="0.2">
      <c r="A47" t="s">
        <v>138</v>
      </c>
      <c r="B47" t="s">
        <v>178</v>
      </c>
      <c r="C47" t="s">
        <v>35</v>
      </c>
      <c r="D47">
        <v>1222</v>
      </c>
      <c r="E47">
        <v>4.9000000000000004</v>
      </c>
      <c r="G47">
        <v>1368</v>
      </c>
      <c r="H47">
        <v>1385</v>
      </c>
    </row>
    <row r="48" spans="1:8" x14ac:dyDescent="0.2">
      <c r="A48" t="s">
        <v>138</v>
      </c>
      <c r="B48" t="s">
        <v>179</v>
      </c>
      <c r="C48" t="s">
        <v>36</v>
      </c>
      <c r="D48">
        <v>1419</v>
      </c>
      <c r="E48">
        <v>4.5999999999999996</v>
      </c>
      <c r="G48">
        <v>1401</v>
      </c>
      <c r="H48">
        <v>1328</v>
      </c>
    </row>
    <row r="49" spans="1:8" x14ac:dyDescent="0.2">
      <c r="A49" t="s">
        <v>138</v>
      </c>
      <c r="B49" t="s">
        <v>180</v>
      </c>
      <c r="C49" t="s">
        <v>37</v>
      </c>
      <c r="D49">
        <v>31</v>
      </c>
      <c r="E49">
        <v>26</v>
      </c>
      <c r="G49">
        <v>1311</v>
      </c>
      <c r="H49">
        <v>1257</v>
      </c>
    </row>
    <row r="50" spans="1:8" x14ac:dyDescent="0.2">
      <c r="A50" t="s">
        <v>138</v>
      </c>
      <c r="B50" t="s">
        <v>181</v>
      </c>
      <c r="C50" t="s">
        <v>38</v>
      </c>
      <c r="D50">
        <v>214</v>
      </c>
      <c r="E50">
        <v>10.1</v>
      </c>
    </row>
    <row r="51" spans="1:8" x14ac:dyDescent="0.2">
      <c r="A51" t="s">
        <v>138</v>
      </c>
      <c r="B51" t="s">
        <v>182</v>
      </c>
      <c r="C51" t="s">
        <v>39</v>
      </c>
      <c r="D51">
        <v>439</v>
      </c>
      <c r="E51">
        <v>7.3</v>
      </c>
      <c r="G51">
        <v>1397</v>
      </c>
      <c r="H51">
        <v>1268</v>
      </c>
    </row>
    <row r="52" spans="1:8" x14ac:dyDescent="0.2">
      <c r="A52" t="s">
        <v>138</v>
      </c>
      <c r="B52" t="s">
        <v>183</v>
      </c>
      <c r="C52" t="s">
        <v>40</v>
      </c>
      <c r="D52">
        <v>778</v>
      </c>
      <c r="E52">
        <v>5.8</v>
      </c>
      <c r="G52">
        <v>33</v>
      </c>
      <c r="H52">
        <v>32</v>
      </c>
    </row>
    <row r="53" spans="1:8" x14ac:dyDescent="0.2">
      <c r="A53" t="s">
        <v>138</v>
      </c>
      <c r="B53" t="s">
        <v>184</v>
      </c>
      <c r="C53" t="s">
        <v>41</v>
      </c>
      <c r="D53">
        <v>1153</v>
      </c>
      <c r="E53">
        <v>5</v>
      </c>
      <c r="G53">
        <v>143</v>
      </c>
      <c r="H53">
        <v>126</v>
      </c>
    </row>
    <row r="54" spans="1:8" x14ac:dyDescent="0.2">
      <c r="A54" t="s">
        <v>138</v>
      </c>
      <c r="B54" t="s">
        <v>185</v>
      </c>
      <c r="C54" t="s">
        <v>42</v>
      </c>
      <c r="D54">
        <v>1395</v>
      </c>
      <c r="E54">
        <v>4.5999999999999996</v>
      </c>
      <c r="G54">
        <v>251</v>
      </c>
      <c r="H54">
        <v>238</v>
      </c>
    </row>
    <row r="55" spans="1:8" x14ac:dyDescent="0.2">
      <c r="A55" t="s">
        <v>138</v>
      </c>
      <c r="B55" t="s">
        <v>186</v>
      </c>
      <c r="C55" t="s">
        <v>43</v>
      </c>
      <c r="D55">
        <v>1441</v>
      </c>
      <c r="E55">
        <v>4.5999999999999996</v>
      </c>
      <c r="G55">
        <v>481</v>
      </c>
      <c r="H55">
        <v>455</v>
      </c>
    </row>
    <row r="56" spans="1:8" x14ac:dyDescent="0.2">
      <c r="A56" t="s">
        <v>138</v>
      </c>
      <c r="B56" t="s">
        <v>187</v>
      </c>
      <c r="C56" t="s">
        <v>44</v>
      </c>
      <c r="D56">
        <v>1427</v>
      </c>
      <c r="E56">
        <v>4.5999999999999996</v>
      </c>
      <c r="G56">
        <v>892</v>
      </c>
      <c r="H56">
        <v>843</v>
      </c>
    </row>
    <row r="57" spans="1:8" x14ac:dyDescent="0.2">
      <c r="A57" t="s">
        <v>138</v>
      </c>
      <c r="B57" t="s">
        <v>188</v>
      </c>
      <c r="C57" t="s">
        <v>45</v>
      </c>
      <c r="D57">
        <v>1438</v>
      </c>
      <c r="E57">
        <v>4.5999999999999996</v>
      </c>
      <c r="G57">
        <v>1144</v>
      </c>
      <c r="H57">
        <v>1160</v>
      </c>
    </row>
    <row r="58" spans="1:8" x14ac:dyDescent="0.2">
      <c r="A58" t="s">
        <v>138</v>
      </c>
      <c r="B58" t="s">
        <v>189</v>
      </c>
      <c r="C58" t="s">
        <v>46</v>
      </c>
      <c r="D58">
        <v>1375</v>
      </c>
      <c r="E58">
        <v>4.7</v>
      </c>
      <c r="G58">
        <v>1422</v>
      </c>
      <c r="H58">
        <v>1377</v>
      </c>
    </row>
    <row r="59" spans="1:8" x14ac:dyDescent="0.2">
      <c r="A59" t="s">
        <v>138</v>
      </c>
      <c r="B59" t="s">
        <v>190</v>
      </c>
      <c r="C59" t="s">
        <v>47</v>
      </c>
      <c r="D59">
        <v>1311</v>
      </c>
      <c r="E59">
        <v>4.7</v>
      </c>
      <c r="G59">
        <v>1391</v>
      </c>
      <c r="H59">
        <v>1380</v>
      </c>
    </row>
    <row r="60" spans="1:8" x14ac:dyDescent="0.2">
      <c r="A60" t="s">
        <v>138</v>
      </c>
      <c r="B60" t="s">
        <v>191</v>
      </c>
      <c r="C60" t="s">
        <v>48</v>
      </c>
      <c r="D60">
        <v>1338</v>
      </c>
      <c r="E60">
        <v>4.7</v>
      </c>
      <c r="G60">
        <v>1388</v>
      </c>
      <c r="H60">
        <v>1388</v>
      </c>
    </row>
    <row r="61" spans="1:8" x14ac:dyDescent="0.2">
      <c r="A61" t="s">
        <v>138</v>
      </c>
      <c r="B61" t="s">
        <v>192</v>
      </c>
      <c r="C61" t="s">
        <v>49</v>
      </c>
      <c r="D61">
        <v>33</v>
      </c>
      <c r="E61">
        <v>24.9</v>
      </c>
      <c r="G61">
        <v>1441</v>
      </c>
      <c r="H61">
        <v>1419</v>
      </c>
    </row>
    <row r="62" spans="1:8" x14ac:dyDescent="0.2">
      <c r="A62" t="s">
        <v>138</v>
      </c>
      <c r="B62" t="s">
        <v>193</v>
      </c>
      <c r="C62" t="s">
        <v>50</v>
      </c>
      <c r="D62">
        <v>83</v>
      </c>
      <c r="E62">
        <v>15.9</v>
      </c>
      <c r="G62">
        <v>1289</v>
      </c>
      <c r="H62">
        <v>1283</v>
      </c>
    </row>
    <row r="63" spans="1:8" x14ac:dyDescent="0.2">
      <c r="A63" t="s">
        <v>138</v>
      </c>
      <c r="B63" t="s">
        <v>194</v>
      </c>
      <c r="C63" t="s">
        <v>51</v>
      </c>
      <c r="D63">
        <v>158</v>
      </c>
      <c r="E63">
        <v>11.6</v>
      </c>
    </row>
    <row r="64" spans="1:8" x14ac:dyDescent="0.2">
      <c r="A64" t="s">
        <v>138</v>
      </c>
      <c r="B64" t="s">
        <v>195</v>
      </c>
      <c r="C64" t="s">
        <v>52</v>
      </c>
      <c r="D64">
        <v>367</v>
      </c>
      <c r="E64">
        <v>7.8</v>
      </c>
    </row>
    <row r="65" spans="1:5" x14ac:dyDescent="0.2">
      <c r="A65" t="s">
        <v>138</v>
      </c>
      <c r="B65" t="s">
        <v>196</v>
      </c>
      <c r="C65" t="s">
        <v>53</v>
      </c>
      <c r="D65">
        <v>687</v>
      </c>
      <c r="E65">
        <v>6</v>
      </c>
    </row>
    <row r="66" spans="1:5" x14ac:dyDescent="0.2">
      <c r="A66" t="s">
        <v>138</v>
      </c>
      <c r="B66" t="s">
        <v>197</v>
      </c>
      <c r="C66" t="s">
        <v>54</v>
      </c>
      <c r="D66">
        <v>1069</v>
      </c>
      <c r="E66">
        <v>5</v>
      </c>
    </row>
    <row r="67" spans="1:5" x14ac:dyDescent="0.2">
      <c r="A67" t="s">
        <v>138</v>
      </c>
      <c r="B67" t="s">
        <v>198</v>
      </c>
      <c r="C67" t="s">
        <v>55</v>
      </c>
      <c r="D67">
        <v>1263</v>
      </c>
      <c r="E67">
        <v>4.7</v>
      </c>
    </row>
    <row r="68" spans="1:5" x14ac:dyDescent="0.2">
      <c r="A68" t="s">
        <v>138</v>
      </c>
      <c r="B68" t="s">
        <v>199</v>
      </c>
      <c r="C68" t="s">
        <v>56</v>
      </c>
      <c r="D68">
        <v>1379</v>
      </c>
      <c r="E68">
        <v>4.5999999999999996</v>
      </c>
    </row>
    <row r="69" spans="1:5" x14ac:dyDescent="0.2">
      <c r="A69" t="s">
        <v>138</v>
      </c>
      <c r="B69" t="s">
        <v>200</v>
      </c>
      <c r="C69" t="s">
        <v>57</v>
      </c>
      <c r="D69">
        <v>1368</v>
      </c>
      <c r="E69">
        <v>4.5999999999999996</v>
      </c>
    </row>
    <row r="70" spans="1:5" x14ac:dyDescent="0.2">
      <c r="A70" t="s">
        <v>138</v>
      </c>
      <c r="B70" t="s">
        <v>201</v>
      </c>
      <c r="C70" t="s">
        <v>58</v>
      </c>
      <c r="D70">
        <v>1401</v>
      </c>
      <c r="E70">
        <v>4.5999999999999996</v>
      </c>
    </row>
    <row r="71" spans="1:5" x14ac:dyDescent="0.2">
      <c r="A71" t="s">
        <v>138</v>
      </c>
      <c r="B71" t="s">
        <v>202</v>
      </c>
      <c r="C71" t="s">
        <v>59</v>
      </c>
      <c r="D71">
        <v>1311</v>
      </c>
      <c r="E71">
        <v>4.7</v>
      </c>
    </row>
    <row r="72" spans="1:5" x14ac:dyDescent="0.2">
      <c r="A72" t="s">
        <v>138</v>
      </c>
      <c r="B72" t="s">
        <v>203</v>
      </c>
      <c r="C72" t="s">
        <v>60</v>
      </c>
      <c r="D72">
        <v>1384</v>
      </c>
      <c r="E72">
        <v>4.5999999999999996</v>
      </c>
    </row>
    <row r="73" spans="1:5" x14ac:dyDescent="0.2">
      <c r="A73" t="s">
        <v>138</v>
      </c>
      <c r="B73" t="s">
        <v>204</v>
      </c>
      <c r="C73" t="s">
        <v>61</v>
      </c>
      <c r="D73">
        <v>32</v>
      </c>
      <c r="E73">
        <v>25.3</v>
      </c>
    </row>
    <row r="74" spans="1:5" x14ac:dyDescent="0.2">
      <c r="A74" t="s">
        <v>138</v>
      </c>
      <c r="B74" t="s">
        <v>205</v>
      </c>
      <c r="C74" t="s">
        <v>62</v>
      </c>
      <c r="D74">
        <v>95</v>
      </c>
      <c r="E74">
        <v>14.8</v>
      </c>
    </row>
    <row r="75" spans="1:5" x14ac:dyDescent="0.2">
      <c r="A75" t="s">
        <v>138</v>
      </c>
      <c r="B75" t="s">
        <v>206</v>
      </c>
      <c r="C75" t="s">
        <v>63</v>
      </c>
      <c r="D75">
        <v>153</v>
      </c>
      <c r="E75">
        <v>11.8</v>
      </c>
    </row>
    <row r="76" spans="1:5" x14ac:dyDescent="0.2">
      <c r="A76" t="s">
        <v>138</v>
      </c>
      <c r="B76" t="s">
        <v>207</v>
      </c>
      <c r="C76" t="s">
        <v>64</v>
      </c>
      <c r="D76">
        <v>350</v>
      </c>
      <c r="E76">
        <v>8</v>
      </c>
    </row>
    <row r="77" spans="1:5" x14ac:dyDescent="0.2">
      <c r="A77" t="s">
        <v>138</v>
      </c>
      <c r="B77" t="s">
        <v>208</v>
      </c>
      <c r="C77" t="s">
        <v>65</v>
      </c>
      <c r="D77">
        <v>702</v>
      </c>
      <c r="E77">
        <v>5.9</v>
      </c>
    </row>
    <row r="78" spans="1:5" x14ac:dyDescent="0.2">
      <c r="A78" t="s">
        <v>138</v>
      </c>
      <c r="B78" t="s">
        <v>209</v>
      </c>
      <c r="C78" t="s">
        <v>66</v>
      </c>
      <c r="D78">
        <v>1012</v>
      </c>
      <c r="E78">
        <v>5.0999999999999996</v>
      </c>
    </row>
    <row r="79" spans="1:5" x14ac:dyDescent="0.2">
      <c r="A79" t="s">
        <v>138</v>
      </c>
      <c r="B79" t="s">
        <v>210</v>
      </c>
      <c r="C79" t="s">
        <v>67</v>
      </c>
      <c r="D79">
        <v>1273</v>
      </c>
      <c r="E79">
        <v>4.7</v>
      </c>
    </row>
    <row r="80" spans="1:5" x14ac:dyDescent="0.2">
      <c r="A80" t="s">
        <v>138</v>
      </c>
      <c r="B80" t="s">
        <v>211</v>
      </c>
      <c r="C80" t="s">
        <v>68</v>
      </c>
      <c r="D80">
        <v>1366</v>
      </c>
      <c r="E80">
        <v>4.5999999999999996</v>
      </c>
    </row>
    <row r="81" spans="1:5" x14ac:dyDescent="0.2">
      <c r="A81" t="s">
        <v>138</v>
      </c>
      <c r="B81" t="s">
        <v>212</v>
      </c>
      <c r="C81" t="s">
        <v>69</v>
      </c>
      <c r="D81">
        <v>1385</v>
      </c>
      <c r="E81">
        <v>4.5999999999999996</v>
      </c>
    </row>
    <row r="82" spans="1:5" x14ac:dyDescent="0.2">
      <c r="A82" t="s">
        <v>138</v>
      </c>
      <c r="B82" t="s">
        <v>213</v>
      </c>
      <c r="C82" t="s">
        <v>70</v>
      </c>
      <c r="D82">
        <v>1328</v>
      </c>
      <c r="E82">
        <v>4.7</v>
      </c>
    </row>
    <row r="83" spans="1:5" x14ac:dyDescent="0.2">
      <c r="A83" t="s">
        <v>138</v>
      </c>
      <c r="B83" t="s">
        <v>214</v>
      </c>
      <c r="C83" t="s">
        <v>71</v>
      </c>
      <c r="D83">
        <v>1257</v>
      </c>
      <c r="E83">
        <v>4.8</v>
      </c>
    </row>
    <row r="84" spans="1:5" x14ac:dyDescent="0.2">
      <c r="A84" t="s">
        <v>138</v>
      </c>
      <c r="B84" t="s">
        <v>215</v>
      </c>
      <c r="C84" t="s">
        <v>72</v>
      </c>
      <c r="D84">
        <v>1397</v>
      </c>
      <c r="E84">
        <v>4.5999999999999996</v>
      </c>
    </row>
    <row r="85" spans="1:5" x14ac:dyDescent="0.2">
      <c r="A85" t="s">
        <v>138</v>
      </c>
      <c r="B85" t="s">
        <v>216</v>
      </c>
      <c r="C85" t="s">
        <v>73</v>
      </c>
      <c r="D85">
        <v>33</v>
      </c>
      <c r="E85">
        <v>24.9</v>
      </c>
    </row>
    <row r="86" spans="1:5" x14ac:dyDescent="0.2">
      <c r="A86" t="s">
        <v>138</v>
      </c>
      <c r="B86" t="s">
        <v>217</v>
      </c>
      <c r="C86" t="s">
        <v>74</v>
      </c>
      <c r="D86">
        <v>143</v>
      </c>
      <c r="E86">
        <v>12.2</v>
      </c>
    </row>
    <row r="87" spans="1:5" x14ac:dyDescent="0.2">
      <c r="A87" t="s">
        <v>138</v>
      </c>
      <c r="B87" t="s">
        <v>218</v>
      </c>
      <c r="C87" t="s">
        <v>75</v>
      </c>
      <c r="D87">
        <v>251</v>
      </c>
      <c r="E87">
        <v>9.3000000000000007</v>
      </c>
    </row>
    <row r="88" spans="1:5" x14ac:dyDescent="0.2">
      <c r="A88" t="s">
        <v>138</v>
      </c>
      <c r="B88" t="s">
        <v>219</v>
      </c>
      <c r="C88" t="s">
        <v>76</v>
      </c>
      <c r="D88">
        <v>481</v>
      </c>
      <c r="E88">
        <v>6.9</v>
      </c>
    </row>
    <row r="89" spans="1:5" x14ac:dyDescent="0.2">
      <c r="A89" t="s">
        <v>138</v>
      </c>
      <c r="B89" t="s">
        <v>220</v>
      </c>
      <c r="C89" t="s">
        <v>77</v>
      </c>
      <c r="D89">
        <v>892</v>
      </c>
      <c r="E89">
        <v>5.4</v>
      </c>
    </row>
    <row r="90" spans="1:5" x14ac:dyDescent="0.2">
      <c r="A90" t="s">
        <v>138</v>
      </c>
      <c r="B90" t="s">
        <v>221</v>
      </c>
      <c r="C90" t="s">
        <v>78</v>
      </c>
      <c r="D90">
        <v>1144</v>
      </c>
      <c r="E90">
        <v>4.9000000000000004</v>
      </c>
    </row>
    <row r="91" spans="1:5" x14ac:dyDescent="0.2">
      <c r="A91" t="s">
        <v>138</v>
      </c>
      <c r="B91" t="s">
        <v>222</v>
      </c>
      <c r="C91" t="s">
        <v>79</v>
      </c>
      <c r="D91">
        <v>1422</v>
      </c>
      <c r="E91">
        <v>4.5999999999999996</v>
      </c>
    </row>
    <row r="92" spans="1:5" x14ac:dyDescent="0.2">
      <c r="A92" t="s">
        <v>138</v>
      </c>
      <c r="B92" t="s">
        <v>223</v>
      </c>
      <c r="C92" t="s">
        <v>80</v>
      </c>
      <c r="D92">
        <v>1391</v>
      </c>
      <c r="E92">
        <v>4.5999999999999996</v>
      </c>
    </row>
    <row r="93" spans="1:5" x14ac:dyDescent="0.2">
      <c r="A93" t="s">
        <v>138</v>
      </c>
      <c r="B93" t="s">
        <v>224</v>
      </c>
      <c r="C93" t="s">
        <v>81</v>
      </c>
      <c r="D93">
        <v>1388</v>
      </c>
      <c r="E93">
        <v>4.5999999999999996</v>
      </c>
    </row>
    <row r="94" spans="1:5" x14ac:dyDescent="0.2">
      <c r="A94" t="s">
        <v>138</v>
      </c>
      <c r="B94" t="s">
        <v>225</v>
      </c>
      <c r="C94" t="s">
        <v>82</v>
      </c>
      <c r="D94">
        <v>1441</v>
      </c>
      <c r="E94">
        <v>4.5999999999999996</v>
      </c>
    </row>
    <row r="95" spans="1:5" x14ac:dyDescent="0.2">
      <c r="A95" t="s">
        <v>138</v>
      </c>
      <c r="B95" t="s">
        <v>226</v>
      </c>
      <c r="C95" t="s">
        <v>83</v>
      </c>
      <c r="D95">
        <v>1289</v>
      </c>
      <c r="E95">
        <v>4.7</v>
      </c>
    </row>
    <row r="96" spans="1:5" x14ac:dyDescent="0.2">
      <c r="A96" t="s">
        <v>138</v>
      </c>
      <c r="B96" t="s">
        <v>227</v>
      </c>
      <c r="C96" t="s">
        <v>84</v>
      </c>
      <c r="D96">
        <v>1268</v>
      </c>
      <c r="E96">
        <v>4.8</v>
      </c>
    </row>
    <row r="97" spans="1:8" x14ac:dyDescent="0.2">
      <c r="A97" t="s">
        <v>138</v>
      </c>
      <c r="B97" t="s">
        <v>228</v>
      </c>
      <c r="C97" t="s">
        <v>85</v>
      </c>
      <c r="D97">
        <v>32</v>
      </c>
      <c r="E97">
        <v>25.1</v>
      </c>
    </row>
    <row r="98" spans="1:8" x14ac:dyDescent="0.2">
      <c r="A98" t="s">
        <v>138</v>
      </c>
      <c r="B98" t="s">
        <v>229</v>
      </c>
      <c r="C98" t="s">
        <v>86</v>
      </c>
      <c r="D98">
        <v>126</v>
      </c>
      <c r="E98">
        <v>13</v>
      </c>
    </row>
    <row r="99" spans="1:8" x14ac:dyDescent="0.2">
      <c r="A99" t="s">
        <v>138</v>
      </c>
      <c r="B99" t="s">
        <v>230</v>
      </c>
      <c r="C99" t="s">
        <v>87</v>
      </c>
      <c r="D99">
        <v>238</v>
      </c>
      <c r="E99">
        <v>9.6</v>
      </c>
    </row>
    <row r="100" spans="1:8" x14ac:dyDescent="0.2">
      <c r="A100" t="s">
        <v>138</v>
      </c>
      <c r="B100" t="s">
        <v>231</v>
      </c>
      <c r="C100" t="s">
        <v>88</v>
      </c>
      <c r="D100">
        <v>455</v>
      </c>
      <c r="E100">
        <v>7.1</v>
      </c>
    </row>
    <row r="101" spans="1:8" x14ac:dyDescent="0.2">
      <c r="A101" t="s">
        <v>138</v>
      </c>
      <c r="B101" t="s">
        <v>232</v>
      </c>
      <c r="C101" t="s">
        <v>89</v>
      </c>
      <c r="D101">
        <v>843</v>
      </c>
      <c r="E101">
        <v>5.5</v>
      </c>
    </row>
    <row r="102" spans="1:8" x14ac:dyDescent="0.2">
      <c r="A102" t="s">
        <v>138</v>
      </c>
      <c r="B102" t="s">
        <v>233</v>
      </c>
      <c r="C102" t="s">
        <v>90</v>
      </c>
      <c r="D102">
        <v>1160</v>
      </c>
      <c r="E102">
        <v>4.9000000000000004</v>
      </c>
    </row>
    <row r="103" spans="1:8" x14ac:dyDescent="0.2">
      <c r="A103" t="s">
        <v>138</v>
      </c>
      <c r="B103" t="s">
        <v>234</v>
      </c>
      <c r="C103" t="s">
        <v>91</v>
      </c>
      <c r="D103">
        <v>1377</v>
      </c>
      <c r="E103">
        <v>4.5999999999999996</v>
      </c>
    </row>
    <row r="104" spans="1:8" x14ac:dyDescent="0.2">
      <c r="A104" t="s">
        <v>138</v>
      </c>
      <c r="B104" t="s">
        <v>235</v>
      </c>
      <c r="C104" t="s">
        <v>92</v>
      </c>
      <c r="D104">
        <v>1380</v>
      </c>
      <c r="E104">
        <v>4.5999999999999996</v>
      </c>
    </row>
    <row r="105" spans="1:8" x14ac:dyDescent="0.2">
      <c r="A105" t="s">
        <v>138</v>
      </c>
      <c r="B105" t="s">
        <v>236</v>
      </c>
      <c r="C105" t="s">
        <v>93</v>
      </c>
      <c r="D105">
        <v>1388</v>
      </c>
      <c r="E105">
        <v>4.5999999999999996</v>
      </c>
    </row>
    <row r="106" spans="1:8" x14ac:dyDescent="0.2">
      <c r="A106" t="s">
        <v>138</v>
      </c>
      <c r="B106" t="s">
        <v>237</v>
      </c>
      <c r="C106" t="s">
        <v>94</v>
      </c>
      <c r="D106">
        <v>1419</v>
      </c>
      <c r="E106">
        <v>4.5999999999999996</v>
      </c>
    </row>
    <row r="107" spans="1:8" x14ac:dyDescent="0.2">
      <c r="A107" t="s">
        <v>138</v>
      </c>
      <c r="B107" t="s">
        <v>238</v>
      </c>
      <c r="C107" t="s">
        <v>95</v>
      </c>
      <c r="D107">
        <v>1283</v>
      </c>
      <c r="E107">
        <v>4.7</v>
      </c>
    </row>
    <row r="108" spans="1:8" x14ac:dyDescent="0.2">
      <c r="A108" t="s">
        <v>138</v>
      </c>
      <c r="B108" t="s">
        <v>239</v>
      </c>
      <c r="C108" t="s">
        <v>0</v>
      </c>
      <c r="D108">
        <v>1435</v>
      </c>
      <c r="E108">
        <v>4.5999999999999996</v>
      </c>
      <c r="G108" t="s">
        <v>864</v>
      </c>
    </row>
    <row r="109" spans="1:8" x14ac:dyDescent="0.2">
      <c r="A109" t="s">
        <v>138</v>
      </c>
      <c r="B109" t="s">
        <v>240</v>
      </c>
      <c r="C109" t="s">
        <v>1</v>
      </c>
      <c r="D109">
        <v>30</v>
      </c>
      <c r="E109">
        <v>26.4</v>
      </c>
      <c r="G109">
        <v>1435</v>
      </c>
      <c r="H109">
        <v>1345</v>
      </c>
    </row>
    <row r="110" spans="1:8" x14ac:dyDescent="0.2">
      <c r="A110" t="s">
        <v>138</v>
      </c>
      <c r="B110" t="s">
        <v>241</v>
      </c>
      <c r="C110" t="s">
        <v>2</v>
      </c>
      <c r="D110">
        <v>86</v>
      </c>
      <c r="E110">
        <v>15.6</v>
      </c>
      <c r="G110">
        <v>30</v>
      </c>
      <c r="H110">
        <v>37</v>
      </c>
    </row>
    <row r="111" spans="1:8" x14ac:dyDescent="0.2">
      <c r="A111" t="s">
        <v>138</v>
      </c>
      <c r="B111" t="s">
        <v>242</v>
      </c>
      <c r="C111" t="s">
        <v>3</v>
      </c>
      <c r="D111">
        <v>218</v>
      </c>
      <c r="E111">
        <v>10</v>
      </c>
      <c r="G111">
        <v>86</v>
      </c>
      <c r="H111">
        <v>88</v>
      </c>
    </row>
    <row r="112" spans="1:8" x14ac:dyDescent="0.2">
      <c r="A112" t="s">
        <v>138</v>
      </c>
      <c r="B112" t="s">
        <v>243</v>
      </c>
      <c r="C112" t="s">
        <v>4</v>
      </c>
      <c r="D112">
        <v>421</v>
      </c>
      <c r="E112">
        <v>7.5</v>
      </c>
      <c r="G112">
        <v>218</v>
      </c>
      <c r="H112">
        <v>217</v>
      </c>
    </row>
    <row r="113" spans="1:8" x14ac:dyDescent="0.2">
      <c r="A113" t="s">
        <v>138</v>
      </c>
      <c r="B113" t="s">
        <v>244</v>
      </c>
      <c r="C113" t="s">
        <v>5</v>
      </c>
      <c r="D113">
        <v>996</v>
      </c>
      <c r="E113">
        <v>5.2</v>
      </c>
      <c r="G113">
        <v>421</v>
      </c>
      <c r="H113">
        <v>485</v>
      </c>
    </row>
    <row r="114" spans="1:8" x14ac:dyDescent="0.2">
      <c r="A114" t="s">
        <v>138</v>
      </c>
      <c r="B114" t="s">
        <v>245</v>
      </c>
      <c r="C114" t="s">
        <v>6</v>
      </c>
      <c r="D114">
        <v>1222</v>
      </c>
      <c r="E114">
        <v>4.9000000000000004</v>
      </c>
      <c r="G114">
        <v>996</v>
      </c>
      <c r="H114">
        <v>992</v>
      </c>
    </row>
    <row r="115" spans="1:8" x14ac:dyDescent="0.2">
      <c r="A115" t="s">
        <v>138</v>
      </c>
      <c r="B115" t="s">
        <v>246</v>
      </c>
      <c r="C115" t="s">
        <v>7</v>
      </c>
      <c r="D115">
        <v>1260</v>
      </c>
      <c r="E115">
        <v>4.8</v>
      </c>
      <c r="G115">
        <v>1222</v>
      </c>
      <c r="H115">
        <v>1264</v>
      </c>
    </row>
    <row r="116" spans="1:8" x14ac:dyDescent="0.2">
      <c r="A116" t="s">
        <v>138</v>
      </c>
      <c r="B116" t="s">
        <v>247</v>
      </c>
      <c r="C116" t="s">
        <v>8</v>
      </c>
      <c r="D116">
        <v>1368</v>
      </c>
      <c r="E116">
        <v>4.7</v>
      </c>
      <c r="G116">
        <v>1260</v>
      </c>
      <c r="H116">
        <v>1421</v>
      </c>
    </row>
    <row r="117" spans="1:8" x14ac:dyDescent="0.2">
      <c r="A117" t="s">
        <v>138</v>
      </c>
      <c r="B117" t="s">
        <v>248</v>
      </c>
      <c r="C117" t="s">
        <v>9</v>
      </c>
      <c r="D117">
        <v>1345</v>
      </c>
      <c r="E117">
        <v>4.7</v>
      </c>
      <c r="G117">
        <v>1368</v>
      </c>
      <c r="H117">
        <v>1340</v>
      </c>
    </row>
    <row r="118" spans="1:8" x14ac:dyDescent="0.2">
      <c r="A118" t="s">
        <v>138</v>
      </c>
      <c r="B118" t="s">
        <v>249</v>
      </c>
      <c r="C118" t="s">
        <v>10</v>
      </c>
      <c r="D118">
        <v>1387</v>
      </c>
      <c r="E118">
        <v>4.5999999999999996</v>
      </c>
      <c r="G118">
        <v>1345</v>
      </c>
      <c r="H118">
        <v>1360</v>
      </c>
    </row>
    <row r="119" spans="1:8" x14ac:dyDescent="0.2">
      <c r="A119" t="s">
        <v>138</v>
      </c>
      <c r="B119" t="s">
        <v>250</v>
      </c>
      <c r="C119" t="s">
        <v>11</v>
      </c>
      <c r="D119">
        <v>1279</v>
      </c>
      <c r="E119">
        <v>4.8</v>
      </c>
      <c r="G119">
        <v>1387</v>
      </c>
      <c r="H119">
        <v>1330</v>
      </c>
    </row>
    <row r="120" spans="1:8" x14ac:dyDescent="0.2">
      <c r="A120" t="s">
        <v>138</v>
      </c>
      <c r="B120" t="s">
        <v>251</v>
      </c>
      <c r="C120" t="s">
        <v>12</v>
      </c>
      <c r="D120">
        <v>1345</v>
      </c>
      <c r="E120">
        <v>4.7</v>
      </c>
      <c r="G120">
        <v>1279</v>
      </c>
      <c r="H120">
        <v>1347</v>
      </c>
    </row>
    <row r="121" spans="1:8" x14ac:dyDescent="0.2">
      <c r="A121" t="s">
        <v>138</v>
      </c>
      <c r="B121" t="s">
        <v>252</v>
      </c>
      <c r="C121" t="s">
        <v>13</v>
      </c>
      <c r="D121">
        <v>37</v>
      </c>
      <c r="E121">
        <v>23.7</v>
      </c>
    </row>
    <row r="122" spans="1:8" x14ac:dyDescent="0.2">
      <c r="A122" t="s">
        <v>138</v>
      </c>
      <c r="B122" t="s">
        <v>253</v>
      </c>
      <c r="C122" t="s">
        <v>14</v>
      </c>
      <c r="D122">
        <v>88</v>
      </c>
      <c r="E122">
        <v>15.5</v>
      </c>
      <c r="G122">
        <v>1351</v>
      </c>
      <c r="H122">
        <v>1302</v>
      </c>
    </row>
    <row r="123" spans="1:8" x14ac:dyDescent="0.2">
      <c r="A123" t="s">
        <v>138</v>
      </c>
      <c r="B123" t="s">
        <v>254</v>
      </c>
      <c r="C123" t="s">
        <v>15</v>
      </c>
      <c r="D123">
        <v>217</v>
      </c>
      <c r="E123">
        <v>10</v>
      </c>
      <c r="G123">
        <v>35</v>
      </c>
      <c r="H123">
        <v>27</v>
      </c>
    </row>
    <row r="124" spans="1:8" x14ac:dyDescent="0.2">
      <c r="A124" t="s">
        <v>138</v>
      </c>
      <c r="B124" t="s">
        <v>255</v>
      </c>
      <c r="C124" t="s">
        <v>16</v>
      </c>
      <c r="D124">
        <v>485</v>
      </c>
      <c r="E124">
        <v>7</v>
      </c>
      <c r="G124">
        <v>70</v>
      </c>
      <c r="H124">
        <v>57</v>
      </c>
    </row>
    <row r="125" spans="1:8" x14ac:dyDescent="0.2">
      <c r="A125" t="s">
        <v>138</v>
      </c>
      <c r="B125" t="s">
        <v>256</v>
      </c>
      <c r="C125" t="s">
        <v>17</v>
      </c>
      <c r="D125">
        <v>992</v>
      </c>
      <c r="E125">
        <v>5.3</v>
      </c>
      <c r="G125">
        <v>134</v>
      </c>
      <c r="H125">
        <v>144</v>
      </c>
    </row>
    <row r="126" spans="1:8" x14ac:dyDescent="0.2">
      <c r="A126" t="s">
        <v>138</v>
      </c>
      <c r="B126" t="s">
        <v>257</v>
      </c>
      <c r="C126" t="s">
        <v>18</v>
      </c>
      <c r="D126">
        <v>1264</v>
      </c>
      <c r="E126">
        <v>4.8</v>
      </c>
      <c r="G126">
        <v>321</v>
      </c>
      <c r="H126">
        <v>320</v>
      </c>
    </row>
    <row r="127" spans="1:8" x14ac:dyDescent="0.2">
      <c r="A127" t="s">
        <v>138</v>
      </c>
      <c r="B127" t="s">
        <v>258</v>
      </c>
      <c r="C127" t="s">
        <v>19</v>
      </c>
      <c r="D127">
        <v>1421</v>
      </c>
      <c r="E127">
        <v>4.5999999999999996</v>
      </c>
      <c r="G127">
        <v>716</v>
      </c>
      <c r="H127">
        <v>680</v>
      </c>
    </row>
    <row r="128" spans="1:8" x14ac:dyDescent="0.2">
      <c r="A128" t="s">
        <v>138</v>
      </c>
      <c r="B128" t="s">
        <v>259</v>
      </c>
      <c r="C128" t="s">
        <v>20</v>
      </c>
      <c r="D128">
        <v>1340</v>
      </c>
      <c r="E128">
        <v>4.7</v>
      </c>
      <c r="G128">
        <v>1011</v>
      </c>
      <c r="H128">
        <v>1075</v>
      </c>
    </row>
    <row r="129" spans="1:8" x14ac:dyDescent="0.2">
      <c r="A129" t="s">
        <v>138</v>
      </c>
      <c r="B129" t="s">
        <v>260</v>
      </c>
      <c r="C129" t="s">
        <v>21</v>
      </c>
      <c r="D129">
        <v>1360</v>
      </c>
      <c r="E129">
        <v>4.7</v>
      </c>
      <c r="G129">
        <v>1277</v>
      </c>
      <c r="H129">
        <v>1329</v>
      </c>
    </row>
    <row r="130" spans="1:8" x14ac:dyDescent="0.2">
      <c r="A130" t="s">
        <v>138</v>
      </c>
      <c r="B130" t="s">
        <v>261</v>
      </c>
      <c r="C130" t="s">
        <v>22</v>
      </c>
      <c r="D130">
        <v>1330</v>
      </c>
      <c r="E130">
        <v>4.7</v>
      </c>
      <c r="G130">
        <v>1395</v>
      </c>
      <c r="H130">
        <v>1335</v>
      </c>
    </row>
    <row r="131" spans="1:8" x14ac:dyDescent="0.2">
      <c r="A131" t="s">
        <v>138</v>
      </c>
      <c r="B131" t="s">
        <v>262</v>
      </c>
      <c r="C131" t="s">
        <v>23</v>
      </c>
      <c r="D131">
        <v>1347</v>
      </c>
      <c r="E131">
        <v>4.7</v>
      </c>
      <c r="G131">
        <v>1324</v>
      </c>
      <c r="H131">
        <v>1347</v>
      </c>
    </row>
    <row r="132" spans="1:8" x14ac:dyDescent="0.2">
      <c r="A132" t="s">
        <v>138</v>
      </c>
      <c r="B132" t="s">
        <v>263</v>
      </c>
      <c r="C132" t="s">
        <v>24</v>
      </c>
      <c r="D132">
        <v>1351</v>
      </c>
      <c r="E132">
        <v>4.7</v>
      </c>
      <c r="G132">
        <v>1444</v>
      </c>
      <c r="H132">
        <v>1395</v>
      </c>
    </row>
    <row r="133" spans="1:8" x14ac:dyDescent="0.2">
      <c r="A133" t="s">
        <v>138</v>
      </c>
      <c r="B133" t="s">
        <v>264</v>
      </c>
      <c r="C133" t="s">
        <v>25</v>
      </c>
      <c r="D133">
        <v>35</v>
      </c>
      <c r="E133">
        <v>24.4</v>
      </c>
      <c r="G133">
        <v>1396</v>
      </c>
      <c r="H133">
        <v>1329</v>
      </c>
    </row>
    <row r="134" spans="1:8" x14ac:dyDescent="0.2">
      <c r="A134" t="s">
        <v>138</v>
      </c>
      <c r="B134" t="s">
        <v>265</v>
      </c>
      <c r="C134" t="s">
        <v>26</v>
      </c>
      <c r="D134">
        <v>70</v>
      </c>
      <c r="E134">
        <v>17.2</v>
      </c>
    </row>
    <row r="135" spans="1:8" x14ac:dyDescent="0.2">
      <c r="A135" t="s">
        <v>138</v>
      </c>
      <c r="B135" t="s">
        <v>266</v>
      </c>
      <c r="C135" t="s">
        <v>27</v>
      </c>
      <c r="D135">
        <v>134</v>
      </c>
      <c r="E135">
        <v>12.6</v>
      </c>
      <c r="G135">
        <v>1338</v>
      </c>
      <c r="H135">
        <v>1369</v>
      </c>
    </row>
    <row r="136" spans="1:8" x14ac:dyDescent="0.2">
      <c r="A136" t="s">
        <v>138</v>
      </c>
      <c r="B136" t="s">
        <v>267</v>
      </c>
      <c r="C136" t="s">
        <v>28</v>
      </c>
      <c r="D136">
        <v>321</v>
      </c>
      <c r="E136">
        <v>8.4</v>
      </c>
      <c r="G136">
        <v>36</v>
      </c>
      <c r="H136">
        <v>29</v>
      </c>
    </row>
    <row r="137" spans="1:8" x14ac:dyDescent="0.2">
      <c r="A137" t="s">
        <v>138</v>
      </c>
      <c r="B137" t="s">
        <v>268</v>
      </c>
      <c r="C137" t="s">
        <v>29</v>
      </c>
      <c r="D137">
        <v>716</v>
      </c>
      <c r="E137">
        <v>6</v>
      </c>
      <c r="G137">
        <v>346</v>
      </c>
      <c r="H137">
        <v>350</v>
      </c>
    </row>
    <row r="138" spans="1:8" x14ac:dyDescent="0.2">
      <c r="A138" t="s">
        <v>138</v>
      </c>
      <c r="B138" t="s">
        <v>269</v>
      </c>
      <c r="C138" t="s">
        <v>30</v>
      </c>
      <c r="D138">
        <v>1011</v>
      </c>
      <c r="E138">
        <v>5.2</v>
      </c>
      <c r="G138">
        <v>737</v>
      </c>
      <c r="H138">
        <v>696</v>
      </c>
    </row>
    <row r="139" spans="1:8" x14ac:dyDescent="0.2">
      <c r="A139" t="s">
        <v>138</v>
      </c>
      <c r="B139" t="s">
        <v>270</v>
      </c>
      <c r="C139" t="s">
        <v>31</v>
      </c>
      <c r="D139">
        <v>1277</v>
      </c>
      <c r="E139">
        <v>4.8</v>
      </c>
      <c r="G139">
        <v>1019</v>
      </c>
      <c r="H139">
        <v>1037</v>
      </c>
    </row>
    <row r="140" spans="1:8" x14ac:dyDescent="0.2">
      <c r="A140" t="s">
        <v>138</v>
      </c>
      <c r="B140" t="s">
        <v>271</v>
      </c>
      <c r="C140" t="s">
        <v>32</v>
      </c>
      <c r="D140">
        <v>1395</v>
      </c>
      <c r="E140">
        <v>4.5999999999999996</v>
      </c>
      <c r="G140">
        <v>1270</v>
      </c>
      <c r="H140">
        <v>1237</v>
      </c>
    </row>
    <row r="141" spans="1:8" x14ac:dyDescent="0.2">
      <c r="A141" t="s">
        <v>138</v>
      </c>
      <c r="B141" t="s">
        <v>272</v>
      </c>
      <c r="C141" t="s">
        <v>33</v>
      </c>
      <c r="D141">
        <v>1324</v>
      </c>
      <c r="E141">
        <v>4.7</v>
      </c>
      <c r="G141">
        <v>1408</v>
      </c>
      <c r="H141">
        <v>1343</v>
      </c>
    </row>
    <row r="142" spans="1:8" x14ac:dyDescent="0.2">
      <c r="A142" t="s">
        <v>138</v>
      </c>
      <c r="B142" t="s">
        <v>273</v>
      </c>
      <c r="C142" t="s">
        <v>34</v>
      </c>
      <c r="D142">
        <v>1444</v>
      </c>
      <c r="E142">
        <v>4.5999999999999996</v>
      </c>
      <c r="G142">
        <v>1452</v>
      </c>
      <c r="H142">
        <v>1403</v>
      </c>
    </row>
    <row r="143" spans="1:8" x14ac:dyDescent="0.2">
      <c r="A143" t="s">
        <v>138</v>
      </c>
      <c r="B143" t="s">
        <v>274</v>
      </c>
      <c r="C143" t="s">
        <v>35</v>
      </c>
      <c r="D143">
        <v>1396</v>
      </c>
      <c r="E143">
        <v>4.5999999999999996</v>
      </c>
      <c r="G143">
        <v>1421</v>
      </c>
      <c r="H143">
        <v>1464</v>
      </c>
    </row>
    <row r="144" spans="1:8" x14ac:dyDescent="0.2">
      <c r="A144" t="s">
        <v>138</v>
      </c>
      <c r="B144" t="s">
        <v>275</v>
      </c>
      <c r="C144" t="s">
        <v>36</v>
      </c>
      <c r="D144">
        <v>1302</v>
      </c>
      <c r="E144">
        <v>4.7</v>
      </c>
      <c r="G144">
        <v>1369</v>
      </c>
      <c r="H144">
        <v>1339</v>
      </c>
    </row>
    <row r="145" spans="1:8" x14ac:dyDescent="0.2">
      <c r="A145" t="s">
        <v>138</v>
      </c>
      <c r="B145" t="s">
        <v>276</v>
      </c>
      <c r="C145" t="s">
        <v>37</v>
      </c>
      <c r="D145">
        <v>27</v>
      </c>
      <c r="E145">
        <v>27.9</v>
      </c>
      <c r="G145">
        <v>1303</v>
      </c>
      <c r="H145">
        <v>1354</v>
      </c>
    </row>
    <row r="146" spans="1:8" x14ac:dyDescent="0.2">
      <c r="A146" t="s">
        <v>138</v>
      </c>
      <c r="B146" t="s">
        <v>277</v>
      </c>
      <c r="C146" t="s">
        <v>38</v>
      </c>
      <c r="D146">
        <v>57</v>
      </c>
      <c r="E146">
        <v>19.100000000000001</v>
      </c>
      <c r="G146">
        <v>1407</v>
      </c>
      <c r="H146">
        <v>1383</v>
      </c>
    </row>
    <row r="147" spans="1:8" x14ac:dyDescent="0.2">
      <c r="A147" t="s">
        <v>138</v>
      </c>
      <c r="B147" t="s">
        <v>278</v>
      </c>
      <c r="C147" t="s">
        <v>39</v>
      </c>
      <c r="D147">
        <v>144</v>
      </c>
      <c r="E147">
        <v>12.2</v>
      </c>
    </row>
    <row r="148" spans="1:8" x14ac:dyDescent="0.2">
      <c r="A148" t="s">
        <v>138</v>
      </c>
      <c r="B148" t="s">
        <v>279</v>
      </c>
      <c r="C148" t="s">
        <v>40</v>
      </c>
      <c r="D148">
        <v>320</v>
      </c>
      <c r="E148">
        <v>8.4</v>
      </c>
      <c r="G148">
        <v>1354</v>
      </c>
      <c r="H148">
        <v>1389</v>
      </c>
    </row>
    <row r="149" spans="1:8" x14ac:dyDescent="0.2">
      <c r="A149" t="s">
        <v>138</v>
      </c>
      <c r="B149" t="s">
        <v>280</v>
      </c>
      <c r="C149" t="s">
        <v>41</v>
      </c>
      <c r="D149">
        <v>680</v>
      </c>
      <c r="E149">
        <v>6.1</v>
      </c>
      <c r="G149">
        <v>27</v>
      </c>
      <c r="H149">
        <v>27</v>
      </c>
    </row>
    <row r="150" spans="1:8" x14ac:dyDescent="0.2">
      <c r="A150" t="s">
        <v>138</v>
      </c>
      <c r="B150" t="s">
        <v>281</v>
      </c>
      <c r="C150" t="s">
        <v>42</v>
      </c>
      <c r="D150">
        <v>1075</v>
      </c>
      <c r="E150">
        <v>5.0999999999999996</v>
      </c>
      <c r="G150">
        <v>447</v>
      </c>
      <c r="H150">
        <v>424</v>
      </c>
    </row>
    <row r="151" spans="1:8" x14ac:dyDescent="0.2">
      <c r="A151" t="s">
        <v>138</v>
      </c>
      <c r="B151" t="s">
        <v>282</v>
      </c>
      <c r="C151" t="s">
        <v>43</v>
      </c>
      <c r="D151">
        <v>1329</v>
      </c>
      <c r="E151">
        <v>4.7</v>
      </c>
      <c r="G151">
        <v>754</v>
      </c>
      <c r="H151">
        <v>764</v>
      </c>
    </row>
    <row r="152" spans="1:8" x14ac:dyDescent="0.2">
      <c r="A152" t="s">
        <v>138</v>
      </c>
      <c r="B152" t="s">
        <v>283</v>
      </c>
      <c r="C152" t="s">
        <v>44</v>
      </c>
      <c r="D152">
        <v>1335</v>
      </c>
      <c r="E152">
        <v>4.7</v>
      </c>
      <c r="G152">
        <v>1108</v>
      </c>
      <c r="H152">
        <v>1030</v>
      </c>
    </row>
    <row r="153" spans="1:8" x14ac:dyDescent="0.2">
      <c r="A153" t="s">
        <v>138</v>
      </c>
      <c r="B153" t="s">
        <v>284</v>
      </c>
      <c r="C153" t="s">
        <v>45</v>
      </c>
      <c r="D153">
        <v>1347</v>
      </c>
      <c r="E153">
        <v>4.7</v>
      </c>
      <c r="G153">
        <v>1314</v>
      </c>
      <c r="H153">
        <v>1247</v>
      </c>
    </row>
    <row r="154" spans="1:8" x14ac:dyDescent="0.2">
      <c r="A154" t="s">
        <v>138</v>
      </c>
      <c r="B154" t="s">
        <v>285</v>
      </c>
      <c r="C154" t="s">
        <v>46</v>
      </c>
      <c r="D154">
        <v>1395</v>
      </c>
      <c r="E154">
        <v>4.5999999999999996</v>
      </c>
      <c r="G154">
        <v>1245</v>
      </c>
      <c r="H154">
        <v>1326</v>
      </c>
    </row>
    <row r="155" spans="1:8" x14ac:dyDescent="0.2">
      <c r="A155" t="s">
        <v>138</v>
      </c>
      <c r="B155" t="s">
        <v>286</v>
      </c>
      <c r="C155" t="s">
        <v>47</v>
      </c>
      <c r="D155">
        <v>1329</v>
      </c>
      <c r="E155">
        <v>4.7</v>
      </c>
      <c r="G155">
        <v>1423</v>
      </c>
      <c r="H155">
        <v>1389</v>
      </c>
    </row>
    <row r="156" spans="1:8" x14ac:dyDescent="0.2">
      <c r="A156" t="s">
        <v>138</v>
      </c>
      <c r="B156" t="s">
        <v>287</v>
      </c>
      <c r="C156" t="s">
        <v>48</v>
      </c>
      <c r="D156">
        <v>1338</v>
      </c>
      <c r="E156">
        <v>4.7</v>
      </c>
      <c r="G156">
        <v>1400</v>
      </c>
      <c r="H156">
        <v>1375</v>
      </c>
    </row>
    <row r="157" spans="1:8" x14ac:dyDescent="0.2">
      <c r="A157" t="s">
        <v>138</v>
      </c>
      <c r="B157" t="s">
        <v>288</v>
      </c>
      <c r="C157" t="s">
        <v>49</v>
      </c>
      <c r="D157">
        <v>36</v>
      </c>
      <c r="E157">
        <v>23.9</v>
      </c>
      <c r="G157">
        <v>1338</v>
      </c>
      <c r="H157">
        <v>1357</v>
      </c>
    </row>
    <row r="158" spans="1:8" x14ac:dyDescent="0.2">
      <c r="A158" t="s">
        <v>138</v>
      </c>
      <c r="B158" t="s">
        <v>289</v>
      </c>
      <c r="C158" t="s">
        <v>50</v>
      </c>
      <c r="D158">
        <v>346</v>
      </c>
      <c r="E158">
        <v>8.1</v>
      </c>
      <c r="G158">
        <v>1359</v>
      </c>
      <c r="H158">
        <v>1405</v>
      </c>
    </row>
    <row r="159" spans="1:8" x14ac:dyDescent="0.2">
      <c r="A159" t="s">
        <v>138</v>
      </c>
      <c r="B159" t="s">
        <v>290</v>
      </c>
      <c r="C159" t="s">
        <v>51</v>
      </c>
      <c r="D159">
        <v>737</v>
      </c>
      <c r="E159">
        <v>5.9</v>
      </c>
      <c r="G159">
        <v>1374</v>
      </c>
      <c r="H159">
        <v>1330</v>
      </c>
    </row>
    <row r="160" spans="1:8" x14ac:dyDescent="0.2">
      <c r="A160" t="s">
        <v>138</v>
      </c>
      <c r="B160" t="s">
        <v>291</v>
      </c>
      <c r="C160" t="s">
        <v>52</v>
      </c>
      <c r="D160">
        <v>1019</v>
      </c>
      <c r="E160">
        <v>5.0999999999999996</v>
      </c>
    </row>
    <row r="161" spans="1:5" x14ac:dyDescent="0.2">
      <c r="A161" t="s">
        <v>138</v>
      </c>
      <c r="B161" t="s">
        <v>292</v>
      </c>
      <c r="C161" t="s">
        <v>53</v>
      </c>
      <c r="D161">
        <v>1270</v>
      </c>
      <c r="E161">
        <v>4.7</v>
      </c>
    </row>
    <row r="162" spans="1:5" x14ac:dyDescent="0.2">
      <c r="A162" t="s">
        <v>138</v>
      </c>
      <c r="B162" t="s">
        <v>293</v>
      </c>
      <c r="C162" t="s">
        <v>54</v>
      </c>
      <c r="D162">
        <v>1408</v>
      </c>
      <c r="E162">
        <v>4.5999999999999996</v>
      </c>
    </row>
    <row r="163" spans="1:5" x14ac:dyDescent="0.2">
      <c r="A163" t="s">
        <v>138</v>
      </c>
      <c r="B163" t="s">
        <v>294</v>
      </c>
      <c r="C163" t="s">
        <v>55</v>
      </c>
      <c r="D163">
        <v>1452</v>
      </c>
      <c r="E163">
        <v>4.5</v>
      </c>
    </row>
    <row r="164" spans="1:5" x14ac:dyDescent="0.2">
      <c r="A164" t="s">
        <v>138</v>
      </c>
      <c r="B164" t="s">
        <v>295</v>
      </c>
      <c r="C164" t="s">
        <v>56</v>
      </c>
      <c r="D164">
        <v>1421</v>
      </c>
      <c r="E164">
        <v>4.5999999999999996</v>
      </c>
    </row>
    <row r="165" spans="1:5" x14ac:dyDescent="0.2">
      <c r="A165" t="s">
        <v>138</v>
      </c>
      <c r="B165" t="s">
        <v>296</v>
      </c>
      <c r="C165" t="s">
        <v>57</v>
      </c>
      <c r="D165">
        <v>1369</v>
      </c>
      <c r="E165">
        <v>4.5999999999999996</v>
      </c>
    </row>
    <row r="166" spans="1:5" x14ac:dyDescent="0.2">
      <c r="A166" t="s">
        <v>138</v>
      </c>
      <c r="B166" t="s">
        <v>297</v>
      </c>
      <c r="C166" t="s">
        <v>58</v>
      </c>
      <c r="D166">
        <v>1303</v>
      </c>
      <c r="E166">
        <v>4.7</v>
      </c>
    </row>
    <row r="167" spans="1:5" x14ac:dyDescent="0.2">
      <c r="A167" t="s">
        <v>138</v>
      </c>
      <c r="B167" t="s">
        <v>298</v>
      </c>
      <c r="C167" t="s">
        <v>59</v>
      </c>
      <c r="D167">
        <v>1407</v>
      </c>
      <c r="E167">
        <v>4.5999999999999996</v>
      </c>
    </row>
    <row r="168" spans="1:5" x14ac:dyDescent="0.2">
      <c r="A168" t="s">
        <v>138</v>
      </c>
      <c r="B168" t="s">
        <v>299</v>
      </c>
      <c r="C168" t="s">
        <v>60</v>
      </c>
      <c r="D168">
        <v>1369</v>
      </c>
      <c r="E168">
        <v>4.5999999999999996</v>
      </c>
    </row>
    <row r="169" spans="1:5" x14ac:dyDescent="0.2">
      <c r="A169" t="s">
        <v>138</v>
      </c>
      <c r="B169" t="s">
        <v>300</v>
      </c>
      <c r="C169" t="s">
        <v>61</v>
      </c>
      <c r="D169">
        <v>29</v>
      </c>
      <c r="E169">
        <v>26.4</v>
      </c>
    </row>
    <row r="170" spans="1:5" x14ac:dyDescent="0.2">
      <c r="A170" t="s">
        <v>138</v>
      </c>
      <c r="B170" t="s">
        <v>301</v>
      </c>
      <c r="C170" t="s">
        <v>62</v>
      </c>
      <c r="D170">
        <v>350</v>
      </c>
      <c r="E170">
        <v>8</v>
      </c>
    </row>
    <row r="171" spans="1:5" x14ac:dyDescent="0.2">
      <c r="A171" t="s">
        <v>138</v>
      </c>
      <c r="B171" t="s">
        <v>302</v>
      </c>
      <c r="C171" t="s">
        <v>63</v>
      </c>
      <c r="D171">
        <v>696</v>
      </c>
      <c r="E171">
        <v>6</v>
      </c>
    </row>
    <row r="172" spans="1:5" x14ac:dyDescent="0.2">
      <c r="A172" t="s">
        <v>138</v>
      </c>
      <c r="B172" t="s">
        <v>303</v>
      </c>
      <c r="C172" t="s">
        <v>64</v>
      </c>
      <c r="D172">
        <v>1037</v>
      </c>
      <c r="E172">
        <v>5.0999999999999996</v>
      </c>
    </row>
    <row r="173" spans="1:5" x14ac:dyDescent="0.2">
      <c r="A173" t="s">
        <v>138</v>
      </c>
      <c r="B173" t="s">
        <v>304</v>
      </c>
      <c r="C173" t="s">
        <v>65</v>
      </c>
      <c r="D173">
        <v>1237</v>
      </c>
      <c r="E173">
        <v>4.8</v>
      </c>
    </row>
    <row r="174" spans="1:5" x14ac:dyDescent="0.2">
      <c r="A174" t="s">
        <v>138</v>
      </c>
      <c r="B174" t="s">
        <v>305</v>
      </c>
      <c r="C174" t="s">
        <v>66</v>
      </c>
      <c r="D174">
        <v>1343</v>
      </c>
      <c r="E174">
        <v>4.5999999999999996</v>
      </c>
    </row>
    <row r="175" spans="1:5" x14ac:dyDescent="0.2">
      <c r="A175" t="s">
        <v>138</v>
      </c>
      <c r="B175" t="s">
        <v>306</v>
      </c>
      <c r="C175" t="s">
        <v>67</v>
      </c>
      <c r="D175">
        <v>1403</v>
      </c>
      <c r="E175">
        <v>4.5999999999999996</v>
      </c>
    </row>
    <row r="176" spans="1:5" x14ac:dyDescent="0.2">
      <c r="A176" t="s">
        <v>138</v>
      </c>
      <c r="B176" t="s">
        <v>307</v>
      </c>
      <c r="C176" t="s">
        <v>68</v>
      </c>
      <c r="D176">
        <v>1464</v>
      </c>
      <c r="E176">
        <v>4.5</v>
      </c>
    </row>
    <row r="177" spans="1:5" x14ac:dyDescent="0.2">
      <c r="A177" t="s">
        <v>138</v>
      </c>
      <c r="B177" t="s">
        <v>308</v>
      </c>
      <c r="C177" t="s">
        <v>69</v>
      </c>
      <c r="D177">
        <v>1339</v>
      </c>
      <c r="E177">
        <v>4.7</v>
      </c>
    </row>
    <row r="178" spans="1:5" x14ac:dyDescent="0.2">
      <c r="A178" t="s">
        <v>138</v>
      </c>
      <c r="B178" t="s">
        <v>309</v>
      </c>
      <c r="C178" t="s">
        <v>70</v>
      </c>
      <c r="D178">
        <v>1354</v>
      </c>
      <c r="E178">
        <v>4.7</v>
      </c>
    </row>
    <row r="179" spans="1:5" x14ac:dyDescent="0.2">
      <c r="A179" t="s">
        <v>138</v>
      </c>
      <c r="B179" t="s">
        <v>310</v>
      </c>
      <c r="C179" t="s">
        <v>71</v>
      </c>
      <c r="D179">
        <v>1383</v>
      </c>
      <c r="E179">
        <v>4.5999999999999996</v>
      </c>
    </row>
    <row r="180" spans="1:5" x14ac:dyDescent="0.2">
      <c r="A180" t="s">
        <v>138</v>
      </c>
      <c r="B180" t="s">
        <v>311</v>
      </c>
      <c r="C180" t="s">
        <v>72</v>
      </c>
      <c r="D180">
        <v>1354</v>
      </c>
      <c r="E180">
        <v>4.7</v>
      </c>
    </row>
    <row r="181" spans="1:5" x14ac:dyDescent="0.2">
      <c r="A181" t="s">
        <v>138</v>
      </c>
      <c r="B181" t="s">
        <v>312</v>
      </c>
      <c r="C181" t="s">
        <v>73</v>
      </c>
      <c r="D181">
        <v>27</v>
      </c>
      <c r="E181">
        <v>27.3</v>
      </c>
    </row>
    <row r="182" spans="1:5" x14ac:dyDescent="0.2">
      <c r="A182" t="s">
        <v>138</v>
      </c>
      <c r="B182" t="s">
        <v>313</v>
      </c>
      <c r="C182" t="s">
        <v>74</v>
      </c>
      <c r="D182">
        <v>447</v>
      </c>
      <c r="E182">
        <v>7.2</v>
      </c>
    </row>
    <row r="183" spans="1:5" x14ac:dyDescent="0.2">
      <c r="A183" t="s">
        <v>138</v>
      </c>
      <c r="B183" t="s">
        <v>314</v>
      </c>
      <c r="C183" t="s">
        <v>75</v>
      </c>
      <c r="D183">
        <v>754</v>
      </c>
      <c r="E183">
        <v>5.8</v>
      </c>
    </row>
    <row r="184" spans="1:5" x14ac:dyDescent="0.2">
      <c r="A184" t="s">
        <v>138</v>
      </c>
      <c r="B184" t="s">
        <v>315</v>
      </c>
      <c r="C184" t="s">
        <v>76</v>
      </c>
      <c r="D184">
        <v>1108</v>
      </c>
      <c r="E184">
        <v>5</v>
      </c>
    </row>
    <row r="185" spans="1:5" x14ac:dyDescent="0.2">
      <c r="A185" t="s">
        <v>138</v>
      </c>
      <c r="B185" t="s">
        <v>316</v>
      </c>
      <c r="C185" t="s">
        <v>77</v>
      </c>
      <c r="D185">
        <v>1314</v>
      </c>
      <c r="E185">
        <v>4.7</v>
      </c>
    </row>
    <row r="186" spans="1:5" x14ac:dyDescent="0.2">
      <c r="A186" t="s">
        <v>138</v>
      </c>
      <c r="B186" t="s">
        <v>317</v>
      </c>
      <c r="C186" t="s">
        <v>78</v>
      </c>
      <c r="D186">
        <v>1245</v>
      </c>
      <c r="E186">
        <v>4.8</v>
      </c>
    </row>
    <row r="187" spans="1:5" x14ac:dyDescent="0.2">
      <c r="A187" t="s">
        <v>138</v>
      </c>
      <c r="B187" t="s">
        <v>318</v>
      </c>
      <c r="C187" t="s">
        <v>79</v>
      </c>
      <c r="D187">
        <v>1423</v>
      </c>
      <c r="E187">
        <v>4.5999999999999996</v>
      </c>
    </row>
    <row r="188" spans="1:5" x14ac:dyDescent="0.2">
      <c r="A188" t="s">
        <v>138</v>
      </c>
      <c r="B188" t="s">
        <v>319</v>
      </c>
      <c r="C188" t="s">
        <v>80</v>
      </c>
      <c r="D188">
        <v>1400</v>
      </c>
      <c r="E188">
        <v>4.5999999999999996</v>
      </c>
    </row>
    <row r="189" spans="1:5" x14ac:dyDescent="0.2">
      <c r="A189" t="s">
        <v>138</v>
      </c>
      <c r="B189" t="s">
        <v>320</v>
      </c>
      <c r="C189" t="s">
        <v>81</v>
      </c>
      <c r="D189">
        <v>1338</v>
      </c>
      <c r="E189">
        <v>4.7</v>
      </c>
    </row>
    <row r="190" spans="1:5" x14ac:dyDescent="0.2">
      <c r="A190" t="s">
        <v>138</v>
      </c>
      <c r="B190" t="s">
        <v>321</v>
      </c>
      <c r="C190" t="s">
        <v>82</v>
      </c>
      <c r="D190">
        <v>1359</v>
      </c>
      <c r="E190">
        <v>4.5999999999999996</v>
      </c>
    </row>
    <row r="191" spans="1:5" x14ac:dyDescent="0.2">
      <c r="A191" t="s">
        <v>138</v>
      </c>
      <c r="B191" t="s">
        <v>322</v>
      </c>
      <c r="C191" t="s">
        <v>83</v>
      </c>
      <c r="D191">
        <v>1374</v>
      </c>
      <c r="E191">
        <v>4.5999999999999996</v>
      </c>
    </row>
    <row r="192" spans="1:5" x14ac:dyDescent="0.2">
      <c r="A192" t="s">
        <v>138</v>
      </c>
      <c r="B192" t="s">
        <v>323</v>
      </c>
      <c r="C192" t="s">
        <v>84</v>
      </c>
      <c r="D192">
        <v>1389</v>
      </c>
      <c r="E192">
        <v>4.5999999999999996</v>
      </c>
    </row>
    <row r="193" spans="1:8" x14ac:dyDescent="0.2">
      <c r="A193" t="s">
        <v>138</v>
      </c>
      <c r="B193" t="s">
        <v>324</v>
      </c>
      <c r="C193" t="s">
        <v>85</v>
      </c>
      <c r="D193">
        <v>27</v>
      </c>
      <c r="E193">
        <v>27.6</v>
      </c>
    </row>
    <row r="194" spans="1:8" x14ac:dyDescent="0.2">
      <c r="A194" t="s">
        <v>138</v>
      </c>
      <c r="B194" t="s">
        <v>325</v>
      </c>
      <c r="C194" t="s">
        <v>86</v>
      </c>
      <c r="D194">
        <v>424</v>
      </c>
      <c r="E194">
        <v>7.4</v>
      </c>
    </row>
    <row r="195" spans="1:8" x14ac:dyDescent="0.2">
      <c r="A195" t="s">
        <v>138</v>
      </c>
      <c r="B195" t="s">
        <v>326</v>
      </c>
      <c r="C195" t="s">
        <v>87</v>
      </c>
      <c r="D195">
        <v>764</v>
      </c>
      <c r="E195">
        <v>5.8</v>
      </c>
    </row>
    <row r="196" spans="1:8" x14ac:dyDescent="0.2">
      <c r="A196" t="s">
        <v>138</v>
      </c>
      <c r="B196" t="s">
        <v>327</v>
      </c>
      <c r="C196" t="s">
        <v>88</v>
      </c>
      <c r="D196">
        <v>1030</v>
      </c>
      <c r="E196">
        <v>5.0999999999999996</v>
      </c>
    </row>
    <row r="197" spans="1:8" x14ac:dyDescent="0.2">
      <c r="A197" t="s">
        <v>138</v>
      </c>
      <c r="B197" t="s">
        <v>328</v>
      </c>
      <c r="C197" t="s">
        <v>89</v>
      </c>
      <c r="D197">
        <v>1247</v>
      </c>
      <c r="E197">
        <v>4.8</v>
      </c>
    </row>
    <row r="198" spans="1:8" x14ac:dyDescent="0.2">
      <c r="A198" t="s">
        <v>138</v>
      </c>
      <c r="B198" t="s">
        <v>329</v>
      </c>
      <c r="C198" t="s">
        <v>90</v>
      </c>
      <c r="D198">
        <v>1326</v>
      </c>
      <c r="E198">
        <v>4.7</v>
      </c>
    </row>
    <row r="199" spans="1:8" x14ac:dyDescent="0.2">
      <c r="A199" t="s">
        <v>138</v>
      </c>
      <c r="B199" t="s">
        <v>330</v>
      </c>
      <c r="C199" t="s">
        <v>91</v>
      </c>
      <c r="D199">
        <v>1389</v>
      </c>
      <c r="E199">
        <v>4.5999999999999996</v>
      </c>
    </row>
    <row r="200" spans="1:8" x14ac:dyDescent="0.2">
      <c r="A200" t="s">
        <v>138</v>
      </c>
      <c r="B200" t="s">
        <v>331</v>
      </c>
      <c r="C200" t="s">
        <v>92</v>
      </c>
      <c r="D200">
        <v>1375</v>
      </c>
      <c r="E200">
        <v>4.5999999999999996</v>
      </c>
    </row>
    <row r="201" spans="1:8" x14ac:dyDescent="0.2">
      <c r="A201" t="s">
        <v>138</v>
      </c>
      <c r="B201" t="s">
        <v>332</v>
      </c>
      <c r="C201" t="s">
        <v>93</v>
      </c>
      <c r="D201">
        <v>1357</v>
      </c>
      <c r="E201">
        <v>4.5999999999999996</v>
      </c>
    </row>
    <row r="202" spans="1:8" x14ac:dyDescent="0.2">
      <c r="A202" t="s">
        <v>138</v>
      </c>
      <c r="B202" t="s">
        <v>333</v>
      </c>
      <c r="C202" t="s">
        <v>94</v>
      </c>
      <c r="D202">
        <v>1405</v>
      </c>
      <c r="E202">
        <v>4.5999999999999996</v>
      </c>
    </row>
    <row r="203" spans="1:8" x14ac:dyDescent="0.2">
      <c r="A203" t="s">
        <v>138</v>
      </c>
      <c r="B203" t="s">
        <v>334</v>
      </c>
      <c r="C203" t="s">
        <v>95</v>
      </c>
      <c r="D203">
        <v>1330</v>
      </c>
      <c r="E203">
        <v>4.7</v>
      </c>
    </row>
    <row r="204" spans="1:8" x14ac:dyDescent="0.2">
      <c r="A204" t="s">
        <v>138</v>
      </c>
      <c r="B204" t="s">
        <v>335</v>
      </c>
      <c r="C204" t="s">
        <v>0</v>
      </c>
      <c r="D204">
        <v>7420</v>
      </c>
      <c r="E204">
        <v>3.1</v>
      </c>
      <c r="G204" t="s">
        <v>851</v>
      </c>
    </row>
    <row r="205" spans="1:8" x14ac:dyDescent="0.2">
      <c r="A205" t="s">
        <v>138</v>
      </c>
      <c r="B205" t="s">
        <v>336</v>
      </c>
      <c r="C205" t="s">
        <v>1</v>
      </c>
      <c r="D205">
        <v>23</v>
      </c>
      <c r="E205">
        <v>29.6</v>
      </c>
      <c r="G205">
        <v>7420</v>
      </c>
      <c r="H205">
        <v>7257</v>
      </c>
    </row>
    <row r="206" spans="1:8" x14ac:dyDescent="0.2">
      <c r="A206" t="s">
        <v>138</v>
      </c>
      <c r="B206" t="s">
        <v>337</v>
      </c>
      <c r="C206" t="s">
        <v>2</v>
      </c>
      <c r="D206">
        <v>242</v>
      </c>
      <c r="E206">
        <v>9.5</v>
      </c>
      <c r="G206">
        <v>23</v>
      </c>
      <c r="H206">
        <v>33</v>
      </c>
    </row>
    <row r="207" spans="1:8" x14ac:dyDescent="0.2">
      <c r="A207" t="s">
        <v>138</v>
      </c>
      <c r="B207" t="s">
        <v>338</v>
      </c>
      <c r="C207" t="s">
        <v>3</v>
      </c>
      <c r="D207">
        <v>656</v>
      </c>
      <c r="E207">
        <v>6.2</v>
      </c>
      <c r="G207">
        <v>242</v>
      </c>
      <c r="H207">
        <v>231</v>
      </c>
    </row>
    <row r="208" spans="1:8" x14ac:dyDescent="0.2">
      <c r="A208" t="s">
        <v>138</v>
      </c>
      <c r="B208" t="s">
        <v>339</v>
      </c>
      <c r="C208" t="s">
        <v>4</v>
      </c>
      <c r="D208">
        <v>2845</v>
      </c>
      <c r="E208">
        <v>3.7</v>
      </c>
      <c r="G208">
        <v>656</v>
      </c>
      <c r="H208">
        <v>717</v>
      </c>
    </row>
    <row r="209" spans="1:8" x14ac:dyDescent="0.2">
      <c r="A209" t="s">
        <v>138</v>
      </c>
      <c r="B209" t="s">
        <v>340</v>
      </c>
      <c r="C209" t="s">
        <v>5</v>
      </c>
      <c r="D209">
        <v>6786</v>
      </c>
      <c r="E209">
        <v>3.1</v>
      </c>
      <c r="G209">
        <v>2845</v>
      </c>
      <c r="H209">
        <v>3165</v>
      </c>
    </row>
    <row r="210" spans="1:8" x14ac:dyDescent="0.2">
      <c r="A210" t="s">
        <v>138</v>
      </c>
      <c r="B210" t="s">
        <v>341</v>
      </c>
      <c r="C210" t="s">
        <v>6</v>
      </c>
      <c r="D210">
        <v>7288</v>
      </c>
      <c r="E210">
        <v>3.1</v>
      </c>
      <c r="G210">
        <v>6786</v>
      </c>
      <c r="H210">
        <v>6468</v>
      </c>
    </row>
    <row r="211" spans="1:8" x14ac:dyDescent="0.2">
      <c r="A211" t="s">
        <v>138</v>
      </c>
      <c r="B211" t="s">
        <v>342</v>
      </c>
      <c r="C211" t="s">
        <v>7</v>
      </c>
      <c r="D211">
        <v>7712</v>
      </c>
      <c r="E211">
        <v>3.1</v>
      </c>
      <c r="G211">
        <v>7288</v>
      </c>
      <c r="H211">
        <v>7387</v>
      </c>
    </row>
    <row r="212" spans="1:8" x14ac:dyDescent="0.2">
      <c r="A212" t="s">
        <v>138</v>
      </c>
      <c r="B212" t="s">
        <v>343</v>
      </c>
      <c r="C212" t="s">
        <v>8</v>
      </c>
      <c r="D212">
        <v>7723</v>
      </c>
      <c r="E212">
        <v>3.1</v>
      </c>
      <c r="G212">
        <v>7712</v>
      </c>
      <c r="H212">
        <v>7455</v>
      </c>
    </row>
    <row r="213" spans="1:8" x14ac:dyDescent="0.2">
      <c r="A213" t="s">
        <v>138</v>
      </c>
      <c r="B213" t="s">
        <v>344</v>
      </c>
      <c r="C213" t="s">
        <v>9</v>
      </c>
      <c r="D213">
        <v>7543</v>
      </c>
      <c r="E213">
        <v>3.1</v>
      </c>
      <c r="G213">
        <v>7723</v>
      </c>
      <c r="H213">
        <v>6962</v>
      </c>
    </row>
    <row r="214" spans="1:8" x14ac:dyDescent="0.2">
      <c r="A214" t="s">
        <v>138</v>
      </c>
      <c r="B214" t="s">
        <v>345</v>
      </c>
      <c r="C214" t="s">
        <v>10</v>
      </c>
      <c r="D214">
        <v>7245</v>
      </c>
      <c r="E214">
        <v>3.1</v>
      </c>
      <c r="G214">
        <v>7543</v>
      </c>
      <c r="H214">
        <v>6869</v>
      </c>
    </row>
    <row r="215" spans="1:8" x14ac:dyDescent="0.2">
      <c r="A215" t="s">
        <v>138</v>
      </c>
      <c r="B215" t="s">
        <v>346</v>
      </c>
      <c r="C215" t="s">
        <v>11</v>
      </c>
      <c r="D215">
        <v>6909</v>
      </c>
      <c r="E215">
        <v>3.1</v>
      </c>
      <c r="G215">
        <v>7245</v>
      </c>
      <c r="H215">
        <v>7058</v>
      </c>
    </row>
    <row r="216" spans="1:8" x14ac:dyDescent="0.2">
      <c r="A216" t="s">
        <v>138</v>
      </c>
      <c r="B216" t="s">
        <v>347</v>
      </c>
      <c r="C216" t="s">
        <v>12</v>
      </c>
      <c r="D216">
        <v>7257</v>
      </c>
      <c r="E216">
        <v>3.1</v>
      </c>
      <c r="G216">
        <v>6909</v>
      </c>
      <c r="H216">
        <v>6952</v>
      </c>
    </row>
    <row r="217" spans="1:8" x14ac:dyDescent="0.2">
      <c r="A217" t="s">
        <v>138</v>
      </c>
      <c r="B217" t="s">
        <v>348</v>
      </c>
      <c r="C217" t="s">
        <v>13</v>
      </c>
      <c r="D217">
        <v>33</v>
      </c>
      <c r="E217">
        <v>24.9</v>
      </c>
    </row>
    <row r="218" spans="1:8" x14ac:dyDescent="0.2">
      <c r="A218" t="s">
        <v>138</v>
      </c>
      <c r="B218" t="s">
        <v>349</v>
      </c>
      <c r="C218" t="s">
        <v>14</v>
      </c>
      <c r="D218">
        <v>231</v>
      </c>
      <c r="E218">
        <v>9.8000000000000007</v>
      </c>
      <c r="G218">
        <v>7390</v>
      </c>
      <c r="H218">
        <v>7178</v>
      </c>
    </row>
    <row r="219" spans="1:8" x14ac:dyDescent="0.2">
      <c r="A219" t="s">
        <v>138</v>
      </c>
      <c r="B219" t="s">
        <v>350</v>
      </c>
      <c r="C219" t="s">
        <v>15</v>
      </c>
      <c r="D219">
        <v>717</v>
      </c>
      <c r="E219">
        <v>5.9</v>
      </c>
      <c r="G219">
        <v>42</v>
      </c>
      <c r="H219">
        <v>24</v>
      </c>
    </row>
    <row r="220" spans="1:8" x14ac:dyDescent="0.2">
      <c r="A220" t="s">
        <v>138</v>
      </c>
      <c r="B220" t="s">
        <v>351</v>
      </c>
      <c r="C220" t="s">
        <v>16</v>
      </c>
      <c r="D220">
        <v>3165</v>
      </c>
      <c r="E220">
        <v>3.6</v>
      </c>
      <c r="G220">
        <v>728</v>
      </c>
      <c r="H220">
        <v>762</v>
      </c>
    </row>
    <row r="221" spans="1:8" x14ac:dyDescent="0.2">
      <c r="A221" t="s">
        <v>138</v>
      </c>
      <c r="B221" t="s">
        <v>352</v>
      </c>
      <c r="C221" t="s">
        <v>17</v>
      </c>
      <c r="D221">
        <v>6468</v>
      </c>
      <c r="E221">
        <v>3.2</v>
      </c>
      <c r="G221">
        <v>1618</v>
      </c>
      <c r="H221">
        <v>1656</v>
      </c>
    </row>
    <row r="222" spans="1:8" x14ac:dyDescent="0.2">
      <c r="A222" t="s">
        <v>138</v>
      </c>
      <c r="B222" t="s">
        <v>353</v>
      </c>
      <c r="C222" t="s">
        <v>18</v>
      </c>
      <c r="D222">
        <v>7387</v>
      </c>
      <c r="E222">
        <v>3.1</v>
      </c>
      <c r="G222">
        <v>3495</v>
      </c>
      <c r="H222">
        <v>3356</v>
      </c>
    </row>
    <row r="223" spans="1:8" x14ac:dyDescent="0.2">
      <c r="A223" t="s">
        <v>138</v>
      </c>
      <c r="B223" t="s">
        <v>354</v>
      </c>
      <c r="C223" t="s">
        <v>19</v>
      </c>
      <c r="D223">
        <v>7455</v>
      </c>
      <c r="E223">
        <v>3.1</v>
      </c>
      <c r="G223">
        <v>5613</v>
      </c>
      <c r="H223">
        <v>5571</v>
      </c>
    </row>
    <row r="224" spans="1:8" x14ac:dyDescent="0.2">
      <c r="A224" t="s">
        <v>138</v>
      </c>
      <c r="B224" t="s">
        <v>355</v>
      </c>
      <c r="C224" t="s">
        <v>20</v>
      </c>
      <c r="D224">
        <v>6962</v>
      </c>
      <c r="E224">
        <v>3.1</v>
      </c>
      <c r="G224">
        <v>7116</v>
      </c>
      <c r="H224">
        <v>6787</v>
      </c>
    </row>
    <row r="225" spans="1:8" x14ac:dyDescent="0.2">
      <c r="A225" t="s">
        <v>138</v>
      </c>
      <c r="B225" t="s">
        <v>356</v>
      </c>
      <c r="C225" t="s">
        <v>21</v>
      </c>
      <c r="D225">
        <v>6869</v>
      </c>
      <c r="E225">
        <v>3.1</v>
      </c>
      <c r="G225">
        <v>7511</v>
      </c>
      <c r="H225">
        <v>7495</v>
      </c>
    </row>
    <row r="226" spans="1:8" x14ac:dyDescent="0.2">
      <c r="A226" t="s">
        <v>138</v>
      </c>
      <c r="B226" t="s">
        <v>357</v>
      </c>
      <c r="C226" t="s">
        <v>22</v>
      </c>
      <c r="D226">
        <v>7058</v>
      </c>
      <c r="E226">
        <v>3.1</v>
      </c>
      <c r="G226">
        <v>7441</v>
      </c>
      <c r="H226">
        <v>7313</v>
      </c>
    </row>
    <row r="227" spans="1:8" x14ac:dyDescent="0.2">
      <c r="A227" t="s">
        <v>138</v>
      </c>
      <c r="B227" t="s">
        <v>358</v>
      </c>
      <c r="C227" t="s">
        <v>23</v>
      </c>
      <c r="D227">
        <v>6952</v>
      </c>
      <c r="E227">
        <v>3.1</v>
      </c>
      <c r="G227">
        <v>7428</v>
      </c>
      <c r="H227">
        <v>7416</v>
      </c>
    </row>
    <row r="228" spans="1:8" x14ac:dyDescent="0.2">
      <c r="A228" t="s">
        <v>138</v>
      </c>
      <c r="B228" t="s">
        <v>359</v>
      </c>
      <c r="C228" t="s">
        <v>24</v>
      </c>
      <c r="D228">
        <v>7390</v>
      </c>
      <c r="E228">
        <v>3.1</v>
      </c>
      <c r="G228">
        <v>7713</v>
      </c>
      <c r="H228">
        <v>7384</v>
      </c>
    </row>
    <row r="229" spans="1:8" x14ac:dyDescent="0.2">
      <c r="A229" t="s">
        <v>138</v>
      </c>
      <c r="B229" t="s">
        <v>360</v>
      </c>
      <c r="C229" t="s">
        <v>25</v>
      </c>
      <c r="D229">
        <v>42</v>
      </c>
      <c r="E229">
        <v>22.2</v>
      </c>
      <c r="G229">
        <v>7124</v>
      </c>
      <c r="H229">
        <v>7010</v>
      </c>
    </row>
    <row r="230" spans="1:8" x14ac:dyDescent="0.2">
      <c r="A230" t="s">
        <v>138</v>
      </c>
      <c r="B230" t="s">
        <v>361</v>
      </c>
      <c r="C230" t="s">
        <v>26</v>
      </c>
      <c r="D230">
        <v>728</v>
      </c>
      <c r="E230">
        <v>5.9</v>
      </c>
    </row>
    <row r="231" spans="1:8" x14ac:dyDescent="0.2">
      <c r="A231" t="s">
        <v>138</v>
      </c>
      <c r="B231" t="s">
        <v>362</v>
      </c>
      <c r="C231" t="s">
        <v>27</v>
      </c>
      <c r="D231">
        <v>1618</v>
      </c>
      <c r="E231">
        <v>4.4000000000000004</v>
      </c>
      <c r="G231">
        <v>7443</v>
      </c>
      <c r="H231">
        <v>7426</v>
      </c>
    </row>
    <row r="232" spans="1:8" x14ac:dyDescent="0.2">
      <c r="A232" t="s">
        <v>138</v>
      </c>
      <c r="B232" t="s">
        <v>363</v>
      </c>
      <c r="C232" t="s">
        <v>28</v>
      </c>
      <c r="D232">
        <v>3495</v>
      </c>
      <c r="E232">
        <v>3.6</v>
      </c>
      <c r="G232">
        <v>31</v>
      </c>
      <c r="H232">
        <v>33</v>
      </c>
    </row>
    <row r="233" spans="1:8" x14ac:dyDescent="0.2">
      <c r="A233" t="s">
        <v>138</v>
      </c>
      <c r="B233" t="s">
        <v>364</v>
      </c>
      <c r="C233" t="s">
        <v>29</v>
      </c>
      <c r="D233">
        <v>5613</v>
      </c>
      <c r="E233">
        <v>3.2</v>
      </c>
      <c r="G233">
        <v>1500</v>
      </c>
      <c r="H233">
        <v>1432</v>
      </c>
    </row>
    <row r="234" spans="1:8" x14ac:dyDescent="0.2">
      <c r="A234" t="s">
        <v>138</v>
      </c>
      <c r="B234" t="s">
        <v>365</v>
      </c>
      <c r="C234" t="s">
        <v>30</v>
      </c>
      <c r="D234">
        <v>7116</v>
      </c>
      <c r="E234">
        <v>3.1</v>
      </c>
      <c r="G234">
        <v>3241</v>
      </c>
      <c r="H234">
        <v>3212</v>
      </c>
    </row>
    <row r="235" spans="1:8" x14ac:dyDescent="0.2">
      <c r="A235" t="s">
        <v>138</v>
      </c>
      <c r="B235" t="s">
        <v>366</v>
      </c>
      <c r="C235" t="s">
        <v>31</v>
      </c>
      <c r="D235">
        <v>7511</v>
      </c>
      <c r="E235">
        <v>3.1</v>
      </c>
      <c r="G235">
        <v>5202</v>
      </c>
      <c r="H235">
        <v>5167</v>
      </c>
    </row>
    <row r="236" spans="1:8" x14ac:dyDescent="0.2">
      <c r="A236" t="s">
        <v>138</v>
      </c>
      <c r="B236" t="s">
        <v>367</v>
      </c>
      <c r="C236" t="s">
        <v>32</v>
      </c>
      <c r="D236">
        <v>7441</v>
      </c>
      <c r="E236">
        <v>3.1</v>
      </c>
      <c r="G236">
        <v>6831</v>
      </c>
      <c r="H236">
        <v>6893</v>
      </c>
    </row>
    <row r="237" spans="1:8" x14ac:dyDescent="0.2">
      <c r="A237" t="s">
        <v>138</v>
      </c>
      <c r="B237" t="s">
        <v>368</v>
      </c>
      <c r="C237" t="s">
        <v>33</v>
      </c>
      <c r="D237">
        <v>7428</v>
      </c>
      <c r="E237">
        <v>3.1</v>
      </c>
      <c r="G237">
        <v>7683</v>
      </c>
      <c r="H237">
        <v>7872</v>
      </c>
    </row>
    <row r="238" spans="1:8" x14ac:dyDescent="0.2">
      <c r="A238" t="s">
        <v>138</v>
      </c>
      <c r="B238" t="s">
        <v>369</v>
      </c>
      <c r="C238" t="s">
        <v>34</v>
      </c>
      <c r="D238">
        <v>7713</v>
      </c>
      <c r="E238">
        <v>3.1</v>
      </c>
      <c r="G238">
        <v>7740</v>
      </c>
      <c r="H238">
        <v>7629</v>
      </c>
    </row>
    <row r="239" spans="1:8" x14ac:dyDescent="0.2">
      <c r="A239" t="s">
        <v>138</v>
      </c>
      <c r="B239" t="s">
        <v>370</v>
      </c>
      <c r="C239" t="s">
        <v>35</v>
      </c>
      <c r="D239">
        <v>7124</v>
      </c>
      <c r="E239">
        <v>3.1</v>
      </c>
      <c r="G239">
        <v>7630</v>
      </c>
      <c r="H239">
        <v>7516</v>
      </c>
    </row>
    <row r="240" spans="1:8" x14ac:dyDescent="0.2">
      <c r="A240" t="s">
        <v>138</v>
      </c>
      <c r="B240" t="s">
        <v>371</v>
      </c>
      <c r="C240" t="s">
        <v>36</v>
      </c>
      <c r="D240">
        <v>7178</v>
      </c>
      <c r="E240">
        <v>3.1</v>
      </c>
      <c r="G240">
        <v>7512</v>
      </c>
      <c r="H240">
        <v>7540</v>
      </c>
    </row>
    <row r="241" spans="1:8" x14ac:dyDescent="0.2">
      <c r="A241" t="s">
        <v>138</v>
      </c>
      <c r="B241" t="s">
        <v>372</v>
      </c>
      <c r="C241" t="s">
        <v>37</v>
      </c>
      <c r="D241">
        <v>24</v>
      </c>
      <c r="E241">
        <v>29</v>
      </c>
      <c r="G241">
        <v>7643</v>
      </c>
      <c r="H241">
        <v>7528</v>
      </c>
    </row>
    <row r="242" spans="1:8" x14ac:dyDescent="0.2">
      <c r="A242" t="s">
        <v>138</v>
      </c>
      <c r="B242" t="s">
        <v>373</v>
      </c>
      <c r="C242" t="s">
        <v>38</v>
      </c>
      <c r="D242">
        <v>762</v>
      </c>
      <c r="E242">
        <v>5.8</v>
      </c>
      <c r="G242">
        <v>7323</v>
      </c>
      <c r="H242">
        <v>7477</v>
      </c>
    </row>
    <row r="243" spans="1:8" x14ac:dyDescent="0.2">
      <c r="A243" t="s">
        <v>138</v>
      </c>
      <c r="B243" t="s">
        <v>374</v>
      </c>
      <c r="C243" t="s">
        <v>39</v>
      </c>
      <c r="D243">
        <v>1656</v>
      </c>
      <c r="E243">
        <v>4.4000000000000004</v>
      </c>
    </row>
    <row r="244" spans="1:8" x14ac:dyDescent="0.2">
      <c r="A244" t="s">
        <v>138</v>
      </c>
      <c r="B244" t="s">
        <v>375</v>
      </c>
      <c r="C244" t="s">
        <v>40</v>
      </c>
      <c r="D244">
        <v>3356</v>
      </c>
      <c r="E244">
        <v>3.6</v>
      </c>
      <c r="G244">
        <v>7277</v>
      </c>
      <c r="H244">
        <v>6697</v>
      </c>
    </row>
    <row r="245" spans="1:8" x14ac:dyDescent="0.2">
      <c r="A245" t="s">
        <v>138</v>
      </c>
      <c r="B245" t="s">
        <v>376</v>
      </c>
      <c r="C245" t="s">
        <v>41</v>
      </c>
      <c r="D245">
        <v>5571</v>
      </c>
      <c r="E245">
        <v>3.2</v>
      </c>
      <c r="G245">
        <v>15</v>
      </c>
      <c r="H245">
        <v>12</v>
      </c>
    </row>
    <row r="246" spans="1:8" x14ac:dyDescent="0.2">
      <c r="A246" t="s">
        <v>138</v>
      </c>
      <c r="B246" t="s">
        <v>377</v>
      </c>
      <c r="C246" t="s">
        <v>42</v>
      </c>
      <c r="D246">
        <v>6787</v>
      </c>
      <c r="E246">
        <v>3.1</v>
      </c>
      <c r="G246">
        <v>60</v>
      </c>
      <c r="H246">
        <v>52</v>
      </c>
    </row>
    <row r="247" spans="1:8" x14ac:dyDescent="0.2">
      <c r="A247" t="s">
        <v>138</v>
      </c>
      <c r="B247" t="s">
        <v>378</v>
      </c>
      <c r="C247" t="s">
        <v>43</v>
      </c>
      <c r="D247">
        <v>7495</v>
      </c>
      <c r="E247">
        <v>3.1</v>
      </c>
      <c r="G247">
        <v>172</v>
      </c>
      <c r="H247">
        <v>158</v>
      </c>
    </row>
    <row r="248" spans="1:8" x14ac:dyDescent="0.2">
      <c r="A248" t="s">
        <v>138</v>
      </c>
      <c r="B248" t="s">
        <v>379</v>
      </c>
      <c r="C248" t="s">
        <v>44</v>
      </c>
      <c r="D248">
        <v>7313</v>
      </c>
      <c r="E248">
        <v>3.1</v>
      </c>
      <c r="G248">
        <v>518</v>
      </c>
      <c r="H248">
        <v>434</v>
      </c>
    </row>
    <row r="249" spans="1:8" x14ac:dyDescent="0.2">
      <c r="A249" t="s">
        <v>138</v>
      </c>
      <c r="B249" t="s">
        <v>380</v>
      </c>
      <c r="C249" t="s">
        <v>45</v>
      </c>
      <c r="D249">
        <v>7416</v>
      </c>
      <c r="E249">
        <v>3.1</v>
      </c>
      <c r="G249">
        <v>1768</v>
      </c>
      <c r="H249">
        <v>1521</v>
      </c>
    </row>
    <row r="250" spans="1:8" x14ac:dyDescent="0.2">
      <c r="A250" t="s">
        <v>138</v>
      </c>
      <c r="B250" t="s">
        <v>381</v>
      </c>
      <c r="C250" t="s">
        <v>46</v>
      </c>
      <c r="D250">
        <v>7384</v>
      </c>
      <c r="E250">
        <v>3.1</v>
      </c>
      <c r="G250">
        <v>3843</v>
      </c>
      <c r="H250">
        <v>3646</v>
      </c>
    </row>
    <row r="251" spans="1:8" x14ac:dyDescent="0.2">
      <c r="A251" t="s">
        <v>138</v>
      </c>
      <c r="B251" t="s">
        <v>382</v>
      </c>
      <c r="C251" t="s">
        <v>47</v>
      </c>
      <c r="D251">
        <v>7010</v>
      </c>
      <c r="E251">
        <v>3.1</v>
      </c>
      <c r="G251">
        <v>6233</v>
      </c>
      <c r="H251">
        <v>6170</v>
      </c>
    </row>
    <row r="252" spans="1:8" x14ac:dyDescent="0.2">
      <c r="A252" t="s">
        <v>138</v>
      </c>
      <c r="B252" t="s">
        <v>383</v>
      </c>
      <c r="C252" t="s">
        <v>48</v>
      </c>
      <c r="D252">
        <v>7443</v>
      </c>
      <c r="E252">
        <v>3.1</v>
      </c>
      <c r="G252">
        <v>7047</v>
      </c>
      <c r="H252">
        <v>6694</v>
      </c>
    </row>
    <row r="253" spans="1:8" x14ac:dyDescent="0.2">
      <c r="A253" t="s">
        <v>138</v>
      </c>
      <c r="B253" t="s">
        <v>384</v>
      </c>
      <c r="C253" t="s">
        <v>49</v>
      </c>
      <c r="D253">
        <v>31</v>
      </c>
      <c r="E253">
        <v>25.5</v>
      </c>
      <c r="G253">
        <v>7050</v>
      </c>
      <c r="H253">
        <v>7020</v>
      </c>
    </row>
    <row r="254" spans="1:8" x14ac:dyDescent="0.2">
      <c r="A254" t="s">
        <v>138</v>
      </c>
      <c r="B254" t="s">
        <v>385</v>
      </c>
      <c r="C254" t="s">
        <v>50</v>
      </c>
      <c r="D254">
        <v>1500</v>
      </c>
      <c r="E254">
        <v>4.5</v>
      </c>
      <c r="G254">
        <v>7146</v>
      </c>
      <c r="H254">
        <v>6911</v>
      </c>
    </row>
    <row r="255" spans="1:8" x14ac:dyDescent="0.2">
      <c r="A255" t="s">
        <v>138</v>
      </c>
      <c r="B255" t="s">
        <v>386</v>
      </c>
      <c r="C255" t="s">
        <v>51</v>
      </c>
      <c r="D255">
        <v>3241</v>
      </c>
      <c r="E255">
        <v>3.6</v>
      </c>
      <c r="G255">
        <v>7594</v>
      </c>
      <c r="H255">
        <v>7855</v>
      </c>
    </row>
    <row r="256" spans="1:8" x14ac:dyDescent="0.2">
      <c r="A256" t="s">
        <v>138</v>
      </c>
      <c r="B256" t="s">
        <v>387</v>
      </c>
      <c r="C256" t="s">
        <v>52</v>
      </c>
      <c r="D256">
        <v>5202</v>
      </c>
      <c r="E256">
        <v>3.2</v>
      </c>
    </row>
    <row r="257" spans="1:5" x14ac:dyDescent="0.2">
      <c r="A257" t="s">
        <v>138</v>
      </c>
      <c r="B257" t="s">
        <v>388</v>
      </c>
      <c r="C257" t="s">
        <v>53</v>
      </c>
      <c r="D257">
        <v>6831</v>
      </c>
      <c r="E257">
        <v>3.1</v>
      </c>
    </row>
    <row r="258" spans="1:5" x14ac:dyDescent="0.2">
      <c r="A258" t="s">
        <v>138</v>
      </c>
      <c r="B258" t="s">
        <v>389</v>
      </c>
      <c r="C258" t="s">
        <v>54</v>
      </c>
      <c r="D258">
        <v>7683</v>
      </c>
      <c r="E258">
        <v>3.1</v>
      </c>
    </row>
    <row r="259" spans="1:5" x14ac:dyDescent="0.2">
      <c r="A259" t="s">
        <v>138</v>
      </c>
      <c r="B259" t="s">
        <v>390</v>
      </c>
      <c r="C259" t="s">
        <v>55</v>
      </c>
      <c r="D259">
        <v>7740</v>
      </c>
      <c r="E259">
        <v>3</v>
      </c>
    </row>
    <row r="260" spans="1:5" x14ac:dyDescent="0.2">
      <c r="A260" t="s">
        <v>138</v>
      </c>
      <c r="B260" t="s">
        <v>391</v>
      </c>
      <c r="C260" t="s">
        <v>56</v>
      </c>
      <c r="D260">
        <v>7630</v>
      </c>
      <c r="E260">
        <v>3.1</v>
      </c>
    </row>
    <row r="261" spans="1:5" x14ac:dyDescent="0.2">
      <c r="A261" t="s">
        <v>138</v>
      </c>
      <c r="B261" t="s">
        <v>392</v>
      </c>
      <c r="C261" t="s">
        <v>57</v>
      </c>
      <c r="D261">
        <v>7512</v>
      </c>
      <c r="E261">
        <v>3.1</v>
      </c>
    </row>
    <row r="262" spans="1:5" x14ac:dyDescent="0.2">
      <c r="A262" t="s">
        <v>138</v>
      </c>
      <c r="B262" t="s">
        <v>393</v>
      </c>
      <c r="C262" t="s">
        <v>58</v>
      </c>
      <c r="D262">
        <v>7643</v>
      </c>
      <c r="E262">
        <v>3.1</v>
      </c>
    </row>
    <row r="263" spans="1:5" x14ac:dyDescent="0.2">
      <c r="A263" t="s">
        <v>138</v>
      </c>
      <c r="B263" t="s">
        <v>394</v>
      </c>
      <c r="C263" t="s">
        <v>59</v>
      </c>
      <c r="D263">
        <v>7323</v>
      </c>
      <c r="E263">
        <v>3.1</v>
      </c>
    </row>
    <row r="264" spans="1:5" x14ac:dyDescent="0.2">
      <c r="A264" t="s">
        <v>138</v>
      </c>
      <c r="B264" t="s">
        <v>395</v>
      </c>
      <c r="C264" t="s">
        <v>60</v>
      </c>
      <c r="D264">
        <v>7426</v>
      </c>
      <c r="E264">
        <v>3.1</v>
      </c>
    </row>
    <row r="265" spans="1:5" x14ac:dyDescent="0.2">
      <c r="A265" t="s">
        <v>138</v>
      </c>
      <c r="B265" t="s">
        <v>396</v>
      </c>
      <c r="C265" t="s">
        <v>61</v>
      </c>
      <c r="D265">
        <v>33</v>
      </c>
      <c r="E265">
        <v>24.9</v>
      </c>
    </row>
    <row r="266" spans="1:5" x14ac:dyDescent="0.2">
      <c r="A266" t="s">
        <v>138</v>
      </c>
      <c r="B266" t="s">
        <v>397</v>
      </c>
      <c r="C266" t="s">
        <v>62</v>
      </c>
      <c r="D266">
        <v>1432</v>
      </c>
      <c r="E266">
        <v>4.5999999999999996</v>
      </c>
    </row>
    <row r="267" spans="1:5" x14ac:dyDescent="0.2">
      <c r="A267" t="s">
        <v>138</v>
      </c>
      <c r="B267" t="s">
        <v>398</v>
      </c>
      <c r="C267" t="s">
        <v>63</v>
      </c>
      <c r="D267">
        <v>3212</v>
      </c>
      <c r="E267">
        <v>3.6</v>
      </c>
    </row>
    <row r="268" spans="1:5" x14ac:dyDescent="0.2">
      <c r="A268" t="s">
        <v>138</v>
      </c>
      <c r="B268" t="s">
        <v>399</v>
      </c>
      <c r="C268" t="s">
        <v>64</v>
      </c>
      <c r="D268">
        <v>5167</v>
      </c>
      <c r="E268">
        <v>3.3</v>
      </c>
    </row>
    <row r="269" spans="1:5" x14ac:dyDescent="0.2">
      <c r="A269" t="s">
        <v>138</v>
      </c>
      <c r="B269" t="s">
        <v>400</v>
      </c>
      <c r="C269" t="s">
        <v>65</v>
      </c>
      <c r="D269">
        <v>6893</v>
      </c>
      <c r="E269">
        <v>3.1</v>
      </c>
    </row>
    <row r="270" spans="1:5" x14ac:dyDescent="0.2">
      <c r="A270" t="s">
        <v>138</v>
      </c>
      <c r="B270" t="s">
        <v>401</v>
      </c>
      <c r="C270" t="s">
        <v>66</v>
      </c>
      <c r="D270">
        <v>7872</v>
      </c>
      <c r="E270">
        <v>3</v>
      </c>
    </row>
    <row r="271" spans="1:5" x14ac:dyDescent="0.2">
      <c r="A271" t="s">
        <v>138</v>
      </c>
      <c r="B271" t="s">
        <v>402</v>
      </c>
      <c r="C271" t="s">
        <v>67</v>
      </c>
      <c r="D271">
        <v>7629</v>
      </c>
      <c r="E271">
        <v>3.1</v>
      </c>
    </row>
    <row r="272" spans="1:5" x14ac:dyDescent="0.2">
      <c r="A272" t="s">
        <v>138</v>
      </c>
      <c r="B272" t="s">
        <v>403</v>
      </c>
      <c r="C272" t="s">
        <v>68</v>
      </c>
      <c r="D272">
        <v>7516</v>
      </c>
      <c r="E272">
        <v>3.1</v>
      </c>
    </row>
    <row r="273" spans="1:5" x14ac:dyDescent="0.2">
      <c r="A273" t="s">
        <v>138</v>
      </c>
      <c r="B273" t="s">
        <v>404</v>
      </c>
      <c r="C273" t="s">
        <v>69</v>
      </c>
      <c r="D273">
        <v>7540</v>
      </c>
      <c r="E273">
        <v>3.1</v>
      </c>
    </row>
    <row r="274" spans="1:5" x14ac:dyDescent="0.2">
      <c r="A274" t="s">
        <v>138</v>
      </c>
      <c r="B274" t="s">
        <v>405</v>
      </c>
      <c r="C274" t="s">
        <v>70</v>
      </c>
      <c r="D274">
        <v>7528</v>
      </c>
      <c r="E274">
        <v>3.1</v>
      </c>
    </row>
    <row r="275" spans="1:5" x14ac:dyDescent="0.2">
      <c r="A275" t="s">
        <v>138</v>
      </c>
      <c r="B275" t="s">
        <v>406</v>
      </c>
      <c r="C275" t="s">
        <v>71</v>
      </c>
      <c r="D275">
        <v>7477</v>
      </c>
      <c r="E275">
        <v>3.1</v>
      </c>
    </row>
    <row r="276" spans="1:5" x14ac:dyDescent="0.2">
      <c r="A276" t="s">
        <v>138</v>
      </c>
      <c r="B276" t="s">
        <v>407</v>
      </c>
      <c r="C276" t="s">
        <v>72</v>
      </c>
      <c r="D276">
        <v>7277</v>
      </c>
      <c r="E276">
        <v>3.1</v>
      </c>
    </row>
    <row r="277" spans="1:5" x14ac:dyDescent="0.2">
      <c r="A277" t="s">
        <v>138</v>
      </c>
      <c r="B277" t="s">
        <v>408</v>
      </c>
      <c r="C277" t="s">
        <v>73</v>
      </c>
      <c r="D277">
        <v>15</v>
      </c>
      <c r="E277">
        <v>36.6</v>
      </c>
    </row>
    <row r="278" spans="1:5" x14ac:dyDescent="0.2">
      <c r="A278" t="s">
        <v>138</v>
      </c>
      <c r="B278" t="s">
        <v>409</v>
      </c>
      <c r="C278" t="s">
        <v>74</v>
      </c>
      <c r="D278">
        <v>60</v>
      </c>
      <c r="E278">
        <v>18.5</v>
      </c>
    </row>
    <row r="279" spans="1:5" x14ac:dyDescent="0.2">
      <c r="A279" t="s">
        <v>138</v>
      </c>
      <c r="B279" t="s">
        <v>410</v>
      </c>
      <c r="C279" t="s">
        <v>75</v>
      </c>
      <c r="D279">
        <v>172</v>
      </c>
      <c r="E279">
        <v>11.2</v>
      </c>
    </row>
    <row r="280" spans="1:5" x14ac:dyDescent="0.2">
      <c r="A280" t="s">
        <v>138</v>
      </c>
      <c r="B280" t="s">
        <v>411</v>
      </c>
      <c r="C280" t="s">
        <v>76</v>
      </c>
      <c r="D280">
        <v>518</v>
      </c>
      <c r="E280">
        <v>6.7</v>
      </c>
    </row>
    <row r="281" spans="1:5" x14ac:dyDescent="0.2">
      <c r="A281" t="s">
        <v>138</v>
      </c>
      <c r="B281" t="s">
        <v>412</v>
      </c>
      <c r="C281" t="s">
        <v>77</v>
      </c>
      <c r="D281">
        <v>1768</v>
      </c>
      <c r="E281">
        <v>4.2</v>
      </c>
    </row>
    <row r="282" spans="1:5" x14ac:dyDescent="0.2">
      <c r="A282" t="s">
        <v>138</v>
      </c>
      <c r="B282" t="s">
        <v>413</v>
      </c>
      <c r="C282" t="s">
        <v>78</v>
      </c>
      <c r="D282">
        <v>3843</v>
      </c>
      <c r="E282">
        <v>3.5</v>
      </c>
    </row>
    <row r="283" spans="1:5" x14ac:dyDescent="0.2">
      <c r="A283" t="s">
        <v>138</v>
      </c>
      <c r="B283" t="s">
        <v>414</v>
      </c>
      <c r="C283" t="s">
        <v>79</v>
      </c>
      <c r="D283">
        <v>6233</v>
      </c>
      <c r="E283">
        <v>3.1</v>
      </c>
    </row>
    <row r="284" spans="1:5" x14ac:dyDescent="0.2">
      <c r="A284" t="s">
        <v>138</v>
      </c>
      <c r="B284" t="s">
        <v>415</v>
      </c>
      <c r="C284" t="s">
        <v>80</v>
      </c>
      <c r="D284">
        <v>7047</v>
      </c>
      <c r="E284">
        <v>3.1</v>
      </c>
    </row>
    <row r="285" spans="1:5" x14ac:dyDescent="0.2">
      <c r="A285" t="s">
        <v>138</v>
      </c>
      <c r="B285" t="s">
        <v>416</v>
      </c>
      <c r="C285" t="s">
        <v>81</v>
      </c>
      <c r="D285">
        <v>7050</v>
      </c>
      <c r="E285">
        <v>3.1</v>
      </c>
    </row>
    <row r="286" spans="1:5" x14ac:dyDescent="0.2">
      <c r="A286" t="s">
        <v>138</v>
      </c>
      <c r="B286" t="s">
        <v>417</v>
      </c>
      <c r="C286" t="s">
        <v>82</v>
      </c>
      <c r="D286">
        <v>7146</v>
      </c>
      <c r="E286">
        <v>3.1</v>
      </c>
    </row>
    <row r="287" spans="1:5" x14ac:dyDescent="0.2">
      <c r="A287" t="s">
        <v>138</v>
      </c>
      <c r="B287" t="s">
        <v>418</v>
      </c>
      <c r="C287" t="s">
        <v>83</v>
      </c>
      <c r="D287">
        <v>7594</v>
      </c>
      <c r="E287">
        <v>3.1</v>
      </c>
    </row>
    <row r="288" spans="1:5" x14ac:dyDescent="0.2">
      <c r="A288" t="s">
        <v>138</v>
      </c>
      <c r="B288" t="s">
        <v>419</v>
      </c>
      <c r="C288" t="s">
        <v>84</v>
      </c>
      <c r="D288">
        <v>6697</v>
      </c>
      <c r="E288">
        <v>3.1</v>
      </c>
    </row>
    <row r="289" spans="1:8" x14ac:dyDescent="0.2">
      <c r="A289" t="s">
        <v>138</v>
      </c>
      <c r="B289" t="s">
        <v>420</v>
      </c>
      <c r="C289" t="s">
        <v>85</v>
      </c>
      <c r="D289">
        <v>12</v>
      </c>
      <c r="E289">
        <v>40.9</v>
      </c>
    </row>
    <row r="290" spans="1:8" x14ac:dyDescent="0.2">
      <c r="A290" t="s">
        <v>138</v>
      </c>
      <c r="B290" t="s">
        <v>421</v>
      </c>
      <c r="C290" t="s">
        <v>86</v>
      </c>
      <c r="D290">
        <v>52</v>
      </c>
      <c r="E290">
        <v>19.899999999999999</v>
      </c>
    </row>
    <row r="291" spans="1:8" x14ac:dyDescent="0.2">
      <c r="A291" t="s">
        <v>138</v>
      </c>
      <c r="B291" t="s">
        <v>422</v>
      </c>
      <c r="C291" t="s">
        <v>87</v>
      </c>
      <c r="D291">
        <v>158</v>
      </c>
      <c r="E291">
        <v>11.6</v>
      </c>
    </row>
    <row r="292" spans="1:8" x14ac:dyDescent="0.2">
      <c r="A292" t="s">
        <v>138</v>
      </c>
      <c r="B292" t="s">
        <v>423</v>
      </c>
      <c r="C292" t="s">
        <v>88</v>
      </c>
      <c r="D292">
        <v>434</v>
      </c>
      <c r="E292">
        <v>7.3</v>
      </c>
    </row>
    <row r="293" spans="1:8" x14ac:dyDescent="0.2">
      <c r="A293" t="s">
        <v>138</v>
      </c>
      <c r="B293" t="s">
        <v>424</v>
      </c>
      <c r="C293" t="s">
        <v>89</v>
      </c>
      <c r="D293">
        <v>1521</v>
      </c>
      <c r="E293">
        <v>4.5</v>
      </c>
    </row>
    <row r="294" spans="1:8" x14ac:dyDescent="0.2">
      <c r="A294" t="s">
        <v>138</v>
      </c>
      <c r="B294" t="s">
        <v>425</v>
      </c>
      <c r="C294" t="s">
        <v>90</v>
      </c>
      <c r="D294">
        <v>3646</v>
      </c>
      <c r="E294">
        <v>3.5</v>
      </c>
    </row>
    <row r="295" spans="1:8" x14ac:dyDescent="0.2">
      <c r="A295" t="s">
        <v>138</v>
      </c>
      <c r="B295" t="s">
        <v>426</v>
      </c>
      <c r="C295" t="s">
        <v>91</v>
      </c>
      <c r="D295">
        <v>6170</v>
      </c>
      <c r="E295">
        <v>3.2</v>
      </c>
    </row>
    <row r="296" spans="1:8" x14ac:dyDescent="0.2">
      <c r="A296" t="s">
        <v>138</v>
      </c>
      <c r="B296" t="s">
        <v>427</v>
      </c>
      <c r="C296" t="s">
        <v>92</v>
      </c>
      <c r="D296">
        <v>6694</v>
      </c>
      <c r="E296">
        <v>3.1</v>
      </c>
    </row>
    <row r="297" spans="1:8" x14ac:dyDescent="0.2">
      <c r="A297" t="s">
        <v>138</v>
      </c>
      <c r="B297" t="s">
        <v>428</v>
      </c>
      <c r="C297" t="s">
        <v>93</v>
      </c>
      <c r="D297">
        <v>7020</v>
      </c>
      <c r="E297">
        <v>3.1</v>
      </c>
    </row>
    <row r="298" spans="1:8" x14ac:dyDescent="0.2">
      <c r="A298" t="s">
        <v>138</v>
      </c>
      <c r="B298" t="s">
        <v>429</v>
      </c>
      <c r="C298" t="s">
        <v>94</v>
      </c>
      <c r="D298">
        <v>6911</v>
      </c>
      <c r="E298">
        <v>3.1</v>
      </c>
    </row>
    <row r="299" spans="1:8" x14ac:dyDescent="0.2">
      <c r="A299" t="s">
        <v>138</v>
      </c>
      <c r="B299" t="s">
        <v>430</v>
      </c>
      <c r="C299" t="s">
        <v>95</v>
      </c>
      <c r="D299">
        <v>7855</v>
      </c>
      <c r="E299">
        <v>3.1</v>
      </c>
      <c r="G299" t="s">
        <v>849</v>
      </c>
    </row>
    <row r="300" spans="1:8" x14ac:dyDescent="0.2">
      <c r="A300" t="s">
        <v>138</v>
      </c>
      <c r="B300" t="s">
        <v>452</v>
      </c>
      <c r="C300" t="s">
        <v>0</v>
      </c>
      <c r="D300">
        <v>7401</v>
      </c>
      <c r="E300">
        <v>3.1</v>
      </c>
      <c r="G300">
        <v>7401</v>
      </c>
      <c r="H300">
        <v>7607</v>
      </c>
    </row>
    <row r="301" spans="1:8" x14ac:dyDescent="0.2">
      <c r="A301" t="s">
        <v>138</v>
      </c>
      <c r="B301" t="s">
        <v>453</v>
      </c>
      <c r="C301" t="s">
        <v>1</v>
      </c>
      <c r="D301">
        <v>32</v>
      </c>
      <c r="E301">
        <v>25.3</v>
      </c>
      <c r="G301">
        <v>32</v>
      </c>
      <c r="H301">
        <v>50</v>
      </c>
    </row>
    <row r="302" spans="1:8" x14ac:dyDescent="0.2">
      <c r="A302" t="s">
        <v>138</v>
      </c>
      <c r="B302" t="s">
        <v>454</v>
      </c>
      <c r="C302" t="s">
        <v>2</v>
      </c>
      <c r="D302">
        <v>553</v>
      </c>
      <c r="E302">
        <v>6.6</v>
      </c>
      <c r="G302">
        <v>553</v>
      </c>
      <c r="H302">
        <v>423</v>
      </c>
    </row>
    <row r="303" spans="1:8" x14ac:dyDescent="0.2">
      <c r="A303" t="s">
        <v>138</v>
      </c>
      <c r="B303" t="s">
        <v>455</v>
      </c>
      <c r="C303" t="s">
        <v>3</v>
      </c>
      <c r="D303">
        <v>1723</v>
      </c>
      <c r="E303">
        <v>4.3</v>
      </c>
      <c r="G303">
        <v>1723</v>
      </c>
      <c r="H303">
        <v>1622</v>
      </c>
    </row>
    <row r="304" spans="1:8" x14ac:dyDescent="0.2">
      <c r="A304" t="s">
        <v>138</v>
      </c>
      <c r="B304" t="s">
        <v>456</v>
      </c>
      <c r="C304" t="s">
        <v>4</v>
      </c>
      <c r="D304">
        <v>3658</v>
      </c>
      <c r="E304">
        <v>3.5</v>
      </c>
      <c r="G304">
        <v>3658</v>
      </c>
      <c r="H304">
        <v>3389</v>
      </c>
    </row>
    <row r="305" spans="1:8" x14ac:dyDescent="0.2">
      <c r="A305" t="s">
        <v>138</v>
      </c>
      <c r="B305" t="s">
        <v>457</v>
      </c>
      <c r="C305" t="s">
        <v>5</v>
      </c>
      <c r="D305">
        <v>6733</v>
      </c>
      <c r="E305">
        <v>3.1</v>
      </c>
      <c r="G305">
        <v>6733</v>
      </c>
      <c r="H305">
        <v>6444</v>
      </c>
    </row>
    <row r="306" spans="1:8" x14ac:dyDescent="0.2">
      <c r="A306" t="s">
        <v>138</v>
      </c>
      <c r="B306" t="s">
        <v>458</v>
      </c>
      <c r="C306" t="s">
        <v>6</v>
      </c>
      <c r="D306">
        <v>7462</v>
      </c>
      <c r="E306">
        <v>3.1</v>
      </c>
      <c r="G306">
        <v>7462</v>
      </c>
      <c r="H306">
        <v>7359</v>
      </c>
    </row>
    <row r="307" spans="1:8" x14ac:dyDescent="0.2">
      <c r="A307" t="s">
        <v>138</v>
      </c>
      <c r="B307" t="s">
        <v>459</v>
      </c>
      <c r="C307" t="s">
        <v>7</v>
      </c>
      <c r="D307">
        <v>8275</v>
      </c>
      <c r="E307">
        <v>3</v>
      </c>
      <c r="G307">
        <v>8275</v>
      </c>
      <c r="H307">
        <v>7549</v>
      </c>
    </row>
    <row r="308" spans="1:8" x14ac:dyDescent="0.2">
      <c r="A308" t="s">
        <v>138</v>
      </c>
      <c r="B308" t="s">
        <v>460</v>
      </c>
      <c r="C308" t="s">
        <v>8</v>
      </c>
      <c r="D308">
        <v>8122</v>
      </c>
      <c r="E308">
        <v>3.1</v>
      </c>
      <c r="G308">
        <v>8122</v>
      </c>
      <c r="H308">
        <v>7460</v>
      </c>
    </row>
    <row r="309" spans="1:8" x14ac:dyDescent="0.2">
      <c r="A309" t="s">
        <v>138</v>
      </c>
      <c r="B309" t="s">
        <v>461</v>
      </c>
      <c r="C309" t="s">
        <v>9</v>
      </c>
      <c r="D309">
        <v>7764</v>
      </c>
      <c r="E309">
        <v>3.1</v>
      </c>
      <c r="G309">
        <v>7764</v>
      </c>
      <c r="H309">
        <v>7737</v>
      </c>
    </row>
    <row r="310" spans="1:8" x14ac:dyDescent="0.2">
      <c r="A310" t="s">
        <v>138</v>
      </c>
      <c r="B310" t="s">
        <v>462</v>
      </c>
      <c r="C310" t="s">
        <v>10</v>
      </c>
      <c r="D310">
        <v>7956</v>
      </c>
      <c r="E310">
        <v>3.1</v>
      </c>
      <c r="G310">
        <v>7956</v>
      </c>
      <c r="H310">
        <v>7950</v>
      </c>
    </row>
    <row r="311" spans="1:8" x14ac:dyDescent="0.2">
      <c r="A311" t="s">
        <v>138</v>
      </c>
      <c r="B311" t="s">
        <v>463</v>
      </c>
      <c r="C311" t="s">
        <v>11</v>
      </c>
      <c r="D311">
        <v>7630</v>
      </c>
      <c r="E311">
        <v>3.1</v>
      </c>
      <c r="G311">
        <v>7630</v>
      </c>
      <c r="H311">
        <v>7630</v>
      </c>
    </row>
    <row r="312" spans="1:8" x14ac:dyDescent="0.2">
      <c r="A312" t="s">
        <v>138</v>
      </c>
      <c r="B312" t="s">
        <v>464</v>
      </c>
      <c r="C312" t="s">
        <v>12</v>
      </c>
      <c r="D312">
        <v>7607</v>
      </c>
      <c r="E312">
        <v>3.1</v>
      </c>
    </row>
    <row r="313" spans="1:8" x14ac:dyDescent="0.2">
      <c r="A313" t="s">
        <v>138</v>
      </c>
      <c r="B313" t="s">
        <v>465</v>
      </c>
      <c r="C313" t="s">
        <v>13</v>
      </c>
      <c r="D313">
        <v>50</v>
      </c>
      <c r="E313">
        <v>20.399999999999999</v>
      </c>
      <c r="G313">
        <v>7306</v>
      </c>
      <c r="H313">
        <v>7314</v>
      </c>
    </row>
    <row r="314" spans="1:8" x14ac:dyDescent="0.2">
      <c r="A314" t="s">
        <v>138</v>
      </c>
      <c r="B314" t="s">
        <v>466</v>
      </c>
      <c r="C314" t="s">
        <v>14</v>
      </c>
      <c r="D314">
        <v>423</v>
      </c>
      <c r="E314">
        <v>7.4</v>
      </c>
      <c r="G314">
        <v>24</v>
      </c>
      <c r="H314">
        <v>25</v>
      </c>
    </row>
    <row r="315" spans="1:8" x14ac:dyDescent="0.2">
      <c r="A315" t="s">
        <v>138</v>
      </c>
      <c r="B315" t="s">
        <v>467</v>
      </c>
      <c r="C315" t="s">
        <v>15</v>
      </c>
      <c r="D315">
        <v>1622</v>
      </c>
      <c r="E315">
        <v>4.4000000000000004</v>
      </c>
      <c r="G315">
        <v>221</v>
      </c>
      <c r="H315">
        <v>226</v>
      </c>
    </row>
    <row r="316" spans="1:8" x14ac:dyDescent="0.2">
      <c r="A316" t="s">
        <v>138</v>
      </c>
      <c r="B316" t="s">
        <v>468</v>
      </c>
      <c r="C316" t="s">
        <v>16</v>
      </c>
      <c r="D316">
        <v>3389</v>
      </c>
      <c r="E316">
        <v>3.6</v>
      </c>
      <c r="G316">
        <v>945</v>
      </c>
      <c r="H316">
        <v>792</v>
      </c>
    </row>
    <row r="317" spans="1:8" x14ac:dyDescent="0.2">
      <c r="A317" t="s">
        <v>138</v>
      </c>
      <c r="B317" t="s">
        <v>469</v>
      </c>
      <c r="C317" t="s">
        <v>17</v>
      </c>
      <c r="D317">
        <v>6444</v>
      </c>
      <c r="E317">
        <v>3.2</v>
      </c>
      <c r="G317">
        <v>3950</v>
      </c>
      <c r="H317">
        <v>3130</v>
      </c>
    </row>
    <row r="318" spans="1:8" x14ac:dyDescent="0.2">
      <c r="A318" t="s">
        <v>138</v>
      </c>
      <c r="B318" t="s">
        <v>470</v>
      </c>
      <c r="C318" t="s">
        <v>18</v>
      </c>
      <c r="D318">
        <v>7359</v>
      </c>
      <c r="E318">
        <v>3.1</v>
      </c>
      <c r="G318">
        <v>7294</v>
      </c>
      <c r="H318">
        <v>6650</v>
      </c>
    </row>
    <row r="319" spans="1:8" x14ac:dyDescent="0.2">
      <c r="A319" t="s">
        <v>138</v>
      </c>
      <c r="B319" t="s">
        <v>471</v>
      </c>
      <c r="C319" t="s">
        <v>19</v>
      </c>
      <c r="D319">
        <v>7549</v>
      </c>
      <c r="E319">
        <v>3.1</v>
      </c>
      <c r="G319">
        <v>7910</v>
      </c>
      <c r="H319">
        <v>7522</v>
      </c>
    </row>
    <row r="320" spans="1:8" x14ac:dyDescent="0.2">
      <c r="A320" t="s">
        <v>138</v>
      </c>
      <c r="B320" t="s">
        <v>472</v>
      </c>
      <c r="C320" t="s">
        <v>20</v>
      </c>
      <c r="D320">
        <v>7460</v>
      </c>
      <c r="E320">
        <v>3.1</v>
      </c>
      <c r="G320">
        <v>8023</v>
      </c>
      <c r="H320">
        <v>7874</v>
      </c>
    </row>
    <row r="321" spans="1:8" x14ac:dyDescent="0.2">
      <c r="A321" t="s">
        <v>138</v>
      </c>
      <c r="B321" t="s">
        <v>473</v>
      </c>
      <c r="C321" t="s">
        <v>21</v>
      </c>
      <c r="D321">
        <v>7737</v>
      </c>
      <c r="E321">
        <v>3.1</v>
      </c>
      <c r="G321">
        <v>8129</v>
      </c>
      <c r="H321">
        <v>7409</v>
      </c>
    </row>
    <row r="322" spans="1:8" x14ac:dyDescent="0.2">
      <c r="A322" t="s">
        <v>138</v>
      </c>
      <c r="B322" t="s">
        <v>474</v>
      </c>
      <c r="C322" t="s">
        <v>22</v>
      </c>
      <c r="D322">
        <v>7950</v>
      </c>
      <c r="E322">
        <v>3.1</v>
      </c>
      <c r="G322">
        <v>7774</v>
      </c>
      <c r="H322">
        <v>7557</v>
      </c>
    </row>
    <row r="323" spans="1:8" x14ac:dyDescent="0.2">
      <c r="A323" t="s">
        <v>138</v>
      </c>
      <c r="B323" t="s">
        <v>475</v>
      </c>
      <c r="C323" t="s">
        <v>23</v>
      </c>
      <c r="D323">
        <v>7630</v>
      </c>
      <c r="E323">
        <v>3.1</v>
      </c>
      <c r="G323">
        <v>7892</v>
      </c>
      <c r="H323">
        <v>7755</v>
      </c>
    </row>
    <row r="324" spans="1:8" x14ac:dyDescent="0.2">
      <c r="A324" t="s">
        <v>138</v>
      </c>
      <c r="B324" t="s">
        <v>476</v>
      </c>
      <c r="C324" t="s">
        <v>24</v>
      </c>
      <c r="D324">
        <v>7306</v>
      </c>
      <c r="E324">
        <v>3.1</v>
      </c>
      <c r="G324">
        <v>7972</v>
      </c>
      <c r="H324">
        <v>7777</v>
      </c>
    </row>
    <row r="325" spans="1:8" x14ac:dyDescent="0.2">
      <c r="A325" t="s">
        <v>138</v>
      </c>
      <c r="B325" t="s">
        <v>477</v>
      </c>
      <c r="C325" t="s">
        <v>25</v>
      </c>
      <c r="D325">
        <v>24</v>
      </c>
      <c r="E325">
        <v>29.3</v>
      </c>
    </row>
    <row r="326" spans="1:8" x14ac:dyDescent="0.2">
      <c r="A326" t="s">
        <v>138</v>
      </c>
      <c r="B326" t="s">
        <v>478</v>
      </c>
      <c r="C326" t="s">
        <v>26</v>
      </c>
      <c r="D326">
        <v>221</v>
      </c>
      <c r="E326">
        <v>9.9</v>
      </c>
      <c r="G326">
        <v>7420</v>
      </c>
      <c r="H326">
        <v>7405</v>
      </c>
    </row>
    <row r="327" spans="1:8" x14ac:dyDescent="0.2">
      <c r="A327" t="s">
        <v>138</v>
      </c>
      <c r="B327" t="s">
        <v>479</v>
      </c>
      <c r="C327" t="s">
        <v>27</v>
      </c>
      <c r="D327">
        <v>945</v>
      </c>
      <c r="E327">
        <v>5.3</v>
      </c>
      <c r="G327">
        <v>22</v>
      </c>
      <c r="H327">
        <v>20</v>
      </c>
    </row>
    <row r="328" spans="1:8" x14ac:dyDescent="0.2">
      <c r="A328" t="s">
        <v>138</v>
      </c>
      <c r="B328" t="s">
        <v>480</v>
      </c>
      <c r="C328" t="s">
        <v>28</v>
      </c>
      <c r="D328">
        <v>3950</v>
      </c>
      <c r="E328">
        <v>3.5</v>
      </c>
      <c r="G328">
        <v>57</v>
      </c>
      <c r="H328">
        <v>64</v>
      </c>
    </row>
    <row r="329" spans="1:8" x14ac:dyDescent="0.2">
      <c r="A329" t="s">
        <v>138</v>
      </c>
      <c r="B329" t="s">
        <v>481</v>
      </c>
      <c r="C329" t="s">
        <v>29</v>
      </c>
      <c r="D329">
        <v>7294</v>
      </c>
      <c r="E329">
        <v>3.1</v>
      </c>
      <c r="G329">
        <v>212</v>
      </c>
      <c r="H329">
        <v>179</v>
      </c>
    </row>
    <row r="330" spans="1:8" x14ac:dyDescent="0.2">
      <c r="A330" t="s">
        <v>138</v>
      </c>
      <c r="B330" t="s">
        <v>482</v>
      </c>
      <c r="C330" t="s">
        <v>30</v>
      </c>
      <c r="D330">
        <v>7910</v>
      </c>
      <c r="E330">
        <v>3.1</v>
      </c>
      <c r="G330">
        <v>499</v>
      </c>
      <c r="H330">
        <v>519</v>
      </c>
    </row>
    <row r="331" spans="1:8" x14ac:dyDescent="0.2">
      <c r="A331" t="s">
        <v>138</v>
      </c>
      <c r="B331" t="s">
        <v>483</v>
      </c>
      <c r="C331" t="s">
        <v>31</v>
      </c>
      <c r="D331">
        <v>8023</v>
      </c>
      <c r="E331">
        <v>3.1</v>
      </c>
      <c r="G331">
        <v>1848</v>
      </c>
      <c r="H331">
        <v>1772</v>
      </c>
    </row>
    <row r="332" spans="1:8" x14ac:dyDescent="0.2">
      <c r="A332" t="s">
        <v>138</v>
      </c>
      <c r="B332" t="s">
        <v>484</v>
      </c>
      <c r="C332" t="s">
        <v>32</v>
      </c>
      <c r="D332">
        <v>8129</v>
      </c>
      <c r="E332">
        <v>3.1</v>
      </c>
      <c r="G332">
        <v>4156</v>
      </c>
      <c r="H332">
        <v>4088</v>
      </c>
    </row>
    <row r="333" spans="1:8" x14ac:dyDescent="0.2">
      <c r="A333" t="s">
        <v>138</v>
      </c>
      <c r="B333" t="s">
        <v>485</v>
      </c>
      <c r="C333" t="s">
        <v>33</v>
      </c>
      <c r="D333">
        <v>7774</v>
      </c>
      <c r="E333">
        <v>3.1</v>
      </c>
      <c r="G333">
        <v>6780</v>
      </c>
      <c r="H333">
        <v>6237</v>
      </c>
    </row>
    <row r="334" spans="1:8" x14ac:dyDescent="0.2">
      <c r="A334" t="s">
        <v>138</v>
      </c>
      <c r="B334" t="s">
        <v>486</v>
      </c>
      <c r="C334" t="s">
        <v>34</v>
      </c>
      <c r="D334">
        <v>7892</v>
      </c>
      <c r="E334">
        <v>3.1</v>
      </c>
      <c r="G334">
        <v>7428</v>
      </c>
      <c r="H334">
        <v>7443</v>
      </c>
    </row>
    <row r="335" spans="1:8" x14ac:dyDescent="0.2">
      <c r="A335" t="s">
        <v>138</v>
      </c>
      <c r="B335" t="s">
        <v>487</v>
      </c>
      <c r="C335" t="s">
        <v>35</v>
      </c>
      <c r="D335">
        <v>7972</v>
      </c>
      <c r="E335">
        <v>3.1</v>
      </c>
      <c r="G335">
        <v>7657</v>
      </c>
      <c r="H335">
        <v>7864</v>
      </c>
    </row>
    <row r="336" spans="1:8" x14ac:dyDescent="0.2">
      <c r="A336" t="s">
        <v>138</v>
      </c>
      <c r="B336" t="s">
        <v>488</v>
      </c>
      <c r="C336" t="s">
        <v>36</v>
      </c>
      <c r="D336">
        <v>7314</v>
      </c>
      <c r="E336">
        <v>3.1</v>
      </c>
      <c r="G336">
        <v>7684</v>
      </c>
      <c r="H336">
        <v>7895</v>
      </c>
    </row>
    <row r="337" spans="1:8" x14ac:dyDescent="0.2">
      <c r="A337" t="s">
        <v>138</v>
      </c>
      <c r="B337" t="s">
        <v>489</v>
      </c>
      <c r="C337" t="s">
        <v>37</v>
      </c>
      <c r="D337">
        <v>25</v>
      </c>
      <c r="E337">
        <v>28.4</v>
      </c>
      <c r="G337">
        <v>8243</v>
      </c>
      <c r="H337">
        <v>8240</v>
      </c>
    </row>
    <row r="338" spans="1:8" x14ac:dyDescent="0.2">
      <c r="A338" t="s">
        <v>138</v>
      </c>
      <c r="B338" t="s">
        <v>490</v>
      </c>
      <c r="C338" t="s">
        <v>38</v>
      </c>
      <c r="D338">
        <v>226</v>
      </c>
      <c r="E338">
        <v>9.9</v>
      </c>
    </row>
    <row r="339" spans="1:8" x14ac:dyDescent="0.2">
      <c r="A339" t="s">
        <v>138</v>
      </c>
      <c r="B339" t="s">
        <v>491</v>
      </c>
      <c r="C339" t="s">
        <v>39</v>
      </c>
      <c r="D339">
        <v>792</v>
      </c>
      <c r="E339">
        <v>5.7</v>
      </c>
      <c r="G339">
        <v>7384</v>
      </c>
      <c r="H339">
        <v>7016</v>
      </c>
    </row>
    <row r="340" spans="1:8" x14ac:dyDescent="0.2">
      <c r="A340" t="s">
        <v>138</v>
      </c>
      <c r="B340" t="s">
        <v>492</v>
      </c>
      <c r="C340" t="s">
        <v>40</v>
      </c>
      <c r="D340">
        <v>3130</v>
      </c>
      <c r="E340">
        <v>3.7</v>
      </c>
      <c r="G340">
        <v>24</v>
      </c>
      <c r="H340">
        <v>24</v>
      </c>
    </row>
    <row r="341" spans="1:8" x14ac:dyDescent="0.2">
      <c r="A341" t="s">
        <v>138</v>
      </c>
      <c r="B341" t="s">
        <v>493</v>
      </c>
      <c r="C341" t="s">
        <v>41</v>
      </c>
      <c r="D341">
        <v>6650</v>
      </c>
      <c r="E341">
        <v>3.1</v>
      </c>
      <c r="G341">
        <v>472</v>
      </c>
      <c r="H341">
        <v>528</v>
      </c>
    </row>
    <row r="342" spans="1:8" x14ac:dyDescent="0.2">
      <c r="A342" t="s">
        <v>138</v>
      </c>
      <c r="B342" t="s">
        <v>494</v>
      </c>
      <c r="C342" t="s">
        <v>42</v>
      </c>
      <c r="D342">
        <v>7522</v>
      </c>
      <c r="E342">
        <v>3.1</v>
      </c>
      <c r="G342">
        <v>1609</v>
      </c>
      <c r="H342">
        <v>1867</v>
      </c>
    </row>
    <row r="343" spans="1:8" x14ac:dyDescent="0.2">
      <c r="A343" t="s">
        <v>138</v>
      </c>
      <c r="B343" t="s">
        <v>495</v>
      </c>
      <c r="C343" t="s">
        <v>43</v>
      </c>
      <c r="D343">
        <v>7874</v>
      </c>
      <c r="E343">
        <v>3.1</v>
      </c>
      <c r="G343">
        <v>3746</v>
      </c>
      <c r="H343">
        <v>3742</v>
      </c>
    </row>
    <row r="344" spans="1:8" x14ac:dyDescent="0.2">
      <c r="A344" t="s">
        <v>138</v>
      </c>
      <c r="B344" t="s">
        <v>496</v>
      </c>
      <c r="C344" t="s">
        <v>44</v>
      </c>
      <c r="D344">
        <v>7409</v>
      </c>
      <c r="E344">
        <v>3.1</v>
      </c>
      <c r="G344">
        <v>6552</v>
      </c>
      <c r="H344">
        <v>6507</v>
      </c>
    </row>
    <row r="345" spans="1:8" x14ac:dyDescent="0.2">
      <c r="A345" t="s">
        <v>138</v>
      </c>
      <c r="B345" t="s">
        <v>497</v>
      </c>
      <c r="C345" t="s">
        <v>45</v>
      </c>
      <c r="D345">
        <v>7557</v>
      </c>
      <c r="E345">
        <v>3.1</v>
      </c>
      <c r="G345">
        <v>7532</v>
      </c>
      <c r="H345">
        <v>7249</v>
      </c>
    </row>
    <row r="346" spans="1:8" x14ac:dyDescent="0.2">
      <c r="A346" t="s">
        <v>138</v>
      </c>
      <c r="B346" t="s">
        <v>498</v>
      </c>
      <c r="C346" t="s">
        <v>46</v>
      </c>
      <c r="D346">
        <v>7755</v>
      </c>
      <c r="E346">
        <v>3.1</v>
      </c>
      <c r="G346">
        <v>7745</v>
      </c>
      <c r="H346">
        <v>7497</v>
      </c>
    </row>
    <row r="347" spans="1:8" x14ac:dyDescent="0.2">
      <c r="A347" t="s">
        <v>138</v>
      </c>
      <c r="B347" t="s">
        <v>499</v>
      </c>
      <c r="C347" t="s">
        <v>47</v>
      </c>
      <c r="D347">
        <v>7777</v>
      </c>
      <c r="E347">
        <v>3.1</v>
      </c>
      <c r="G347">
        <v>7550</v>
      </c>
      <c r="H347">
        <v>7603</v>
      </c>
    </row>
    <row r="348" spans="1:8" x14ac:dyDescent="0.2">
      <c r="A348" t="s">
        <v>138</v>
      </c>
      <c r="B348" t="s">
        <v>500</v>
      </c>
      <c r="C348" t="s">
        <v>48</v>
      </c>
      <c r="D348">
        <v>7420</v>
      </c>
      <c r="E348">
        <v>3.1</v>
      </c>
      <c r="G348">
        <v>7562</v>
      </c>
      <c r="H348">
        <v>7493</v>
      </c>
    </row>
    <row r="349" spans="1:8" x14ac:dyDescent="0.2">
      <c r="A349" t="s">
        <v>138</v>
      </c>
      <c r="B349" t="s">
        <v>501</v>
      </c>
      <c r="C349" t="s">
        <v>49</v>
      </c>
      <c r="D349">
        <v>22</v>
      </c>
      <c r="E349">
        <v>30.6</v>
      </c>
      <c r="G349">
        <v>7617</v>
      </c>
      <c r="H349">
        <v>7731</v>
      </c>
    </row>
    <row r="350" spans="1:8" x14ac:dyDescent="0.2">
      <c r="A350" t="s">
        <v>138</v>
      </c>
      <c r="B350" t="s">
        <v>502</v>
      </c>
      <c r="C350" t="s">
        <v>50</v>
      </c>
      <c r="D350">
        <v>57</v>
      </c>
      <c r="E350">
        <v>19.100000000000001</v>
      </c>
      <c r="G350">
        <v>7877</v>
      </c>
      <c r="H350">
        <v>7697</v>
      </c>
    </row>
    <row r="351" spans="1:8" x14ac:dyDescent="0.2">
      <c r="A351" t="s">
        <v>138</v>
      </c>
      <c r="B351" t="s">
        <v>503</v>
      </c>
      <c r="C351" t="s">
        <v>51</v>
      </c>
      <c r="D351">
        <v>212</v>
      </c>
      <c r="E351">
        <v>10.1</v>
      </c>
    </row>
    <row r="352" spans="1:8" x14ac:dyDescent="0.2">
      <c r="A352" t="s">
        <v>138</v>
      </c>
      <c r="B352" t="s">
        <v>504</v>
      </c>
      <c r="C352" t="s">
        <v>52</v>
      </c>
      <c r="D352">
        <v>499</v>
      </c>
      <c r="E352">
        <v>6.8</v>
      </c>
    </row>
    <row r="353" spans="1:5" x14ac:dyDescent="0.2">
      <c r="A353" t="s">
        <v>138</v>
      </c>
      <c r="B353" t="s">
        <v>505</v>
      </c>
      <c r="C353" t="s">
        <v>53</v>
      </c>
      <c r="D353">
        <v>1848</v>
      </c>
      <c r="E353">
        <v>4.2</v>
      </c>
    </row>
    <row r="354" spans="1:5" x14ac:dyDescent="0.2">
      <c r="A354" t="s">
        <v>138</v>
      </c>
      <c r="B354" t="s">
        <v>506</v>
      </c>
      <c r="C354" t="s">
        <v>54</v>
      </c>
      <c r="D354">
        <v>4156</v>
      </c>
      <c r="E354">
        <v>3.4</v>
      </c>
    </row>
    <row r="355" spans="1:5" x14ac:dyDescent="0.2">
      <c r="A355" t="s">
        <v>138</v>
      </c>
      <c r="B355" t="s">
        <v>507</v>
      </c>
      <c r="C355" t="s">
        <v>55</v>
      </c>
      <c r="D355">
        <v>6780</v>
      </c>
      <c r="E355">
        <v>3.1</v>
      </c>
    </row>
    <row r="356" spans="1:5" x14ac:dyDescent="0.2">
      <c r="A356" t="s">
        <v>138</v>
      </c>
      <c r="B356" t="s">
        <v>508</v>
      </c>
      <c r="C356" t="s">
        <v>56</v>
      </c>
      <c r="D356">
        <v>7428</v>
      </c>
      <c r="E356">
        <v>3.1</v>
      </c>
    </row>
    <row r="357" spans="1:5" x14ac:dyDescent="0.2">
      <c r="A357" t="s">
        <v>138</v>
      </c>
      <c r="B357" t="s">
        <v>509</v>
      </c>
      <c r="C357" t="s">
        <v>57</v>
      </c>
      <c r="D357">
        <v>7657</v>
      </c>
      <c r="E357">
        <v>3.1</v>
      </c>
    </row>
    <row r="358" spans="1:5" x14ac:dyDescent="0.2">
      <c r="A358" t="s">
        <v>138</v>
      </c>
      <c r="B358" t="s">
        <v>510</v>
      </c>
      <c r="C358" t="s">
        <v>58</v>
      </c>
      <c r="D358">
        <v>7684</v>
      </c>
      <c r="E358">
        <v>3.1</v>
      </c>
    </row>
    <row r="359" spans="1:5" x14ac:dyDescent="0.2">
      <c r="A359" t="s">
        <v>138</v>
      </c>
      <c r="B359" t="s">
        <v>511</v>
      </c>
      <c r="C359" t="s">
        <v>59</v>
      </c>
      <c r="D359">
        <v>8243</v>
      </c>
      <c r="E359">
        <v>3</v>
      </c>
    </row>
    <row r="360" spans="1:5" x14ac:dyDescent="0.2">
      <c r="A360" t="s">
        <v>138</v>
      </c>
      <c r="B360" t="s">
        <v>512</v>
      </c>
      <c r="C360" t="s">
        <v>60</v>
      </c>
      <c r="D360">
        <v>7405</v>
      </c>
      <c r="E360">
        <v>3.1</v>
      </c>
    </row>
    <row r="361" spans="1:5" x14ac:dyDescent="0.2">
      <c r="A361" t="s">
        <v>138</v>
      </c>
      <c r="B361" t="s">
        <v>513</v>
      </c>
      <c r="C361" t="s">
        <v>61</v>
      </c>
      <c r="D361">
        <v>20</v>
      </c>
      <c r="E361">
        <v>31.7</v>
      </c>
    </row>
    <row r="362" spans="1:5" x14ac:dyDescent="0.2">
      <c r="A362" t="s">
        <v>138</v>
      </c>
      <c r="B362" t="s">
        <v>514</v>
      </c>
      <c r="C362" t="s">
        <v>62</v>
      </c>
      <c r="D362">
        <v>64</v>
      </c>
      <c r="E362">
        <v>17.899999999999999</v>
      </c>
    </row>
    <row r="363" spans="1:5" x14ac:dyDescent="0.2">
      <c r="A363" t="s">
        <v>138</v>
      </c>
      <c r="B363" t="s">
        <v>515</v>
      </c>
      <c r="C363" t="s">
        <v>63</v>
      </c>
      <c r="D363">
        <v>179</v>
      </c>
      <c r="E363">
        <v>10.9</v>
      </c>
    </row>
    <row r="364" spans="1:5" x14ac:dyDescent="0.2">
      <c r="A364" t="s">
        <v>138</v>
      </c>
      <c r="B364" t="s">
        <v>516</v>
      </c>
      <c r="C364" t="s">
        <v>64</v>
      </c>
      <c r="D364">
        <v>519</v>
      </c>
      <c r="E364">
        <v>6.7</v>
      </c>
    </row>
    <row r="365" spans="1:5" x14ac:dyDescent="0.2">
      <c r="A365" t="s">
        <v>138</v>
      </c>
      <c r="B365" t="s">
        <v>517</v>
      </c>
      <c r="C365" t="s">
        <v>65</v>
      </c>
      <c r="D365">
        <v>1772</v>
      </c>
      <c r="E365">
        <v>4.2</v>
      </c>
    </row>
    <row r="366" spans="1:5" x14ac:dyDescent="0.2">
      <c r="A366" t="s">
        <v>138</v>
      </c>
      <c r="B366" t="s">
        <v>518</v>
      </c>
      <c r="C366" t="s">
        <v>66</v>
      </c>
      <c r="D366">
        <v>4088</v>
      </c>
      <c r="E366">
        <v>3.4</v>
      </c>
    </row>
    <row r="367" spans="1:5" x14ac:dyDescent="0.2">
      <c r="A367" t="s">
        <v>138</v>
      </c>
      <c r="B367" t="s">
        <v>519</v>
      </c>
      <c r="C367" t="s">
        <v>67</v>
      </c>
      <c r="D367">
        <v>6237</v>
      </c>
      <c r="E367">
        <v>3.1</v>
      </c>
    </row>
    <row r="368" spans="1:5" x14ac:dyDescent="0.2">
      <c r="A368" t="s">
        <v>138</v>
      </c>
      <c r="B368" t="s">
        <v>520</v>
      </c>
      <c r="C368" t="s">
        <v>68</v>
      </c>
      <c r="D368">
        <v>7443</v>
      </c>
      <c r="E368">
        <v>3.1</v>
      </c>
    </row>
    <row r="369" spans="1:5" x14ac:dyDescent="0.2">
      <c r="A369" t="s">
        <v>138</v>
      </c>
      <c r="B369" t="s">
        <v>521</v>
      </c>
      <c r="C369" t="s">
        <v>69</v>
      </c>
      <c r="D369">
        <v>7864</v>
      </c>
      <c r="E369">
        <v>3.1</v>
      </c>
    </row>
    <row r="370" spans="1:5" x14ac:dyDescent="0.2">
      <c r="A370" t="s">
        <v>138</v>
      </c>
      <c r="B370" t="s">
        <v>522</v>
      </c>
      <c r="C370" t="s">
        <v>70</v>
      </c>
      <c r="D370">
        <v>7895</v>
      </c>
      <c r="E370">
        <v>3</v>
      </c>
    </row>
    <row r="371" spans="1:5" x14ac:dyDescent="0.2">
      <c r="A371" t="s">
        <v>138</v>
      </c>
      <c r="B371" t="s">
        <v>523</v>
      </c>
      <c r="C371" t="s">
        <v>71</v>
      </c>
      <c r="D371">
        <v>8240</v>
      </c>
      <c r="E371">
        <v>3</v>
      </c>
    </row>
    <row r="372" spans="1:5" x14ac:dyDescent="0.2">
      <c r="A372" t="s">
        <v>138</v>
      </c>
      <c r="B372" t="s">
        <v>524</v>
      </c>
      <c r="C372" t="s">
        <v>72</v>
      </c>
      <c r="D372">
        <v>7384</v>
      </c>
      <c r="E372">
        <v>3.1</v>
      </c>
    </row>
    <row r="373" spans="1:5" x14ac:dyDescent="0.2">
      <c r="A373" t="s">
        <v>138</v>
      </c>
      <c r="B373" t="s">
        <v>525</v>
      </c>
      <c r="C373" t="s">
        <v>73</v>
      </c>
      <c r="D373">
        <v>24</v>
      </c>
      <c r="E373">
        <v>29.3</v>
      </c>
    </row>
    <row r="374" spans="1:5" x14ac:dyDescent="0.2">
      <c r="A374" t="s">
        <v>138</v>
      </c>
      <c r="B374" t="s">
        <v>526</v>
      </c>
      <c r="C374" t="s">
        <v>74</v>
      </c>
      <c r="D374">
        <v>472</v>
      </c>
      <c r="E374">
        <v>7.1</v>
      </c>
    </row>
    <row r="375" spans="1:5" x14ac:dyDescent="0.2">
      <c r="A375" t="s">
        <v>138</v>
      </c>
      <c r="B375" t="s">
        <v>527</v>
      </c>
      <c r="C375" t="s">
        <v>75</v>
      </c>
      <c r="D375">
        <v>1609</v>
      </c>
      <c r="E375">
        <v>4.4000000000000004</v>
      </c>
    </row>
    <row r="376" spans="1:5" x14ac:dyDescent="0.2">
      <c r="A376" t="s">
        <v>138</v>
      </c>
      <c r="B376" t="s">
        <v>528</v>
      </c>
      <c r="C376" t="s">
        <v>76</v>
      </c>
      <c r="D376">
        <v>3746</v>
      </c>
      <c r="E376">
        <v>3.5</v>
      </c>
    </row>
    <row r="377" spans="1:5" x14ac:dyDescent="0.2">
      <c r="A377" t="s">
        <v>138</v>
      </c>
      <c r="B377" t="s">
        <v>529</v>
      </c>
      <c r="C377" t="s">
        <v>77</v>
      </c>
      <c r="D377">
        <v>6552</v>
      </c>
      <c r="E377">
        <v>3.1</v>
      </c>
    </row>
    <row r="378" spans="1:5" x14ac:dyDescent="0.2">
      <c r="A378" t="s">
        <v>138</v>
      </c>
      <c r="B378" t="s">
        <v>530</v>
      </c>
      <c r="C378" t="s">
        <v>78</v>
      </c>
      <c r="D378">
        <v>7532</v>
      </c>
      <c r="E378">
        <v>3.1</v>
      </c>
    </row>
    <row r="379" spans="1:5" x14ac:dyDescent="0.2">
      <c r="A379" t="s">
        <v>138</v>
      </c>
      <c r="B379" t="s">
        <v>531</v>
      </c>
      <c r="C379" t="s">
        <v>79</v>
      </c>
      <c r="D379">
        <v>7745</v>
      </c>
      <c r="E379">
        <v>3</v>
      </c>
    </row>
    <row r="380" spans="1:5" x14ac:dyDescent="0.2">
      <c r="A380" t="s">
        <v>138</v>
      </c>
      <c r="B380" t="s">
        <v>532</v>
      </c>
      <c r="C380" t="s">
        <v>80</v>
      </c>
      <c r="D380">
        <v>7550</v>
      </c>
      <c r="E380">
        <v>3.1</v>
      </c>
    </row>
    <row r="381" spans="1:5" x14ac:dyDescent="0.2">
      <c r="A381" t="s">
        <v>138</v>
      </c>
      <c r="B381" t="s">
        <v>533</v>
      </c>
      <c r="C381" t="s">
        <v>81</v>
      </c>
      <c r="D381">
        <v>7562</v>
      </c>
      <c r="E381">
        <v>3.1</v>
      </c>
    </row>
    <row r="382" spans="1:5" x14ac:dyDescent="0.2">
      <c r="A382" t="s">
        <v>138</v>
      </c>
      <c r="B382" t="s">
        <v>534</v>
      </c>
      <c r="C382" t="s">
        <v>82</v>
      </c>
      <c r="D382">
        <v>7617</v>
      </c>
      <c r="E382">
        <v>3.1</v>
      </c>
    </row>
    <row r="383" spans="1:5" x14ac:dyDescent="0.2">
      <c r="A383" t="s">
        <v>138</v>
      </c>
      <c r="B383" t="s">
        <v>535</v>
      </c>
      <c r="C383" t="s">
        <v>83</v>
      </c>
      <c r="D383">
        <v>7877</v>
      </c>
      <c r="E383">
        <v>3</v>
      </c>
    </row>
    <row r="384" spans="1:5" x14ac:dyDescent="0.2">
      <c r="A384" t="s">
        <v>138</v>
      </c>
      <c r="B384" t="s">
        <v>536</v>
      </c>
      <c r="C384" t="s">
        <v>84</v>
      </c>
      <c r="D384">
        <v>7016</v>
      </c>
      <c r="E384">
        <v>3.1</v>
      </c>
    </row>
    <row r="385" spans="1:8" x14ac:dyDescent="0.2">
      <c r="A385" t="s">
        <v>138</v>
      </c>
      <c r="B385" t="s">
        <v>537</v>
      </c>
      <c r="C385" t="s">
        <v>85</v>
      </c>
      <c r="D385">
        <v>24</v>
      </c>
      <c r="E385">
        <v>29</v>
      </c>
    </row>
    <row r="386" spans="1:8" x14ac:dyDescent="0.2">
      <c r="A386" t="s">
        <v>138</v>
      </c>
      <c r="B386" t="s">
        <v>538</v>
      </c>
      <c r="C386" t="s">
        <v>86</v>
      </c>
      <c r="D386">
        <v>528</v>
      </c>
      <c r="E386">
        <v>6.7</v>
      </c>
    </row>
    <row r="387" spans="1:8" x14ac:dyDescent="0.2">
      <c r="A387" t="s">
        <v>138</v>
      </c>
      <c r="B387" t="s">
        <v>539</v>
      </c>
      <c r="C387" t="s">
        <v>87</v>
      </c>
      <c r="D387">
        <v>1867</v>
      </c>
      <c r="E387">
        <v>4.2</v>
      </c>
    </row>
    <row r="388" spans="1:8" x14ac:dyDescent="0.2">
      <c r="A388" t="s">
        <v>138</v>
      </c>
      <c r="B388" t="s">
        <v>540</v>
      </c>
      <c r="C388" t="s">
        <v>88</v>
      </c>
      <c r="D388">
        <v>3742</v>
      </c>
      <c r="E388">
        <v>3.5</v>
      </c>
    </row>
    <row r="389" spans="1:8" x14ac:dyDescent="0.2">
      <c r="A389" t="s">
        <v>138</v>
      </c>
      <c r="B389" t="s">
        <v>541</v>
      </c>
      <c r="C389" t="s">
        <v>89</v>
      </c>
      <c r="D389">
        <v>6507</v>
      </c>
      <c r="E389">
        <v>3.1</v>
      </c>
    </row>
    <row r="390" spans="1:8" x14ac:dyDescent="0.2">
      <c r="A390" t="s">
        <v>138</v>
      </c>
      <c r="B390" t="s">
        <v>542</v>
      </c>
      <c r="C390" t="s">
        <v>90</v>
      </c>
      <c r="D390">
        <v>7249</v>
      </c>
      <c r="E390">
        <v>3.1</v>
      </c>
    </row>
    <row r="391" spans="1:8" x14ac:dyDescent="0.2">
      <c r="A391" t="s">
        <v>138</v>
      </c>
      <c r="B391" t="s">
        <v>543</v>
      </c>
      <c r="C391" t="s">
        <v>91</v>
      </c>
      <c r="D391">
        <v>7497</v>
      </c>
      <c r="E391">
        <v>3.1</v>
      </c>
    </row>
    <row r="392" spans="1:8" x14ac:dyDescent="0.2">
      <c r="A392" t="s">
        <v>138</v>
      </c>
      <c r="B392" t="s">
        <v>544</v>
      </c>
      <c r="C392" t="s">
        <v>92</v>
      </c>
      <c r="D392">
        <v>7603</v>
      </c>
      <c r="E392">
        <v>3.1</v>
      </c>
    </row>
    <row r="393" spans="1:8" x14ac:dyDescent="0.2">
      <c r="A393" t="s">
        <v>138</v>
      </c>
      <c r="B393" t="s">
        <v>545</v>
      </c>
      <c r="C393" t="s">
        <v>93</v>
      </c>
      <c r="D393">
        <v>7493</v>
      </c>
      <c r="E393">
        <v>3.1</v>
      </c>
    </row>
    <row r="394" spans="1:8" x14ac:dyDescent="0.2">
      <c r="A394" t="s">
        <v>138</v>
      </c>
      <c r="B394" t="s">
        <v>546</v>
      </c>
      <c r="C394" t="s">
        <v>94</v>
      </c>
      <c r="D394">
        <v>7731</v>
      </c>
      <c r="E394">
        <v>3.1</v>
      </c>
    </row>
    <row r="395" spans="1:8" x14ac:dyDescent="0.2">
      <c r="A395" t="s">
        <v>138</v>
      </c>
      <c r="B395" t="s">
        <v>547</v>
      </c>
      <c r="C395" t="s">
        <v>95</v>
      </c>
      <c r="D395">
        <v>7697</v>
      </c>
      <c r="E395">
        <v>3.1</v>
      </c>
    </row>
    <row r="396" spans="1:8" x14ac:dyDescent="0.2">
      <c r="A396" t="s">
        <v>138</v>
      </c>
      <c r="B396" t="s">
        <v>548</v>
      </c>
      <c r="C396" t="s">
        <v>0</v>
      </c>
      <c r="D396">
        <v>1266</v>
      </c>
      <c r="E396">
        <v>4.8</v>
      </c>
      <c r="G396" t="s">
        <v>865</v>
      </c>
    </row>
    <row r="397" spans="1:8" x14ac:dyDescent="0.2">
      <c r="A397" t="s">
        <v>138</v>
      </c>
      <c r="B397" t="s">
        <v>549</v>
      </c>
      <c r="C397" t="s">
        <v>1</v>
      </c>
      <c r="D397">
        <v>21</v>
      </c>
      <c r="E397">
        <v>31.3</v>
      </c>
      <c r="G397">
        <v>1266</v>
      </c>
      <c r="H397">
        <v>1227</v>
      </c>
    </row>
    <row r="398" spans="1:8" x14ac:dyDescent="0.2">
      <c r="A398" t="s">
        <v>138</v>
      </c>
      <c r="B398" t="s">
        <v>550</v>
      </c>
      <c r="C398" t="s">
        <v>2</v>
      </c>
      <c r="D398">
        <v>48</v>
      </c>
      <c r="E398">
        <v>20.7</v>
      </c>
      <c r="G398">
        <v>21</v>
      </c>
      <c r="H398">
        <v>18</v>
      </c>
    </row>
    <row r="399" spans="1:8" x14ac:dyDescent="0.2">
      <c r="A399" t="s">
        <v>138</v>
      </c>
      <c r="B399" t="s">
        <v>551</v>
      </c>
      <c r="C399" t="s">
        <v>3</v>
      </c>
      <c r="D399">
        <v>79</v>
      </c>
      <c r="E399">
        <v>16.3</v>
      </c>
      <c r="G399">
        <v>48</v>
      </c>
      <c r="H399">
        <v>40</v>
      </c>
    </row>
    <row r="400" spans="1:8" x14ac:dyDescent="0.2">
      <c r="A400" t="s">
        <v>138</v>
      </c>
      <c r="B400" t="s">
        <v>552</v>
      </c>
      <c r="C400" t="s">
        <v>4</v>
      </c>
      <c r="D400">
        <v>138</v>
      </c>
      <c r="E400">
        <v>12.5</v>
      </c>
      <c r="G400">
        <v>79</v>
      </c>
      <c r="H400">
        <v>89</v>
      </c>
    </row>
    <row r="401" spans="1:8" x14ac:dyDescent="0.2">
      <c r="A401" t="s">
        <v>138</v>
      </c>
      <c r="B401" t="s">
        <v>553</v>
      </c>
      <c r="C401" t="s">
        <v>5</v>
      </c>
      <c r="D401">
        <v>191</v>
      </c>
      <c r="E401">
        <v>10.7</v>
      </c>
      <c r="G401">
        <v>138</v>
      </c>
      <c r="H401">
        <v>144</v>
      </c>
    </row>
    <row r="402" spans="1:8" x14ac:dyDescent="0.2">
      <c r="A402" t="s">
        <v>138</v>
      </c>
      <c r="B402" t="s">
        <v>554</v>
      </c>
      <c r="C402" t="s">
        <v>6</v>
      </c>
      <c r="D402">
        <v>461</v>
      </c>
      <c r="E402">
        <v>7.2</v>
      </c>
      <c r="G402">
        <v>191</v>
      </c>
      <c r="H402">
        <v>352</v>
      </c>
    </row>
    <row r="403" spans="1:8" x14ac:dyDescent="0.2">
      <c r="A403" t="s">
        <v>138</v>
      </c>
      <c r="B403" t="s">
        <v>555</v>
      </c>
      <c r="C403" t="s">
        <v>7</v>
      </c>
      <c r="D403">
        <v>894</v>
      </c>
      <c r="E403">
        <v>5.5</v>
      </c>
      <c r="G403">
        <v>461</v>
      </c>
      <c r="H403">
        <v>656</v>
      </c>
    </row>
    <row r="404" spans="1:8" x14ac:dyDescent="0.2">
      <c r="A404" t="s">
        <v>138</v>
      </c>
      <c r="B404" t="s">
        <v>556</v>
      </c>
      <c r="C404" t="s">
        <v>8</v>
      </c>
      <c r="D404">
        <v>1131</v>
      </c>
      <c r="E404">
        <v>5</v>
      </c>
      <c r="G404">
        <v>894</v>
      </c>
      <c r="H404">
        <v>868</v>
      </c>
    </row>
    <row r="405" spans="1:8" x14ac:dyDescent="0.2">
      <c r="A405" t="s">
        <v>138</v>
      </c>
      <c r="B405" t="s">
        <v>557</v>
      </c>
      <c r="C405" t="s">
        <v>9</v>
      </c>
      <c r="D405">
        <v>1189</v>
      </c>
      <c r="E405">
        <v>4.9000000000000004</v>
      </c>
      <c r="G405">
        <v>1131</v>
      </c>
      <c r="H405">
        <v>1101</v>
      </c>
    </row>
    <row r="406" spans="1:8" x14ac:dyDescent="0.2">
      <c r="A406" t="s">
        <v>138</v>
      </c>
      <c r="B406" t="s">
        <v>558</v>
      </c>
      <c r="C406" t="s">
        <v>10</v>
      </c>
      <c r="D406">
        <v>1262</v>
      </c>
      <c r="E406">
        <v>4.8</v>
      </c>
      <c r="G406">
        <v>1189</v>
      </c>
      <c r="H406">
        <v>1196</v>
      </c>
    </row>
    <row r="407" spans="1:8" x14ac:dyDescent="0.2">
      <c r="A407" t="s">
        <v>138</v>
      </c>
      <c r="B407" t="s">
        <v>559</v>
      </c>
      <c r="C407" t="s">
        <v>11</v>
      </c>
      <c r="D407">
        <v>1243</v>
      </c>
      <c r="E407">
        <v>4.8</v>
      </c>
      <c r="G407">
        <v>1262</v>
      </c>
      <c r="H407">
        <v>1172</v>
      </c>
    </row>
    <row r="408" spans="1:8" x14ac:dyDescent="0.2">
      <c r="A408" t="s">
        <v>138</v>
      </c>
      <c r="B408" t="s">
        <v>560</v>
      </c>
      <c r="C408" t="s">
        <v>12</v>
      </c>
      <c r="D408">
        <v>1227</v>
      </c>
      <c r="E408">
        <v>4.8</v>
      </c>
      <c r="G408">
        <v>1243</v>
      </c>
      <c r="H408">
        <v>1275</v>
      </c>
    </row>
    <row r="409" spans="1:8" x14ac:dyDescent="0.2">
      <c r="A409" t="s">
        <v>138</v>
      </c>
      <c r="B409" t="s">
        <v>561</v>
      </c>
      <c r="C409" t="s">
        <v>13</v>
      </c>
      <c r="D409">
        <v>18</v>
      </c>
      <c r="E409">
        <v>33.9</v>
      </c>
    </row>
    <row r="410" spans="1:8" x14ac:dyDescent="0.2">
      <c r="A410" t="s">
        <v>138</v>
      </c>
      <c r="B410" t="s">
        <v>562</v>
      </c>
      <c r="C410" t="s">
        <v>14</v>
      </c>
      <c r="D410">
        <v>40</v>
      </c>
      <c r="E410">
        <v>22.8</v>
      </c>
      <c r="G410">
        <v>1344</v>
      </c>
      <c r="H410">
        <v>1271</v>
      </c>
    </row>
    <row r="411" spans="1:8" x14ac:dyDescent="0.2">
      <c r="A411" t="s">
        <v>138</v>
      </c>
      <c r="B411" t="s">
        <v>563</v>
      </c>
      <c r="C411" t="s">
        <v>15</v>
      </c>
      <c r="D411">
        <v>89</v>
      </c>
      <c r="E411">
        <v>15.3</v>
      </c>
      <c r="G411">
        <v>22</v>
      </c>
      <c r="H411">
        <v>27</v>
      </c>
    </row>
    <row r="412" spans="1:8" x14ac:dyDescent="0.2">
      <c r="A412" t="s">
        <v>138</v>
      </c>
      <c r="B412" t="s">
        <v>564</v>
      </c>
      <c r="C412" t="s">
        <v>16</v>
      </c>
      <c r="D412">
        <v>144</v>
      </c>
      <c r="E412">
        <v>12.3</v>
      </c>
      <c r="G412">
        <v>88</v>
      </c>
      <c r="H412">
        <v>89</v>
      </c>
    </row>
    <row r="413" spans="1:8" x14ac:dyDescent="0.2">
      <c r="A413" t="s">
        <v>138</v>
      </c>
      <c r="B413" t="s">
        <v>565</v>
      </c>
      <c r="C413" t="s">
        <v>17</v>
      </c>
      <c r="D413">
        <v>352</v>
      </c>
      <c r="E413">
        <v>8.1</v>
      </c>
      <c r="G413">
        <v>286</v>
      </c>
      <c r="H413">
        <v>242</v>
      </c>
    </row>
    <row r="414" spans="1:8" x14ac:dyDescent="0.2">
      <c r="A414" t="s">
        <v>138</v>
      </c>
      <c r="B414" t="s">
        <v>566</v>
      </c>
      <c r="C414" t="s">
        <v>18</v>
      </c>
      <c r="D414">
        <v>656</v>
      </c>
      <c r="E414">
        <v>6.2</v>
      </c>
      <c r="G414">
        <v>519</v>
      </c>
      <c r="H414">
        <v>526</v>
      </c>
    </row>
    <row r="415" spans="1:8" x14ac:dyDescent="0.2">
      <c r="A415" t="s">
        <v>138</v>
      </c>
      <c r="B415" t="s">
        <v>567</v>
      </c>
      <c r="C415" t="s">
        <v>19</v>
      </c>
      <c r="D415">
        <v>868</v>
      </c>
      <c r="E415">
        <v>5.5</v>
      </c>
      <c r="G415">
        <v>869</v>
      </c>
      <c r="H415">
        <v>902</v>
      </c>
    </row>
    <row r="416" spans="1:8" x14ac:dyDescent="0.2">
      <c r="A416" t="s">
        <v>138</v>
      </c>
      <c r="B416" t="s">
        <v>568</v>
      </c>
      <c r="C416" t="s">
        <v>20</v>
      </c>
      <c r="D416">
        <v>1101</v>
      </c>
      <c r="E416">
        <v>5</v>
      </c>
      <c r="G416">
        <v>1159</v>
      </c>
      <c r="H416">
        <v>1186</v>
      </c>
    </row>
    <row r="417" spans="1:8" x14ac:dyDescent="0.2">
      <c r="A417" t="s">
        <v>138</v>
      </c>
      <c r="B417" t="s">
        <v>569</v>
      </c>
      <c r="C417" t="s">
        <v>21</v>
      </c>
      <c r="D417">
        <v>1196</v>
      </c>
      <c r="E417">
        <v>4.9000000000000004</v>
      </c>
      <c r="G417">
        <v>1292</v>
      </c>
      <c r="H417">
        <v>1200</v>
      </c>
    </row>
    <row r="418" spans="1:8" x14ac:dyDescent="0.2">
      <c r="A418" t="s">
        <v>138</v>
      </c>
      <c r="B418" t="s">
        <v>570</v>
      </c>
      <c r="C418" t="s">
        <v>22</v>
      </c>
      <c r="D418">
        <v>1172</v>
      </c>
      <c r="E418">
        <v>4.9000000000000004</v>
      </c>
      <c r="G418">
        <v>1265</v>
      </c>
      <c r="H418">
        <v>1278</v>
      </c>
    </row>
    <row r="419" spans="1:8" x14ac:dyDescent="0.2">
      <c r="A419" t="s">
        <v>138</v>
      </c>
      <c r="B419" t="s">
        <v>571</v>
      </c>
      <c r="C419" t="s">
        <v>23</v>
      </c>
      <c r="D419">
        <v>1275</v>
      </c>
      <c r="E419">
        <v>4.8</v>
      </c>
      <c r="G419">
        <v>1259</v>
      </c>
      <c r="H419">
        <v>1330</v>
      </c>
    </row>
    <row r="420" spans="1:8" x14ac:dyDescent="0.2">
      <c r="A420" t="s">
        <v>138</v>
      </c>
      <c r="B420" t="s">
        <v>572</v>
      </c>
      <c r="C420" t="s">
        <v>24</v>
      </c>
      <c r="D420">
        <v>1344</v>
      </c>
      <c r="E420">
        <v>4.7</v>
      </c>
      <c r="G420">
        <v>1291</v>
      </c>
      <c r="H420">
        <v>1333</v>
      </c>
    </row>
    <row r="421" spans="1:8" x14ac:dyDescent="0.2">
      <c r="A421" t="s">
        <v>138</v>
      </c>
      <c r="B421" t="s">
        <v>573</v>
      </c>
      <c r="C421" t="s">
        <v>25</v>
      </c>
      <c r="D421">
        <v>22</v>
      </c>
      <c r="E421">
        <v>30.6</v>
      </c>
      <c r="G421">
        <v>1317</v>
      </c>
      <c r="H421">
        <v>1226</v>
      </c>
    </row>
    <row r="422" spans="1:8" x14ac:dyDescent="0.2">
      <c r="A422" t="s">
        <v>138</v>
      </c>
      <c r="B422" t="s">
        <v>574</v>
      </c>
      <c r="C422" t="s">
        <v>26</v>
      </c>
      <c r="D422">
        <v>88</v>
      </c>
      <c r="E422">
        <v>15.5</v>
      </c>
    </row>
    <row r="423" spans="1:8" x14ac:dyDescent="0.2">
      <c r="A423" t="s">
        <v>138</v>
      </c>
      <c r="B423" t="s">
        <v>575</v>
      </c>
      <c r="C423" t="s">
        <v>27</v>
      </c>
      <c r="D423">
        <v>286</v>
      </c>
      <c r="E423">
        <v>8.8000000000000007</v>
      </c>
      <c r="G423">
        <v>1213</v>
      </c>
      <c r="H423">
        <v>1294</v>
      </c>
    </row>
    <row r="424" spans="1:8" x14ac:dyDescent="0.2">
      <c r="A424" t="s">
        <v>138</v>
      </c>
      <c r="B424" t="s">
        <v>576</v>
      </c>
      <c r="C424" t="s">
        <v>28</v>
      </c>
      <c r="D424">
        <v>519</v>
      </c>
      <c r="E424">
        <v>6.8</v>
      </c>
      <c r="G424">
        <v>11</v>
      </c>
      <c r="H424">
        <v>18</v>
      </c>
    </row>
    <row r="425" spans="1:8" x14ac:dyDescent="0.2">
      <c r="A425" t="s">
        <v>138</v>
      </c>
      <c r="B425" t="s">
        <v>577</v>
      </c>
      <c r="C425" t="s">
        <v>29</v>
      </c>
      <c r="D425">
        <v>869</v>
      </c>
      <c r="E425">
        <v>5.5</v>
      </c>
      <c r="G425">
        <v>80</v>
      </c>
      <c r="H425">
        <v>66</v>
      </c>
    </row>
    <row r="426" spans="1:8" x14ac:dyDescent="0.2">
      <c r="A426" t="s">
        <v>138</v>
      </c>
      <c r="B426" t="s">
        <v>578</v>
      </c>
      <c r="C426" t="s">
        <v>30</v>
      </c>
      <c r="D426">
        <v>1159</v>
      </c>
      <c r="E426">
        <v>5</v>
      </c>
      <c r="G426">
        <v>246</v>
      </c>
      <c r="H426">
        <v>222</v>
      </c>
    </row>
    <row r="427" spans="1:8" x14ac:dyDescent="0.2">
      <c r="A427" t="s">
        <v>138</v>
      </c>
      <c r="B427" t="s">
        <v>579</v>
      </c>
      <c r="C427" t="s">
        <v>31</v>
      </c>
      <c r="D427">
        <v>1292</v>
      </c>
      <c r="E427">
        <v>4.8</v>
      </c>
      <c r="G427">
        <v>484</v>
      </c>
      <c r="H427">
        <v>464</v>
      </c>
    </row>
    <row r="428" spans="1:8" x14ac:dyDescent="0.2">
      <c r="A428" t="s">
        <v>138</v>
      </c>
      <c r="B428" t="s">
        <v>580</v>
      </c>
      <c r="C428" t="s">
        <v>32</v>
      </c>
      <c r="D428">
        <v>1265</v>
      </c>
      <c r="E428">
        <v>4.8</v>
      </c>
      <c r="G428">
        <v>946</v>
      </c>
      <c r="H428">
        <v>853</v>
      </c>
    </row>
    <row r="429" spans="1:8" x14ac:dyDescent="0.2">
      <c r="A429" t="s">
        <v>138</v>
      </c>
      <c r="B429" t="s">
        <v>581</v>
      </c>
      <c r="C429" t="s">
        <v>33</v>
      </c>
      <c r="D429">
        <v>1259</v>
      </c>
      <c r="E429">
        <v>4.8</v>
      </c>
      <c r="G429">
        <v>1195</v>
      </c>
      <c r="H429">
        <v>1062</v>
      </c>
    </row>
    <row r="430" spans="1:8" x14ac:dyDescent="0.2">
      <c r="A430" t="s">
        <v>138</v>
      </c>
      <c r="B430" t="s">
        <v>582</v>
      </c>
      <c r="C430" t="s">
        <v>34</v>
      </c>
      <c r="D430">
        <v>1291</v>
      </c>
      <c r="E430">
        <v>4.8</v>
      </c>
      <c r="G430">
        <v>1297</v>
      </c>
      <c r="H430">
        <v>1278</v>
      </c>
    </row>
    <row r="431" spans="1:8" x14ac:dyDescent="0.2">
      <c r="A431" t="s">
        <v>138</v>
      </c>
      <c r="B431" t="s">
        <v>583</v>
      </c>
      <c r="C431" t="s">
        <v>35</v>
      </c>
      <c r="D431">
        <v>1317</v>
      </c>
      <c r="E431">
        <v>4.7</v>
      </c>
      <c r="G431">
        <v>1322</v>
      </c>
      <c r="H431">
        <v>1188</v>
      </c>
    </row>
    <row r="432" spans="1:8" x14ac:dyDescent="0.2">
      <c r="A432" t="s">
        <v>138</v>
      </c>
      <c r="B432" t="s">
        <v>584</v>
      </c>
      <c r="C432" t="s">
        <v>36</v>
      </c>
      <c r="D432">
        <v>1271</v>
      </c>
      <c r="E432">
        <v>4.8</v>
      </c>
      <c r="G432">
        <v>1225</v>
      </c>
      <c r="H432">
        <v>1289</v>
      </c>
    </row>
    <row r="433" spans="1:8" x14ac:dyDescent="0.2">
      <c r="A433" t="s">
        <v>138</v>
      </c>
      <c r="B433" t="s">
        <v>585</v>
      </c>
      <c r="C433" t="s">
        <v>37</v>
      </c>
      <c r="D433">
        <v>27</v>
      </c>
      <c r="E433">
        <v>27.9</v>
      </c>
      <c r="G433">
        <v>1327</v>
      </c>
      <c r="H433">
        <v>1354</v>
      </c>
    </row>
    <row r="434" spans="1:8" x14ac:dyDescent="0.2">
      <c r="A434" t="s">
        <v>138</v>
      </c>
      <c r="B434" t="s">
        <v>586</v>
      </c>
      <c r="C434" t="s">
        <v>38</v>
      </c>
      <c r="D434">
        <v>89</v>
      </c>
      <c r="E434">
        <v>15.3</v>
      </c>
      <c r="G434">
        <v>1301</v>
      </c>
      <c r="H434">
        <v>1232</v>
      </c>
    </row>
    <row r="435" spans="1:8" x14ac:dyDescent="0.2">
      <c r="A435" t="s">
        <v>138</v>
      </c>
      <c r="B435" t="s">
        <v>587</v>
      </c>
      <c r="C435" t="s">
        <v>39</v>
      </c>
      <c r="D435">
        <v>242</v>
      </c>
      <c r="E435">
        <v>9.5</v>
      </c>
    </row>
    <row r="436" spans="1:8" x14ac:dyDescent="0.2">
      <c r="A436" t="s">
        <v>138</v>
      </c>
      <c r="B436" t="s">
        <v>588</v>
      </c>
      <c r="C436" t="s">
        <v>40</v>
      </c>
      <c r="D436">
        <v>526</v>
      </c>
      <c r="E436">
        <v>6.8</v>
      </c>
      <c r="G436">
        <v>1281</v>
      </c>
      <c r="H436">
        <v>1146</v>
      </c>
    </row>
    <row r="437" spans="1:8" x14ac:dyDescent="0.2">
      <c r="A437" t="s">
        <v>138</v>
      </c>
      <c r="B437" t="s">
        <v>589</v>
      </c>
      <c r="C437" t="s">
        <v>41</v>
      </c>
      <c r="D437">
        <v>902</v>
      </c>
      <c r="E437">
        <v>5.4</v>
      </c>
      <c r="G437">
        <v>18</v>
      </c>
      <c r="H437">
        <v>17</v>
      </c>
    </row>
    <row r="438" spans="1:8" x14ac:dyDescent="0.2">
      <c r="A438" t="s">
        <v>138</v>
      </c>
      <c r="B438" t="s">
        <v>590</v>
      </c>
      <c r="C438" t="s">
        <v>42</v>
      </c>
      <c r="D438">
        <v>1186</v>
      </c>
      <c r="E438">
        <v>4.9000000000000004</v>
      </c>
      <c r="G438">
        <v>22</v>
      </c>
      <c r="H438">
        <v>18</v>
      </c>
    </row>
    <row r="439" spans="1:8" x14ac:dyDescent="0.2">
      <c r="A439" t="s">
        <v>138</v>
      </c>
      <c r="B439" t="s">
        <v>591</v>
      </c>
      <c r="C439" t="s">
        <v>43</v>
      </c>
      <c r="D439">
        <v>1200</v>
      </c>
      <c r="E439">
        <v>4.9000000000000004</v>
      </c>
      <c r="G439">
        <v>39</v>
      </c>
      <c r="H439">
        <v>32</v>
      </c>
    </row>
    <row r="440" spans="1:8" x14ac:dyDescent="0.2">
      <c r="A440" t="s">
        <v>138</v>
      </c>
      <c r="B440" t="s">
        <v>592</v>
      </c>
      <c r="C440" t="s">
        <v>44</v>
      </c>
      <c r="D440">
        <v>1278</v>
      </c>
      <c r="E440">
        <v>4.8</v>
      </c>
      <c r="G440">
        <v>128</v>
      </c>
      <c r="H440">
        <v>75</v>
      </c>
    </row>
    <row r="441" spans="1:8" x14ac:dyDescent="0.2">
      <c r="A441" t="s">
        <v>138</v>
      </c>
      <c r="B441" t="s">
        <v>593</v>
      </c>
      <c r="C441" t="s">
        <v>45</v>
      </c>
      <c r="D441">
        <v>1330</v>
      </c>
      <c r="E441">
        <v>4.7</v>
      </c>
      <c r="G441">
        <v>244</v>
      </c>
      <c r="H441">
        <v>187</v>
      </c>
    </row>
    <row r="442" spans="1:8" x14ac:dyDescent="0.2">
      <c r="A442" t="s">
        <v>138</v>
      </c>
      <c r="B442" t="s">
        <v>594</v>
      </c>
      <c r="C442" t="s">
        <v>46</v>
      </c>
      <c r="D442">
        <v>1333</v>
      </c>
      <c r="E442">
        <v>4.7</v>
      </c>
      <c r="G442">
        <v>479</v>
      </c>
      <c r="H442">
        <v>371</v>
      </c>
    </row>
    <row r="443" spans="1:8" x14ac:dyDescent="0.2">
      <c r="A443" t="s">
        <v>138</v>
      </c>
      <c r="B443" t="s">
        <v>595</v>
      </c>
      <c r="C443" t="s">
        <v>47</v>
      </c>
      <c r="D443">
        <v>1226</v>
      </c>
      <c r="E443">
        <v>4.8</v>
      </c>
      <c r="G443">
        <v>833</v>
      </c>
      <c r="H443">
        <v>696</v>
      </c>
    </row>
    <row r="444" spans="1:8" x14ac:dyDescent="0.2">
      <c r="A444" t="s">
        <v>138</v>
      </c>
      <c r="B444" t="s">
        <v>596</v>
      </c>
      <c r="C444" t="s">
        <v>48</v>
      </c>
      <c r="D444">
        <v>1213</v>
      </c>
      <c r="E444">
        <v>4.8</v>
      </c>
      <c r="G444">
        <v>1044</v>
      </c>
      <c r="H444">
        <v>1012</v>
      </c>
    </row>
    <row r="445" spans="1:8" x14ac:dyDescent="0.2">
      <c r="A445" t="s">
        <v>138</v>
      </c>
      <c r="B445" t="s">
        <v>597</v>
      </c>
      <c r="C445" t="s">
        <v>49</v>
      </c>
      <c r="D445">
        <v>11</v>
      </c>
      <c r="E445">
        <v>43.7</v>
      </c>
      <c r="G445">
        <v>1315</v>
      </c>
      <c r="H445">
        <v>1074</v>
      </c>
    </row>
    <row r="446" spans="1:8" x14ac:dyDescent="0.2">
      <c r="A446" t="s">
        <v>138</v>
      </c>
      <c r="B446" t="s">
        <v>598</v>
      </c>
      <c r="C446" t="s">
        <v>50</v>
      </c>
      <c r="D446">
        <v>80</v>
      </c>
      <c r="E446">
        <v>16.2</v>
      </c>
      <c r="G446">
        <v>1322</v>
      </c>
      <c r="H446">
        <v>1238</v>
      </c>
    </row>
    <row r="447" spans="1:8" x14ac:dyDescent="0.2">
      <c r="A447" t="s">
        <v>138</v>
      </c>
      <c r="B447" t="s">
        <v>599</v>
      </c>
      <c r="C447" t="s">
        <v>51</v>
      </c>
      <c r="D447">
        <v>246</v>
      </c>
      <c r="E447">
        <v>9.4</v>
      </c>
      <c r="G447">
        <v>1296</v>
      </c>
      <c r="H447">
        <v>1233</v>
      </c>
    </row>
    <row r="448" spans="1:8" x14ac:dyDescent="0.2">
      <c r="A448" t="s">
        <v>138</v>
      </c>
      <c r="B448" t="s">
        <v>600</v>
      </c>
      <c r="C448" t="s">
        <v>52</v>
      </c>
      <c r="D448">
        <v>484</v>
      </c>
      <c r="E448">
        <v>6.9</v>
      </c>
    </row>
    <row r="449" spans="1:5" x14ac:dyDescent="0.2">
      <c r="A449" t="s">
        <v>138</v>
      </c>
      <c r="B449" t="s">
        <v>601</v>
      </c>
      <c r="C449" t="s">
        <v>53</v>
      </c>
      <c r="D449">
        <v>946</v>
      </c>
      <c r="E449">
        <v>5.3</v>
      </c>
    </row>
    <row r="450" spans="1:5" x14ac:dyDescent="0.2">
      <c r="A450" t="s">
        <v>138</v>
      </c>
      <c r="B450" t="s">
        <v>602</v>
      </c>
      <c r="C450" t="s">
        <v>54</v>
      </c>
      <c r="D450">
        <v>1195</v>
      </c>
      <c r="E450">
        <v>4.8</v>
      </c>
    </row>
    <row r="451" spans="1:5" x14ac:dyDescent="0.2">
      <c r="A451" t="s">
        <v>138</v>
      </c>
      <c r="B451" t="s">
        <v>603</v>
      </c>
      <c r="C451" t="s">
        <v>55</v>
      </c>
      <c r="D451">
        <v>1297</v>
      </c>
      <c r="E451">
        <v>4.7</v>
      </c>
    </row>
    <row r="452" spans="1:5" x14ac:dyDescent="0.2">
      <c r="A452" t="s">
        <v>138</v>
      </c>
      <c r="B452" t="s">
        <v>604</v>
      </c>
      <c r="C452" t="s">
        <v>56</v>
      </c>
      <c r="D452">
        <v>1322</v>
      </c>
      <c r="E452">
        <v>4.7</v>
      </c>
    </row>
    <row r="453" spans="1:5" x14ac:dyDescent="0.2">
      <c r="A453" t="s">
        <v>138</v>
      </c>
      <c r="B453" t="s">
        <v>605</v>
      </c>
      <c r="C453" t="s">
        <v>57</v>
      </c>
      <c r="D453">
        <v>1225</v>
      </c>
      <c r="E453">
        <v>4.8</v>
      </c>
    </row>
    <row r="454" spans="1:5" x14ac:dyDescent="0.2">
      <c r="A454" t="s">
        <v>138</v>
      </c>
      <c r="B454" t="s">
        <v>606</v>
      </c>
      <c r="C454" t="s">
        <v>58</v>
      </c>
      <c r="D454">
        <v>1327</v>
      </c>
      <c r="E454">
        <v>4.7</v>
      </c>
    </row>
    <row r="455" spans="1:5" x14ac:dyDescent="0.2">
      <c r="A455" t="s">
        <v>138</v>
      </c>
      <c r="B455" t="s">
        <v>607</v>
      </c>
      <c r="C455" t="s">
        <v>59</v>
      </c>
      <c r="D455">
        <v>1301</v>
      </c>
      <c r="E455">
        <v>4.7</v>
      </c>
    </row>
    <row r="456" spans="1:5" x14ac:dyDescent="0.2">
      <c r="A456" t="s">
        <v>138</v>
      </c>
      <c r="B456" t="s">
        <v>608</v>
      </c>
      <c r="C456" t="s">
        <v>60</v>
      </c>
      <c r="D456">
        <v>1294</v>
      </c>
      <c r="E456">
        <v>4.7</v>
      </c>
    </row>
    <row r="457" spans="1:5" x14ac:dyDescent="0.2">
      <c r="A457" t="s">
        <v>138</v>
      </c>
      <c r="B457" t="s">
        <v>609</v>
      </c>
      <c r="C457" t="s">
        <v>61</v>
      </c>
      <c r="D457">
        <v>18</v>
      </c>
      <c r="E457">
        <v>33.9</v>
      </c>
    </row>
    <row r="458" spans="1:5" x14ac:dyDescent="0.2">
      <c r="A458" t="s">
        <v>138</v>
      </c>
      <c r="B458" t="s">
        <v>610</v>
      </c>
      <c r="C458" t="s">
        <v>62</v>
      </c>
      <c r="D458">
        <v>66</v>
      </c>
      <c r="E458">
        <v>17.7</v>
      </c>
    </row>
    <row r="459" spans="1:5" x14ac:dyDescent="0.2">
      <c r="A459" t="s">
        <v>138</v>
      </c>
      <c r="B459" t="s">
        <v>611</v>
      </c>
      <c r="C459" t="s">
        <v>63</v>
      </c>
      <c r="D459">
        <v>222</v>
      </c>
      <c r="E459">
        <v>9.9</v>
      </c>
    </row>
    <row r="460" spans="1:5" x14ac:dyDescent="0.2">
      <c r="A460" t="s">
        <v>138</v>
      </c>
      <c r="B460" t="s">
        <v>612</v>
      </c>
      <c r="C460" t="s">
        <v>64</v>
      </c>
      <c r="D460">
        <v>464</v>
      </c>
      <c r="E460">
        <v>7.1</v>
      </c>
    </row>
    <row r="461" spans="1:5" x14ac:dyDescent="0.2">
      <c r="A461" t="s">
        <v>138</v>
      </c>
      <c r="B461" t="s">
        <v>613</v>
      </c>
      <c r="C461" t="s">
        <v>65</v>
      </c>
      <c r="D461">
        <v>853</v>
      </c>
      <c r="E461">
        <v>5.5</v>
      </c>
    </row>
    <row r="462" spans="1:5" x14ac:dyDescent="0.2">
      <c r="A462" t="s">
        <v>138</v>
      </c>
      <c r="B462" t="s">
        <v>614</v>
      </c>
      <c r="C462" t="s">
        <v>66</v>
      </c>
      <c r="D462">
        <v>1062</v>
      </c>
      <c r="E462">
        <v>5.0999999999999996</v>
      </c>
    </row>
    <row r="463" spans="1:5" x14ac:dyDescent="0.2">
      <c r="A463" t="s">
        <v>138</v>
      </c>
      <c r="B463" t="s">
        <v>615</v>
      </c>
      <c r="C463" t="s">
        <v>67</v>
      </c>
      <c r="D463">
        <v>1278</v>
      </c>
      <c r="E463">
        <v>4.7</v>
      </c>
    </row>
    <row r="464" spans="1:5" x14ac:dyDescent="0.2">
      <c r="A464" t="s">
        <v>138</v>
      </c>
      <c r="B464" t="s">
        <v>616</v>
      </c>
      <c r="C464" t="s">
        <v>68</v>
      </c>
      <c r="D464">
        <v>1188</v>
      </c>
      <c r="E464">
        <v>4.9000000000000004</v>
      </c>
    </row>
    <row r="465" spans="1:5" x14ac:dyDescent="0.2">
      <c r="A465" t="s">
        <v>138</v>
      </c>
      <c r="B465" t="s">
        <v>617</v>
      </c>
      <c r="C465" t="s">
        <v>69</v>
      </c>
      <c r="D465">
        <v>1289</v>
      </c>
      <c r="E465">
        <v>4.7</v>
      </c>
    </row>
    <row r="466" spans="1:5" x14ac:dyDescent="0.2">
      <c r="A466" t="s">
        <v>138</v>
      </c>
      <c r="B466" t="s">
        <v>618</v>
      </c>
      <c r="C466" t="s">
        <v>70</v>
      </c>
      <c r="D466">
        <v>1354</v>
      </c>
      <c r="E466">
        <v>4.7</v>
      </c>
    </row>
    <row r="467" spans="1:5" x14ac:dyDescent="0.2">
      <c r="A467" t="s">
        <v>138</v>
      </c>
      <c r="B467" t="s">
        <v>619</v>
      </c>
      <c r="C467" t="s">
        <v>71</v>
      </c>
      <c r="D467">
        <v>1232</v>
      </c>
      <c r="E467">
        <v>4.8</v>
      </c>
    </row>
    <row r="468" spans="1:5" x14ac:dyDescent="0.2">
      <c r="A468" t="s">
        <v>138</v>
      </c>
      <c r="B468" t="s">
        <v>620</v>
      </c>
      <c r="C468" t="s">
        <v>72</v>
      </c>
      <c r="D468">
        <v>1281</v>
      </c>
      <c r="E468">
        <v>4.8</v>
      </c>
    </row>
    <row r="469" spans="1:5" x14ac:dyDescent="0.2">
      <c r="A469" t="s">
        <v>138</v>
      </c>
      <c r="B469" t="s">
        <v>621</v>
      </c>
      <c r="C469" t="s">
        <v>73</v>
      </c>
      <c r="D469">
        <v>18</v>
      </c>
      <c r="E469">
        <v>33.4</v>
      </c>
    </row>
    <row r="470" spans="1:5" x14ac:dyDescent="0.2">
      <c r="A470" t="s">
        <v>138</v>
      </c>
      <c r="B470" t="s">
        <v>622</v>
      </c>
      <c r="C470" t="s">
        <v>74</v>
      </c>
      <c r="D470">
        <v>22</v>
      </c>
      <c r="E470">
        <v>30.3</v>
      </c>
    </row>
    <row r="471" spans="1:5" x14ac:dyDescent="0.2">
      <c r="A471" t="s">
        <v>138</v>
      </c>
      <c r="B471" t="s">
        <v>623</v>
      </c>
      <c r="C471" t="s">
        <v>75</v>
      </c>
      <c r="D471">
        <v>39</v>
      </c>
      <c r="E471">
        <v>22.9</v>
      </c>
    </row>
    <row r="472" spans="1:5" x14ac:dyDescent="0.2">
      <c r="A472" t="s">
        <v>138</v>
      </c>
      <c r="B472" t="s">
        <v>624</v>
      </c>
      <c r="C472" t="s">
        <v>76</v>
      </c>
      <c r="D472">
        <v>128</v>
      </c>
      <c r="E472">
        <v>12.8</v>
      </c>
    </row>
    <row r="473" spans="1:5" x14ac:dyDescent="0.2">
      <c r="A473" t="s">
        <v>138</v>
      </c>
      <c r="B473" t="s">
        <v>625</v>
      </c>
      <c r="C473" t="s">
        <v>77</v>
      </c>
      <c r="D473">
        <v>244</v>
      </c>
      <c r="E473">
        <v>9.4</v>
      </c>
    </row>
    <row r="474" spans="1:5" x14ac:dyDescent="0.2">
      <c r="A474" t="s">
        <v>138</v>
      </c>
      <c r="B474" t="s">
        <v>626</v>
      </c>
      <c r="C474" t="s">
        <v>78</v>
      </c>
      <c r="D474">
        <v>479</v>
      </c>
      <c r="E474">
        <v>7</v>
      </c>
    </row>
    <row r="475" spans="1:5" x14ac:dyDescent="0.2">
      <c r="A475" t="s">
        <v>138</v>
      </c>
      <c r="B475" t="s">
        <v>627</v>
      </c>
      <c r="C475" t="s">
        <v>79</v>
      </c>
      <c r="D475">
        <v>833</v>
      </c>
      <c r="E475">
        <v>5.5</v>
      </c>
    </row>
    <row r="476" spans="1:5" x14ac:dyDescent="0.2">
      <c r="A476" t="s">
        <v>138</v>
      </c>
      <c r="B476" t="s">
        <v>628</v>
      </c>
      <c r="C476" t="s">
        <v>80</v>
      </c>
      <c r="D476">
        <v>1044</v>
      </c>
      <c r="E476">
        <v>5.0999999999999996</v>
      </c>
    </row>
    <row r="477" spans="1:5" x14ac:dyDescent="0.2">
      <c r="A477" t="s">
        <v>138</v>
      </c>
      <c r="B477" t="s">
        <v>629</v>
      </c>
      <c r="C477" t="s">
        <v>81</v>
      </c>
      <c r="D477">
        <v>1315</v>
      </c>
      <c r="E477">
        <v>4.7</v>
      </c>
    </row>
    <row r="478" spans="1:5" x14ac:dyDescent="0.2">
      <c r="A478" t="s">
        <v>138</v>
      </c>
      <c r="B478" t="s">
        <v>630</v>
      </c>
      <c r="C478" t="s">
        <v>82</v>
      </c>
      <c r="D478">
        <v>1322</v>
      </c>
      <c r="E478">
        <v>4.7</v>
      </c>
    </row>
    <row r="479" spans="1:5" x14ac:dyDescent="0.2">
      <c r="A479" t="s">
        <v>138</v>
      </c>
      <c r="B479" t="s">
        <v>631</v>
      </c>
      <c r="C479" t="s">
        <v>83</v>
      </c>
      <c r="D479">
        <v>1296</v>
      </c>
      <c r="E479">
        <v>4.7</v>
      </c>
    </row>
    <row r="480" spans="1:5" x14ac:dyDescent="0.2">
      <c r="A480" t="s">
        <v>138</v>
      </c>
      <c r="B480" t="s">
        <v>632</v>
      </c>
      <c r="C480" t="s">
        <v>84</v>
      </c>
      <c r="D480">
        <v>1146</v>
      </c>
      <c r="E480">
        <v>4.9000000000000004</v>
      </c>
    </row>
    <row r="481" spans="1:8" x14ac:dyDescent="0.2">
      <c r="A481" t="s">
        <v>138</v>
      </c>
      <c r="B481" t="s">
        <v>633</v>
      </c>
      <c r="C481" t="s">
        <v>85</v>
      </c>
      <c r="D481">
        <v>17</v>
      </c>
      <c r="E481">
        <v>34.4</v>
      </c>
    </row>
    <row r="482" spans="1:8" x14ac:dyDescent="0.2">
      <c r="A482" t="s">
        <v>138</v>
      </c>
      <c r="B482" t="s">
        <v>634</v>
      </c>
      <c r="C482" t="s">
        <v>86</v>
      </c>
      <c r="D482">
        <v>18</v>
      </c>
      <c r="E482">
        <v>33.9</v>
      </c>
    </row>
    <row r="483" spans="1:8" x14ac:dyDescent="0.2">
      <c r="A483" t="s">
        <v>138</v>
      </c>
      <c r="B483" t="s">
        <v>635</v>
      </c>
      <c r="C483" t="s">
        <v>87</v>
      </c>
      <c r="D483">
        <v>32</v>
      </c>
      <c r="E483">
        <v>25.3</v>
      </c>
    </row>
    <row r="484" spans="1:8" x14ac:dyDescent="0.2">
      <c r="A484" t="s">
        <v>138</v>
      </c>
      <c r="B484" t="s">
        <v>636</v>
      </c>
      <c r="C484" t="s">
        <v>88</v>
      </c>
      <c r="D484">
        <v>75</v>
      </c>
      <c r="E484">
        <v>16.600000000000001</v>
      </c>
    </row>
    <row r="485" spans="1:8" x14ac:dyDescent="0.2">
      <c r="A485" t="s">
        <v>138</v>
      </c>
      <c r="B485" t="s">
        <v>637</v>
      </c>
      <c r="C485" t="s">
        <v>89</v>
      </c>
      <c r="D485">
        <v>187</v>
      </c>
      <c r="E485">
        <v>10.7</v>
      </c>
    </row>
    <row r="486" spans="1:8" x14ac:dyDescent="0.2">
      <c r="A486" t="s">
        <v>138</v>
      </c>
      <c r="B486" t="s">
        <v>638</v>
      </c>
      <c r="C486" t="s">
        <v>90</v>
      </c>
      <c r="D486">
        <v>371</v>
      </c>
      <c r="E486">
        <v>7.8</v>
      </c>
    </row>
    <row r="487" spans="1:8" x14ac:dyDescent="0.2">
      <c r="A487" t="s">
        <v>138</v>
      </c>
      <c r="B487" t="s">
        <v>639</v>
      </c>
      <c r="C487" t="s">
        <v>91</v>
      </c>
      <c r="D487">
        <v>696</v>
      </c>
      <c r="E487">
        <v>6</v>
      </c>
    </row>
    <row r="488" spans="1:8" x14ac:dyDescent="0.2">
      <c r="A488" t="s">
        <v>138</v>
      </c>
      <c r="B488" t="s">
        <v>640</v>
      </c>
      <c r="C488" t="s">
        <v>92</v>
      </c>
      <c r="D488">
        <v>1012</v>
      </c>
      <c r="E488">
        <v>5.2</v>
      </c>
    </row>
    <row r="489" spans="1:8" x14ac:dyDescent="0.2">
      <c r="A489" t="s">
        <v>138</v>
      </c>
      <c r="B489" t="s">
        <v>641</v>
      </c>
      <c r="C489" t="s">
        <v>93</v>
      </c>
      <c r="D489">
        <v>1074</v>
      </c>
      <c r="E489">
        <v>5.0999999999999996</v>
      </c>
    </row>
    <row r="490" spans="1:8" x14ac:dyDescent="0.2">
      <c r="A490" t="s">
        <v>138</v>
      </c>
      <c r="B490" t="s">
        <v>642</v>
      </c>
      <c r="C490" t="s">
        <v>94</v>
      </c>
      <c r="D490">
        <v>1238</v>
      </c>
      <c r="E490">
        <v>4.8</v>
      </c>
    </row>
    <row r="491" spans="1:8" x14ac:dyDescent="0.2">
      <c r="A491" t="s">
        <v>138</v>
      </c>
      <c r="B491" t="s">
        <v>643</v>
      </c>
      <c r="C491" t="s">
        <v>95</v>
      </c>
      <c r="D491">
        <v>1233</v>
      </c>
      <c r="E491">
        <v>4.8</v>
      </c>
      <c r="G491" t="s">
        <v>854</v>
      </c>
    </row>
    <row r="492" spans="1:8" x14ac:dyDescent="0.2">
      <c r="A492" t="s">
        <v>138</v>
      </c>
      <c r="B492" t="s">
        <v>644</v>
      </c>
      <c r="C492" t="s">
        <v>0</v>
      </c>
      <c r="D492">
        <v>1336</v>
      </c>
      <c r="E492">
        <v>4.7</v>
      </c>
      <c r="G492">
        <v>1336</v>
      </c>
      <c r="H492">
        <v>1403</v>
      </c>
    </row>
    <row r="493" spans="1:8" x14ac:dyDescent="0.2">
      <c r="A493" t="s">
        <v>138</v>
      </c>
      <c r="B493" t="s">
        <v>645</v>
      </c>
      <c r="C493" t="s">
        <v>1</v>
      </c>
      <c r="D493">
        <v>28</v>
      </c>
      <c r="E493">
        <v>27.1</v>
      </c>
      <c r="G493">
        <v>28</v>
      </c>
      <c r="H493">
        <v>27</v>
      </c>
    </row>
    <row r="494" spans="1:8" x14ac:dyDescent="0.2">
      <c r="A494" t="s">
        <v>138</v>
      </c>
      <c r="B494" t="s">
        <v>646</v>
      </c>
      <c r="C494" t="s">
        <v>2</v>
      </c>
      <c r="D494">
        <v>16</v>
      </c>
      <c r="E494">
        <v>35.5</v>
      </c>
      <c r="G494">
        <v>16</v>
      </c>
      <c r="H494">
        <v>15</v>
      </c>
    </row>
    <row r="495" spans="1:8" x14ac:dyDescent="0.2">
      <c r="A495" t="s">
        <v>138</v>
      </c>
      <c r="B495" t="s">
        <v>647</v>
      </c>
      <c r="C495" t="s">
        <v>3</v>
      </c>
      <c r="D495">
        <v>23</v>
      </c>
      <c r="E495">
        <v>29.9</v>
      </c>
      <c r="G495">
        <v>23</v>
      </c>
      <c r="H495">
        <v>35</v>
      </c>
    </row>
    <row r="496" spans="1:8" x14ac:dyDescent="0.2">
      <c r="A496" t="s">
        <v>138</v>
      </c>
      <c r="B496" t="s">
        <v>648</v>
      </c>
      <c r="C496" t="s">
        <v>4</v>
      </c>
      <c r="D496">
        <v>53</v>
      </c>
      <c r="E496">
        <v>19.899999999999999</v>
      </c>
      <c r="G496">
        <v>53</v>
      </c>
      <c r="H496">
        <v>62</v>
      </c>
    </row>
    <row r="497" spans="1:8" x14ac:dyDescent="0.2">
      <c r="A497" t="s">
        <v>138</v>
      </c>
      <c r="B497" t="s">
        <v>649</v>
      </c>
      <c r="C497" t="s">
        <v>5</v>
      </c>
      <c r="D497">
        <v>139</v>
      </c>
      <c r="E497">
        <v>12.4</v>
      </c>
      <c r="G497">
        <v>139</v>
      </c>
      <c r="H497">
        <v>173</v>
      </c>
    </row>
    <row r="498" spans="1:8" x14ac:dyDescent="0.2">
      <c r="A498" t="s">
        <v>138</v>
      </c>
      <c r="B498" t="s">
        <v>650</v>
      </c>
      <c r="C498" t="s">
        <v>6</v>
      </c>
      <c r="D498">
        <v>400</v>
      </c>
      <c r="E498">
        <v>7.6</v>
      </c>
      <c r="G498">
        <v>400</v>
      </c>
      <c r="H498">
        <v>401</v>
      </c>
    </row>
    <row r="499" spans="1:8" x14ac:dyDescent="0.2">
      <c r="A499" t="s">
        <v>138</v>
      </c>
      <c r="B499" t="s">
        <v>651</v>
      </c>
      <c r="C499" t="s">
        <v>7</v>
      </c>
      <c r="D499">
        <v>869</v>
      </c>
      <c r="E499">
        <v>5.5</v>
      </c>
      <c r="G499">
        <v>869</v>
      </c>
      <c r="H499">
        <v>831</v>
      </c>
    </row>
    <row r="500" spans="1:8" x14ac:dyDescent="0.2">
      <c r="A500" t="s">
        <v>138</v>
      </c>
      <c r="B500" t="s">
        <v>652</v>
      </c>
      <c r="C500" t="s">
        <v>8</v>
      </c>
      <c r="D500">
        <v>1066</v>
      </c>
      <c r="E500">
        <v>5.0999999999999996</v>
      </c>
      <c r="G500">
        <v>1066</v>
      </c>
      <c r="H500">
        <v>1050</v>
      </c>
    </row>
    <row r="501" spans="1:8" x14ac:dyDescent="0.2">
      <c r="A501" t="s">
        <v>138</v>
      </c>
      <c r="B501" t="s">
        <v>653</v>
      </c>
      <c r="C501" t="s">
        <v>9</v>
      </c>
      <c r="D501">
        <v>1162</v>
      </c>
      <c r="E501">
        <v>4.9000000000000004</v>
      </c>
      <c r="G501">
        <v>1162</v>
      </c>
      <c r="H501">
        <v>1193</v>
      </c>
    </row>
    <row r="502" spans="1:8" x14ac:dyDescent="0.2">
      <c r="A502" t="s">
        <v>138</v>
      </c>
      <c r="B502" t="s">
        <v>654</v>
      </c>
      <c r="C502" t="s">
        <v>10</v>
      </c>
      <c r="D502">
        <v>1320</v>
      </c>
      <c r="E502">
        <v>4.7</v>
      </c>
      <c r="G502">
        <v>1320</v>
      </c>
      <c r="H502">
        <v>1245</v>
      </c>
    </row>
    <row r="503" spans="1:8" x14ac:dyDescent="0.2">
      <c r="A503" t="s">
        <v>138</v>
      </c>
      <c r="B503" t="s">
        <v>655</v>
      </c>
      <c r="C503" t="s">
        <v>11</v>
      </c>
      <c r="D503">
        <v>1302</v>
      </c>
      <c r="E503">
        <v>4.7</v>
      </c>
      <c r="G503">
        <v>1302</v>
      </c>
      <c r="H503">
        <v>1220</v>
      </c>
    </row>
    <row r="504" spans="1:8" x14ac:dyDescent="0.2">
      <c r="A504" t="s">
        <v>138</v>
      </c>
      <c r="B504" t="s">
        <v>656</v>
      </c>
      <c r="C504" t="s">
        <v>12</v>
      </c>
      <c r="D504">
        <v>1403</v>
      </c>
      <c r="E504">
        <v>4.5999999999999996</v>
      </c>
    </row>
    <row r="505" spans="1:8" x14ac:dyDescent="0.2">
      <c r="A505" t="s">
        <v>138</v>
      </c>
      <c r="B505" t="s">
        <v>657</v>
      </c>
      <c r="C505" t="s">
        <v>13</v>
      </c>
      <c r="D505">
        <v>27</v>
      </c>
      <c r="E505">
        <v>27.9</v>
      </c>
      <c r="G505">
        <v>1303</v>
      </c>
      <c r="H505">
        <v>1253</v>
      </c>
    </row>
    <row r="506" spans="1:8" x14ac:dyDescent="0.2">
      <c r="A506" t="s">
        <v>138</v>
      </c>
      <c r="B506" t="s">
        <v>658</v>
      </c>
      <c r="C506" t="s">
        <v>14</v>
      </c>
      <c r="D506">
        <v>15</v>
      </c>
      <c r="E506">
        <v>36.6</v>
      </c>
      <c r="G506">
        <v>20</v>
      </c>
      <c r="H506">
        <v>24</v>
      </c>
    </row>
    <row r="507" spans="1:8" x14ac:dyDescent="0.2">
      <c r="A507" t="s">
        <v>138</v>
      </c>
      <c r="B507" t="s">
        <v>659</v>
      </c>
      <c r="C507" t="s">
        <v>15</v>
      </c>
      <c r="D507">
        <v>35</v>
      </c>
      <c r="E507">
        <v>24.2</v>
      </c>
      <c r="G507">
        <v>49</v>
      </c>
      <c r="H507">
        <v>51</v>
      </c>
    </row>
    <row r="508" spans="1:8" x14ac:dyDescent="0.2">
      <c r="A508" t="s">
        <v>138</v>
      </c>
      <c r="B508" t="s">
        <v>660</v>
      </c>
      <c r="C508" t="s">
        <v>16</v>
      </c>
      <c r="D508">
        <v>62</v>
      </c>
      <c r="E508">
        <v>18.399999999999999</v>
      </c>
      <c r="G508">
        <v>189</v>
      </c>
      <c r="H508">
        <v>212</v>
      </c>
    </row>
    <row r="509" spans="1:8" x14ac:dyDescent="0.2">
      <c r="A509" t="s">
        <v>138</v>
      </c>
      <c r="B509" t="s">
        <v>661</v>
      </c>
      <c r="C509" t="s">
        <v>17</v>
      </c>
      <c r="D509">
        <v>173</v>
      </c>
      <c r="E509">
        <v>11.2</v>
      </c>
      <c r="G509">
        <v>491</v>
      </c>
      <c r="H509">
        <v>459</v>
      </c>
    </row>
    <row r="510" spans="1:8" x14ac:dyDescent="0.2">
      <c r="A510" t="s">
        <v>138</v>
      </c>
      <c r="B510" t="s">
        <v>662</v>
      </c>
      <c r="C510" t="s">
        <v>18</v>
      </c>
      <c r="D510">
        <v>401</v>
      </c>
      <c r="E510">
        <v>7.6</v>
      </c>
      <c r="G510">
        <v>842</v>
      </c>
      <c r="H510">
        <v>882</v>
      </c>
    </row>
    <row r="511" spans="1:8" x14ac:dyDescent="0.2">
      <c r="A511" t="s">
        <v>138</v>
      </c>
      <c r="B511" t="s">
        <v>663</v>
      </c>
      <c r="C511" t="s">
        <v>19</v>
      </c>
      <c r="D511">
        <v>831</v>
      </c>
      <c r="E511">
        <v>5.6</v>
      </c>
      <c r="G511">
        <v>1071</v>
      </c>
      <c r="H511">
        <v>1128</v>
      </c>
    </row>
    <row r="512" spans="1:8" x14ac:dyDescent="0.2">
      <c r="A512" t="s">
        <v>138</v>
      </c>
      <c r="B512" t="s">
        <v>664</v>
      </c>
      <c r="C512" t="s">
        <v>20</v>
      </c>
      <c r="D512">
        <v>1050</v>
      </c>
      <c r="E512">
        <v>5.0999999999999996</v>
      </c>
      <c r="G512">
        <v>1241</v>
      </c>
      <c r="H512">
        <v>1276</v>
      </c>
    </row>
    <row r="513" spans="1:8" x14ac:dyDescent="0.2">
      <c r="A513" t="s">
        <v>138</v>
      </c>
      <c r="B513" t="s">
        <v>665</v>
      </c>
      <c r="C513" t="s">
        <v>21</v>
      </c>
      <c r="D513">
        <v>1193</v>
      </c>
      <c r="E513">
        <v>4.9000000000000004</v>
      </c>
      <c r="G513">
        <v>1265</v>
      </c>
      <c r="H513">
        <v>1212</v>
      </c>
    </row>
    <row r="514" spans="1:8" x14ac:dyDescent="0.2">
      <c r="A514" t="s">
        <v>138</v>
      </c>
      <c r="B514" t="s">
        <v>666</v>
      </c>
      <c r="C514" t="s">
        <v>22</v>
      </c>
      <c r="D514">
        <v>1245</v>
      </c>
      <c r="E514">
        <v>4.8</v>
      </c>
      <c r="G514">
        <v>1212</v>
      </c>
      <c r="H514">
        <v>1282</v>
      </c>
    </row>
    <row r="515" spans="1:8" x14ac:dyDescent="0.2">
      <c r="A515" t="s">
        <v>138</v>
      </c>
      <c r="B515" t="s">
        <v>667</v>
      </c>
      <c r="C515" t="s">
        <v>23</v>
      </c>
      <c r="D515">
        <v>1220</v>
      </c>
      <c r="E515">
        <v>4.9000000000000004</v>
      </c>
      <c r="G515">
        <v>1305</v>
      </c>
      <c r="H515">
        <v>1299</v>
      </c>
    </row>
    <row r="516" spans="1:8" x14ac:dyDescent="0.2">
      <c r="A516" t="s">
        <v>138</v>
      </c>
      <c r="B516" t="s">
        <v>668</v>
      </c>
      <c r="C516" t="s">
        <v>24</v>
      </c>
      <c r="D516">
        <v>1303</v>
      </c>
      <c r="E516">
        <v>4.7</v>
      </c>
      <c r="G516">
        <v>1244</v>
      </c>
      <c r="H516">
        <v>1189</v>
      </c>
    </row>
    <row r="517" spans="1:8" x14ac:dyDescent="0.2">
      <c r="A517" t="s">
        <v>138</v>
      </c>
      <c r="B517" t="s">
        <v>669</v>
      </c>
      <c r="C517" t="s">
        <v>25</v>
      </c>
      <c r="D517">
        <v>20</v>
      </c>
      <c r="E517">
        <v>32.1</v>
      </c>
    </row>
    <row r="518" spans="1:8" x14ac:dyDescent="0.2">
      <c r="A518" t="s">
        <v>138</v>
      </c>
      <c r="B518" t="s">
        <v>670</v>
      </c>
      <c r="C518" t="s">
        <v>26</v>
      </c>
      <c r="D518">
        <v>49</v>
      </c>
      <c r="E518">
        <v>20.6</v>
      </c>
      <c r="G518">
        <v>1261</v>
      </c>
      <c r="H518">
        <v>1256</v>
      </c>
    </row>
    <row r="519" spans="1:8" x14ac:dyDescent="0.2">
      <c r="A519" t="s">
        <v>138</v>
      </c>
      <c r="B519" t="s">
        <v>671</v>
      </c>
      <c r="C519" t="s">
        <v>27</v>
      </c>
      <c r="D519">
        <v>189</v>
      </c>
      <c r="E519">
        <v>10.7</v>
      </c>
      <c r="G519">
        <v>20</v>
      </c>
      <c r="H519">
        <v>20</v>
      </c>
    </row>
    <row r="520" spans="1:8" x14ac:dyDescent="0.2">
      <c r="A520" t="s">
        <v>138</v>
      </c>
      <c r="B520" t="s">
        <v>672</v>
      </c>
      <c r="C520" t="s">
        <v>28</v>
      </c>
      <c r="D520">
        <v>491</v>
      </c>
      <c r="E520">
        <v>7</v>
      </c>
      <c r="G520">
        <v>78</v>
      </c>
      <c r="H520">
        <v>72</v>
      </c>
    </row>
    <row r="521" spans="1:8" x14ac:dyDescent="0.2">
      <c r="A521" t="s">
        <v>138</v>
      </c>
      <c r="B521" t="s">
        <v>673</v>
      </c>
      <c r="C521" t="s">
        <v>29</v>
      </c>
      <c r="D521">
        <v>842</v>
      </c>
      <c r="E521">
        <v>5.6</v>
      </c>
      <c r="G521">
        <v>171</v>
      </c>
      <c r="H521">
        <v>203</v>
      </c>
    </row>
    <row r="522" spans="1:8" x14ac:dyDescent="0.2">
      <c r="A522" t="s">
        <v>138</v>
      </c>
      <c r="B522" t="s">
        <v>674</v>
      </c>
      <c r="C522" t="s">
        <v>30</v>
      </c>
      <c r="D522">
        <v>1071</v>
      </c>
      <c r="E522">
        <v>5.0999999999999996</v>
      </c>
      <c r="G522">
        <v>361</v>
      </c>
      <c r="H522">
        <v>367</v>
      </c>
    </row>
    <row r="523" spans="1:8" x14ac:dyDescent="0.2">
      <c r="A523" t="s">
        <v>138</v>
      </c>
      <c r="B523" t="s">
        <v>675</v>
      </c>
      <c r="C523" t="s">
        <v>31</v>
      </c>
      <c r="D523">
        <v>1241</v>
      </c>
      <c r="E523">
        <v>4.8</v>
      </c>
      <c r="G523">
        <v>697</v>
      </c>
      <c r="H523">
        <v>687</v>
      </c>
    </row>
    <row r="524" spans="1:8" x14ac:dyDescent="0.2">
      <c r="A524" t="s">
        <v>138</v>
      </c>
      <c r="B524" t="s">
        <v>676</v>
      </c>
      <c r="C524" t="s">
        <v>32</v>
      </c>
      <c r="D524">
        <v>1265</v>
      </c>
      <c r="E524">
        <v>4.8</v>
      </c>
      <c r="G524">
        <v>1020</v>
      </c>
      <c r="H524">
        <v>1087</v>
      </c>
    </row>
    <row r="525" spans="1:8" x14ac:dyDescent="0.2">
      <c r="A525" t="s">
        <v>138</v>
      </c>
      <c r="B525" t="s">
        <v>677</v>
      </c>
      <c r="C525" t="s">
        <v>33</v>
      </c>
      <c r="D525">
        <v>1212</v>
      </c>
      <c r="E525">
        <v>4.9000000000000004</v>
      </c>
      <c r="G525">
        <v>1262</v>
      </c>
      <c r="H525">
        <v>1216</v>
      </c>
    </row>
    <row r="526" spans="1:8" x14ac:dyDescent="0.2">
      <c r="A526" t="s">
        <v>138</v>
      </c>
      <c r="B526" t="s">
        <v>678</v>
      </c>
      <c r="C526" t="s">
        <v>34</v>
      </c>
      <c r="D526">
        <v>1305</v>
      </c>
      <c r="E526">
        <v>4.7</v>
      </c>
      <c r="G526">
        <v>1211</v>
      </c>
      <c r="H526">
        <v>1238</v>
      </c>
    </row>
    <row r="527" spans="1:8" x14ac:dyDescent="0.2">
      <c r="A527" t="s">
        <v>138</v>
      </c>
      <c r="B527" t="s">
        <v>679</v>
      </c>
      <c r="C527" t="s">
        <v>35</v>
      </c>
      <c r="D527">
        <v>1244</v>
      </c>
      <c r="E527">
        <v>4.8</v>
      </c>
      <c r="G527">
        <v>1477</v>
      </c>
      <c r="H527">
        <v>1349</v>
      </c>
    </row>
    <row r="528" spans="1:8" x14ac:dyDescent="0.2">
      <c r="A528" t="s">
        <v>138</v>
      </c>
      <c r="B528" t="s">
        <v>680</v>
      </c>
      <c r="C528" t="s">
        <v>36</v>
      </c>
      <c r="D528">
        <v>1253</v>
      </c>
      <c r="E528">
        <v>4.8</v>
      </c>
      <c r="G528">
        <v>1274</v>
      </c>
      <c r="H528">
        <v>1384</v>
      </c>
    </row>
    <row r="529" spans="1:9" x14ac:dyDescent="0.2">
      <c r="A529" t="s">
        <v>138</v>
      </c>
      <c r="B529" t="s">
        <v>681</v>
      </c>
      <c r="C529" t="s">
        <v>37</v>
      </c>
      <c r="D529">
        <v>24</v>
      </c>
      <c r="E529">
        <v>29</v>
      </c>
      <c r="G529">
        <v>1248</v>
      </c>
      <c r="H529">
        <v>1274</v>
      </c>
    </row>
    <row r="530" spans="1:9" x14ac:dyDescent="0.2">
      <c r="A530" t="s">
        <v>138</v>
      </c>
      <c r="B530" t="s">
        <v>682</v>
      </c>
      <c r="C530" t="s">
        <v>38</v>
      </c>
      <c r="D530">
        <v>51</v>
      </c>
      <c r="E530">
        <v>20.2</v>
      </c>
    </row>
    <row r="531" spans="1:9" x14ac:dyDescent="0.2">
      <c r="A531" t="s">
        <v>138</v>
      </c>
      <c r="B531" t="s">
        <v>683</v>
      </c>
      <c r="C531" t="s">
        <v>39</v>
      </c>
      <c r="D531">
        <v>212</v>
      </c>
      <c r="E531">
        <v>10.199999999999999</v>
      </c>
      <c r="G531">
        <v>1334</v>
      </c>
      <c r="H531">
        <v>1190</v>
      </c>
    </row>
    <row r="532" spans="1:9" x14ac:dyDescent="0.2">
      <c r="A532" t="s">
        <v>138</v>
      </c>
      <c r="B532" t="s">
        <v>684</v>
      </c>
      <c r="C532" t="s">
        <v>40</v>
      </c>
      <c r="D532">
        <v>459</v>
      </c>
      <c r="E532">
        <v>7.2</v>
      </c>
      <c r="G532">
        <v>23</v>
      </c>
      <c r="H532">
        <v>16</v>
      </c>
    </row>
    <row r="533" spans="1:9" x14ac:dyDescent="0.2">
      <c r="A533" t="s">
        <v>138</v>
      </c>
      <c r="B533" t="s">
        <v>685</v>
      </c>
      <c r="C533" t="s">
        <v>41</v>
      </c>
      <c r="D533">
        <v>882</v>
      </c>
      <c r="E533">
        <v>5.5</v>
      </c>
      <c r="G533">
        <v>267</v>
      </c>
      <c r="H533">
        <v>239</v>
      </c>
    </row>
    <row r="534" spans="1:9" x14ac:dyDescent="0.2">
      <c r="A534" t="s">
        <v>138</v>
      </c>
      <c r="B534" t="s">
        <v>686</v>
      </c>
      <c r="C534" t="s">
        <v>42</v>
      </c>
      <c r="D534">
        <v>1128</v>
      </c>
      <c r="E534">
        <v>5</v>
      </c>
      <c r="G534">
        <v>609</v>
      </c>
      <c r="H534">
        <v>551</v>
      </c>
    </row>
    <row r="535" spans="1:9" x14ac:dyDescent="0.2">
      <c r="A535" t="s">
        <v>138</v>
      </c>
      <c r="B535" t="s">
        <v>687</v>
      </c>
      <c r="C535" t="s">
        <v>43</v>
      </c>
      <c r="D535">
        <v>1276</v>
      </c>
      <c r="E535">
        <v>4.8</v>
      </c>
      <c r="G535">
        <v>907</v>
      </c>
      <c r="H535">
        <v>816</v>
      </c>
    </row>
    <row r="536" spans="1:9" x14ac:dyDescent="0.2">
      <c r="A536" t="s">
        <v>138</v>
      </c>
      <c r="B536" t="s">
        <v>688</v>
      </c>
      <c r="C536" t="s">
        <v>44</v>
      </c>
      <c r="D536">
        <v>1212</v>
      </c>
      <c r="E536">
        <v>4.9000000000000004</v>
      </c>
      <c r="G536">
        <v>1264</v>
      </c>
      <c r="H536">
        <v>1149</v>
      </c>
    </row>
    <row r="537" spans="1:9" x14ac:dyDescent="0.2">
      <c r="A537" t="s">
        <v>138</v>
      </c>
      <c r="B537" t="s">
        <v>689</v>
      </c>
      <c r="C537" t="s">
        <v>45</v>
      </c>
      <c r="D537">
        <v>1282</v>
      </c>
      <c r="E537">
        <v>4.8</v>
      </c>
      <c r="G537">
        <v>1236</v>
      </c>
      <c r="H537">
        <v>1245</v>
      </c>
    </row>
    <row r="538" spans="1:9" x14ac:dyDescent="0.2">
      <c r="A538" t="s">
        <v>138</v>
      </c>
      <c r="B538" t="s">
        <v>690</v>
      </c>
      <c r="C538" t="s">
        <v>46</v>
      </c>
      <c r="D538">
        <v>1299</v>
      </c>
      <c r="E538">
        <v>4.7</v>
      </c>
      <c r="G538">
        <v>1251</v>
      </c>
      <c r="H538">
        <v>1268</v>
      </c>
    </row>
    <row r="539" spans="1:9" x14ac:dyDescent="0.2">
      <c r="A539" t="s">
        <v>138</v>
      </c>
      <c r="B539" t="s">
        <v>691</v>
      </c>
      <c r="C539" t="s">
        <v>47</v>
      </c>
      <c r="D539">
        <v>1189</v>
      </c>
      <c r="E539">
        <v>4.9000000000000004</v>
      </c>
      <c r="G539">
        <v>1049</v>
      </c>
      <c r="H539">
        <v>1267</v>
      </c>
    </row>
    <row r="540" spans="1:9" x14ac:dyDescent="0.2">
      <c r="A540" t="s">
        <v>138</v>
      </c>
      <c r="B540" t="s">
        <v>692</v>
      </c>
      <c r="C540" t="s">
        <v>48</v>
      </c>
      <c r="D540">
        <v>1261</v>
      </c>
      <c r="E540">
        <v>4.8</v>
      </c>
      <c r="G540">
        <v>1318</v>
      </c>
      <c r="H540">
        <v>1361</v>
      </c>
    </row>
    <row r="541" spans="1:9" x14ac:dyDescent="0.2">
      <c r="A541" t="s">
        <v>138</v>
      </c>
      <c r="B541" t="s">
        <v>693</v>
      </c>
      <c r="C541" t="s">
        <v>49</v>
      </c>
      <c r="D541">
        <v>20</v>
      </c>
      <c r="E541">
        <v>31.7</v>
      </c>
      <c r="G541">
        <v>1366</v>
      </c>
      <c r="H541">
        <v>1300</v>
      </c>
    </row>
    <row r="542" spans="1:9" x14ac:dyDescent="0.2">
      <c r="A542" t="s">
        <v>138</v>
      </c>
      <c r="B542" t="s">
        <v>694</v>
      </c>
      <c r="C542" t="s">
        <v>50</v>
      </c>
      <c r="D542">
        <v>78</v>
      </c>
      <c r="E542">
        <v>16.3</v>
      </c>
      <c r="G542">
        <v>1294</v>
      </c>
      <c r="H542">
        <v>1195</v>
      </c>
    </row>
    <row r="543" spans="1:9" x14ac:dyDescent="0.2">
      <c r="A543" t="s">
        <v>138</v>
      </c>
      <c r="B543" t="s">
        <v>695</v>
      </c>
      <c r="C543" t="s">
        <v>51</v>
      </c>
      <c r="D543">
        <v>171</v>
      </c>
      <c r="E543">
        <v>11.2</v>
      </c>
    </row>
    <row r="544" spans="1:9" x14ac:dyDescent="0.2">
      <c r="A544" t="s">
        <v>138</v>
      </c>
      <c r="B544" t="s">
        <v>696</v>
      </c>
      <c r="C544" t="s">
        <v>52</v>
      </c>
      <c r="D544">
        <v>361</v>
      </c>
      <c r="E544">
        <v>7.9</v>
      </c>
      <c r="G544" t="s">
        <v>866</v>
      </c>
      <c r="H544" t="s">
        <v>852</v>
      </c>
      <c r="I544" t="s">
        <v>867</v>
      </c>
    </row>
    <row r="545" spans="1:9" x14ac:dyDescent="0.2">
      <c r="A545" t="s">
        <v>138</v>
      </c>
      <c r="B545" t="s">
        <v>697</v>
      </c>
      <c r="C545" t="s">
        <v>53</v>
      </c>
      <c r="D545">
        <v>697</v>
      </c>
      <c r="E545">
        <v>6</v>
      </c>
      <c r="G545">
        <v>983</v>
      </c>
      <c r="H545">
        <v>1676</v>
      </c>
      <c r="I545">
        <v>2389</v>
      </c>
    </row>
    <row r="546" spans="1:9" x14ac:dyDescent="0.2">
      <c r="A546" t="s">
        <v>138</v>
      </c>
      <c r="B546" t="s">
        <v>698</v>
      </c>
      <c r="C546" t="s">
        <v>54</v>
      </c>
      <c r="D546">
        <v>1020</v>
      </c>
      <c r="E546">
        <v>5.0999999999999996</v>
      </c>
      <c r="G546">
        <v>1075</v>
      </c>
      <c r="H546">
        <v>1651</v>
      </c>
      <c r="I546">
        <v>2474</v>
      </c>
    </row>
    <row r="547" spans="1:9" x14ac:dyDescent="0.2">
      <c r="A547" t="s">
        <v>138</v>
      </c>
      <c r="B547" t="s">
        <v>699</v>
      </c>
      <c r="C547" t="s">
        <v>55</v>
      </c>
      <c r="D547">
        <v>1262</v>
      </c>
      <c r="E547">
        <v>4.7</v>
      </c>
      <c r="G547">
        <v>1039</v>
      </c>
      <c r="H547">
        <v>1686</v>
      </c>
      <c r="I547">
        <v>2397</v>
      </c>
    </row>
    <row r="548" spans="1:9" x14ac:dyDescent="0.2">
      <c r="A548" t="s">
        <v>138</v>
      </c>
      <c r="B548" t="s">
        <v>700</v>
      </c>
      <c r="C548" t="s">
        <v>56</v>
      </c>
      <c r="D548">
        <v>1211</v>
      </c>
      <c r="E548">
        <v>4.8</v>
      </c>
      <c r="G548">
        <v>3</v>
      </c>
    </row>
    <row r="549" spans="1:9" x14ac:dyDescent="0.2">
      <c r="A549" t="s">
        <v>138</v>
      </c>
      <c r="B549" t="s">
        <v>701</v>
      </c>
      <c r="C549" t="s">
        <v>57</v>
      </c>
      <c r="D549">
        <v>1477</v>
      </c>
      <c r="E549">
        <v>4.5</v>
      </c>
      <c r="G549">
        <v>3</v>
      </c>
    </row>
    <row r="550" spans="1:9" x14ac:dyDescent="0.2">
      <c r="A550" t="s">
        <v>138</v>
      </c>
      <c r="B550" t="s">
        <v>702</v>
      </c>
      <c r="C550" t="s">
        <v>58</v>
      </c>
      <c r="D550">
        <v>1274</v>
      </c>
      <c r="E550">
        <v>4.8</v>
      </c>
      <c r="G550">
        <v>4</v>
      </c>
    </row>
    <row r="551" spans="1:9" x14ac:dyDescent="0.2">
      <c r="A551" t="s">
        <v>138</v>
      </c>
      <c r="B551" t="s">
        <v>703</v>
      </c>
      <c r="C551" t="s">
        <v>59</v>
      </c>
      <c r="D551">
        <v>1248</v>
      </c>
      <c r="E551">
        <v>4.8</v>
      </c>
      <c r="G551">
        <v>7</v>
      </c>
    </row>
    <row r="552" spans="1:9" x14ac:dyDescent="0.2">
      <c r="A552" t="s">
        <v>138</v>
      </c>
      <c r="B552" t="s">
        <v>704</v>
      </c>
      <c r="C552" t="s">
        <v>60</v>
      </c>
      <c r="D552">
        <v>1256</v>
      </c>
      <c r="E552">
        <v>4.8</v>
      </c>
      <c r="G552">
        <v>4</v>
      </c>
    </row>
    <row r="553" spans="1:9" x14ac:dyDescent="0.2">
      <c r="A553" t="s">
        <v>138</v>
      </c>
      <c r="B553" t="s">
        <v>705</v>
      </c>
      <c r="C553" t="s">
        <v>61</v>
      </c>
      <c r="D553">
        <v>20</v>
      </c>
      <c r="E553">
        <v>32.1</v>
      </c>
      <c r="G553">
        <v>3</v>
      </c>
    </row>
    <row r="554" spans="1:9" x14ac:dyDescent="0.2">
      <c r="A554" t="s">
        <v>138</v>
      </c>
      <c r="B554" t="s">
        <v>706</v>
      </c>
      <c r="C554" t="s">
        <v>62</v>
      </c>
      <c r="D554">
        <v>72</v>
      </c>
      <c r="E554">
        <v>17</v>
      </c>
      <c r="G554">
        <v>7</v>
      </c>
    </row>
    <row r="555" spans="1:9" x14ac:dyDescent="0.2">
      <c r="A555" t="s">
        <v>138</v>
      </c>
      <c r="B555" t="s">
        <v>707</v>
      </c>
      <c r="C555" t="s">
        <v>63</v>
      </c>
      <c r="D555">
        <v>203</v>
      </c>
      <c r="E555">
        <v>10.3</v>
      </c>
      <c r="G555">
        <v>7</v>
      </c>
    </row>
    <row r="556" spans="1:9" x14ac:dyDescent="0.2">
      <c r="A556" t="s">
        <v>138</v>
      </c>
      <c r="B556" t="s">
        <v>708</v>
      </c>
      <c r="C556" t="s">
        <v>64</v>
      </c>
      <c r="D556">
        <v>367</v>
      </c>
      <c r="E556">
        <v>7.8</v>
      </c>
      <c r="G556">
        <v>6</v>
      </c>
    </row>
    <row r="557" spans="1:9" x14ac:dyDescent="0.2">
      <c r="A557" t="s">
        <v>138</v>
      </c>
      <c r="B557" t="s">
        <v>709</v>
      </c>
      <c r="C557" t="s">
        <v>65</v>
      </c>
      <c r="D557">
        <v>687</v>
      </c>
      <c r="E557">
        <v>6</v>
      </c>
    </row>
    <row r="558" spans="1:9" x14ac:dyDescent="0.2">
      <c r="A558" t="s">
        <v>138</v>
      </c>
      <c r="B558" t="s">
        <v>710</v>
      </c>
      <c r="C558" t="s">
        <v>66</v>
      </c>
      <c r="D558">
        <v>1087</v>
      </c>
      <c r="E558">
        <v>5</v>
      </c>
    </row>
    <row r="559" spans="1:9" x14ac:dyDescent="0.2">
      <c r="A559" t="s">
        <v>138</v>
      </c>
      <c r="B559" t="s">
        <v>711</v>
      </c>
      <c r="C559" t="s">
        <v>67</v>
      </c>
      <c r="D559">
        <v>1216</v>
      </c>
      <c r="E559">
        <v>4.8</v>
      </c>
    </row>
    <row r="560" spans="1:9" x14ac:dyDescent="0.2">
      <c r="A560" t="s">
        <v>138</v>
      </c>
      <c r="B560" t="s">
        <v>712</v>
      </c>
      <c r="C560" t="s">
        <v>68</v>
      </c>
      <c r="D560">
        <v>1238</v>
      </c>
      <c r="E560">
        <v>4.8</v>
      </c>
      <c r="G560">
        <v>3</v>
      </c>
    </row>
    <row r="561" spans="1:7" x14ac:dyDescent="0.2">
      <c r="A561" t="s">
        <v>138</v>
      </c>
      <c r="B561" t="s">
        <v>713</v>
      </c>
      <c r="C561" t="s">
        <v>69</v>
      </c>
      <c r="D561">
        <v>1349</v>
      </c>
      <c r="E561">
        <v>4.7</v>
      </c>
      <c r="G561">
        <v>2</v>
      </c>
    </row>
    <row r="562" spans="1:7" x14ac:dyDescent="0.2">
      <c r="A562" t="s">
        <v>138</v>
      </c>
      <c r="B562" t="s">
        <v>714</v>
      </c>
      <c r="C562" t="s">
        <v>70</v>
      </c>
      <c r="D562">
        <v>1384</v>
      </c>
      <c r="E562">
        <v>4.5999999999999996</v>
      </c>
      <c r="G562">
        <v>2</v>
      </c>
    </row>
    <row r="563" spans="1:7" x14ac:dyDescent="0.2">
      <c r="A563" t="s">
        <v>138</v>
      </c>
      <c r="B563" t="s">
        <v>715</v>
      </c>
      <c r="C563" t="s">
        <v>71</v>
      </c>
      <c r="D563">
        <v>1274</v>
      </c>
      <c r="E563">
        <v>4.8</v>
      </c>
      <c r="G563">
        <v>7</v>
      </c>
    </row>
    <row r="564" spans="1:7" x14ac:dyDescent="0.2">
      <c r="A564" t="s">
        <v>138</v>
      </c>
      <c r="B564" t="s">
        <v>716</v>
      </c>
      <c r="C564" t="s">
        <v>72</v>
      </c>
      <c r="D564">
        <v>1334</v>
      </c>
      <c r="E564">
        <v>4.7</v>
      </c>
      <c r="G564">
        <v>6</v>
      </c>
    </row>
    <row r="565" spans="1:7" x14ac:dyDescent="0.2">
      <c r="A565" t="s">
        <v>138</v>
      </c>
      <c r="B565" t="s">
        <v>717</v>
      </c>
      <c r="C565" t="s">
        <v>73</v>
      </c>
      <c r="D565">
        <v>23</v>
      </c>
      <c r="E565">
        <v>29.9</v>
      </c>
      <c r="G565">
        <v>5</v>
      </c>
    </row>
    <row r="566" spans="1:7" x14ac:dyDescent="0.2">
      <c r="A566" t="s">
        <v>138</v>
      </c>
      <c r="B566" t="s">
        <v>718</v>
      </c>
      <c r="C566" t="s">
        <v>74</v>
      </c>
      <c r="D566">
        <v>267</v>
      </c>
      <c r="E566">
        <v>9.1</v>
      </c>
      <c r="G566">
        <v>7</v>
      </c>
    </row>
    <row r="567" spans="1:7" x14ac:dyDescent="0.2">
      <c r="A567" t="s">
        <v>138</v>
      </c>
      <c r="B567" t="s">
        <v>719</v>
      </c>
      <c r="C567" t="s">
        <v>75</v>
      </c>
      <c r="D567">
        <v>609</v>
      </c>
      <c r="E567">
        <v>6.3</v>
      </c>
      <c r="G567">
        <v>8</v>
      </c>
    </row>
    <row r="568" spans="1:7" x14ac:dyDescent="0.2">
      <c r="A568" t="s">
        <v>138</v>
      </c>
      <c r="B568" t="s">
        <v>720</v>
      </c>
      <c r="C568" t="s">
        <v>76</v>
      </c>
      <c r="D568">
        <v>907</v>
      </c>
      <c r="E568">
        <v>5.4</v>
      </c>
      <c r="G568">
        <v>5</v>
      </c>
    </row>
    <row r="569" spans="1:7" x14ac:dyDescent="0.2">
      <c r="A569" t="s">
        <v>138</v>
      </c>
      <c r="B569" t="s">
        <v>721</v>
      </c>
      <c r="C569" t="s">
        <v>77</v>
      </c>
      <c r="D569">
        <v>1264</v>
      </c>
      <c r="E569">
        <v>4.7</v>
      </c>
      <c r="G569">
        <v>2389</v>
      </c>
    </row>
    <row r="570" spans="1:7" x14ac:dyDescent="0.2">
      <c r="A570" t="s">
        <v>138</v>
      </c>
      <c r="B570" t="s">
        <v>722</v>
      </c>
      <c r="C570" t="s">
        <v>78</v>
      </c>
      <c r="D570">
        <v>1236</v>
      </c>
      <c r="E570">
        <v>4.8</v>
      </c>
      <c r="G570">
        <v>2474</v>
      </c>
    </row>
    <row r="571" spans="1:7" x14ac:dyDescent="0.2">
      <c r="A571" t="s">
        <v>138</v>
      </c>
      <c r="B571" t="s">
        <v>723</v>
      </c>
      <c r="C571" t="s">
        <v>79</v>
      </c>
      <c r="D571">
        <v>1251</v>
      </c>
      <c r="E571">
        <v>4.8</v>
      </c>
      <c r="G571">
        <v>2397</v>
      </c>
    </row>
    <row r="572" spans="1:7" x14ac:dyDescent="0.2">
      <c r="A572" t="s">
        <v>138</v>
      </c>
      <c r="B572" t="s">
        <v>724</v>
      </c>
      <c r="C572" t="s">
        <v>80</v>
      </c>
      <c r="D572">
        <v>1049</v>
      </c>
      <c r="E572">
        <v>5.0999999999999996</v>
      </c>
    </row>
    <row r="573" spans="1:7" x14ac:dyDescent="0.2">
      <c r="A573" t="s">
        <v>138</v>
      </c>
      <c r="B573" t="s">
        <v>725</v>
      </c>
      <c r="C573" t="s">
        <v>81</v>
      </c>
      <c r="D573">
        <v>1318</v>
      </c>
      <c r="E573">
        <v>4.7</v>
      </c>
    </row>
    <row r="574" spans="1:7" x14ac:dyDescent="0.2">
      <c r="A574" t="s">
        <v>138</v>
      </c>
      <c r="B574" t="s">
        <v>726</v>
      </c>
      <c r="C574" t="s">
        <v>82</v>
      </c>
      <c r="D574">
        <v>1366</v>
      </c>
      <c r="E574">
        <v>4.5999999999999996</v>
      </c>
    </row>
    <row r="575" spans="1:7" x14ac:dyDescent="0.2">
      <c r="A575" t="s">
        <v>138</v>
      </c>
      <c r="B575" t="s">
        <v>727</v>
      </c>
      <c r="C575" t="s">
        <v>83</v>
      </c>
      <c r="D575">
        <v>1294</v>
      </c>
      <c r="E575">
        <v>4.7</v>
      </c>
    </row>
    <row r="576" spans="1:7" x14ac:dyDescent="0.2">
      <c r="A576" t="s">
        <v>138</v>
      </c>
      <c r="B576" t="s">
        <v>728</v>
      </c>
      <c r="C576" t="s">
        <v>84</v>
      </c>
      <c r="D576">
        <v>1190</v>
      </c>
      <c r="E576">
        <v>4.9000000000000004</v>
      </c>
    </row>
    <row r="577" spans="1:5" x14ac:dyDescent="0.2">
      <c r="A577" t="s">
        <v>138</v>
      </c>
      <c r="B577" t="s">
        <v>729</v>
      </c>
      <c r="C577" t="s">
        <v>85</v>
      </c>
      <c r="D577">
        <v>16</v>
      </c>
      <c r="E577">
        <v>35.5</v>
      </c>
    </row>
    <row r="578" spans="1:5" x14ac:dyDescent="0.2">
      <c r="A578" t="s">
        <v>138</v>
      </c>
      <c r="B578" t="s">
        <v>730</v>
      </c>
      <c r="C578" t="s">
        <v>86</v>
      </c>
      <c r="D578">
        <v>239</v>
      </c>
      <c r="E578">
        <v>9.6</v>
      </c>
    </row>
    <row r="579" spans="1:5" x14ac:dyDescent="0.2">
      <c r="A579" t="s">
        <v>138</v>
      </c>
      <c r="B579" t="s">
        <v>731</v>
      </c>
      <c r="C579" t="s">
        <v>87</v>
      </c>
      <c r="D579">
        <v>551</v>
      </c>
      <c r="E579">
        <v>6.6</v>
      </c>
    </row>
    <row r="580" spans="1:5" x14ac:dyDescent="0.2">
      <c r="A580" t="s">
        <v>138</v>
      </c>
      <c r="B580" t="s">
        <v>732</v>
      </c>
      <c r="C580" t="s">
        <v>88</v>
      </c>
      <c r="D580">
        <v>816</v>
      </c>
      <c r="E580">
        <v>5.6</v>
      </c>
    </row>
    <row r="581" spans="1:5" x14ac:dyDescent="0.2">
      <c r="A581" t="s">
        <v>138</v>
      </c>
      <c r="B581" t="s">
        <v>733</v>
      </c>
      <c r="C581" t="s">
        <v>89</v>
      </c>
      <c r="D581">
        <v>1149</v>
      </c>
      <c r="E581">
        <v>4.9000000000000004</v>
      </c>
    </row>
    <row r="582" spans="1:5" x14ac:dyDescent="0.2">
      <c r="A582" t="s">
        <v>138</v>
      </c>
      <c r="B582" t="s">
        <v>734</v>
      </c>
      <c r="C582" t="s">
        <v>90</v>
      </c>
      <c r="D582">
        <v>1245</v>
      </c>
      <c r="E582">
        <v>4.8</v>
      </c>
    </row>
    <row r="583" spans="1:5" x14ac:dyDescent="0.2">
      <c r="A583" t="s">
        <v>138</v>
      </c>
      <c r="B583" t="s">
        <v>735</v>
      </c>
      <c r="C583" t="s">
        <v>91</v>
      </c>
      <c r="D583">
        <v>1268</v>
      </c>
      <c r="E583">
        <v>4.7</v>
      </c>
    </row>
    <row r="584" spans="1:5" x14ac:dyDescent="0.2">
      <c r="A584" t="s">
        <v>138</v>
      </c>
      <c r="B584" t="s">
        <v>736</v>
      </c>
      <c r="C584" t="s">
        <v>92</v>
      </c>
      <c r="D584">
        <v>1267</v>
      </c>
      <c r="E584">
        <v>4.8</v>
      </c>
    </row>
    <row r="585" spans="1:5" x14ac:dyDescent="0.2">
      <c r="A585" t="s">
        <v>138</v>
      </c>
      <c r="B585" t="s">
        <v>737</v>
      </c>
      <c r="C585" t="s">
        <v>93</v>
      </c>
      <c r="D585">
        <v>1361</v>
      </c>
      <c r="E585">
        <v>4.5999999999999996</v>
      </c>
    </row>
    <row r="586" spans="1:5" x14ac:dyDescent="0.2">
      <c r="A586" t="s">
        <v>138</v>
      </c>
      <c r="B586" t="s">
        <v>738</v>
      </c>
      <c r="C586" t="s">
        <v>94</v>
      </c>
      <c r="D586">
        <v>1300</v>
      </c>
      <c r="E586">
        <v>4.7</v>
      </c>
    </row>
    <row r="587" spans="1:5" x14ac:dyDescent="0.2">
      <c r="A587" t="s">
        <v>138</v>
      </c>
      <c r="B587" t="s">
        <v>739</v>
      </c>
      <c r="C587" t="s">
        <v>95</v>
      </c>
      <c r="D587">
        <v>1195</v>
      </c>
      <c r="E587">
        <v>4.9000000000000004</v>
      </c>
    </row>
    <row r="588" spans="1:5" x14ac:dyDescent="0.2">
      <c r="A588" t="s">
        <v>138</v>
      </c>
      <c r="B588" t="s">
        <v>740</v>
      </c>
      <c r="C588" t="s">
        <v>0</v>
      </c>
      <c r="D588">
        <v>5</v>
      </c>
      <c r="E588">
        <v>66.7</v>
      </c>
    </row>
    <row r="589" spans="1:5" x14ac:dyDescent="0.2">
      <c r="A589" t="s">
        <v>138</v>
      </c>
      <c r="B589" t="s">
        <v>741</v>
      </c>
      <c r="C589" t="s">
        <v>1</v>
      </c>
      <c r="D589">
        <v>5</v>
      </c>
      <c r="E589">
        <v>66.7</v>
      </c>
    </row>
    <row r="590" spans="1:5" x14ac:dyDescent="0.2">
      <c r="A590" t="s">
        <v>138</v>
      </c>
      <c r="B590" t="s">
        <v>742</v>
      </c>
      <c r="C590" t="s">
        <v>2</v>
      </c>
      <c r="D590">
        <v>4</v>
      </c>
      <c r="E590">
        <v>75.599999999999994</v>
      </c>
    </row>
    <row r="591" spans="1:5" x14ac:dyDescent="0.2">
      <c r="A591" t="s">
        <v>138</v>
      </c>
      <c r="B591" t="s">
        <v>743</v>
      </c>
      <c r="C591" t="s">
        <v>3</v>
      </c>
      <c r="D591">
        <v>8</v>
      </c>
      <c r="E591">
        <v>51.7</v>
      </c>
    </row>
    <row r="592" spans="1:5" x14ac:dyDescent="0.2">
      <c r="A592" t="s">
        <v>138</v>
      </c>
      <c r="B592" t="s">
        <v>744</v>
      </c>
      <c r="C592" t="s">
        <v>4</v>
      </c>
      <c r="D592">
        <v>4</v>
      </c>
      <c r="E592">
        <v>70.8</v>
      </c>
    </row>
    <row r="593" spans="1:5" x14ac:dyDescent="0.2">
      <c r="A593" t="s">
        <v>138</v>
      </c>
      <c r="B593" t="s">
        <v>745</v>
      </c>
      <c r="C593" t="s">
        <v>5</v>
      </c>
      <c r="D593">
        <v>6</v>
      </c>
      <c r="E593">
        <v>60.4</v>
      </c>
    </row>
    <row r="594" spans="1:5" x14ac:dyDescent="0.2">
      <c r="A594" t="s">
        <v>138</v>
      </c>
      <c r="B594" t="s">
        <v>746</v>
      </c>
      <c r="C594" t="s">
        <v>6</v>
      </c>
      <c r="D594">
        <v>7</v>
      </c>
      <c r="E594">
        <v>55.5</v>
      </c>
    </row>
    <row r="595" spans="1:5" x14ac:dyDescent="0.2">
      <c r="A595" t="s">
        <v>138</v>
      </c>
      <c r="B595" t="s">
        <v>747</v>
      </c>
      <c r="C595" t="s">
        <v>7</v>
      </c>
      <c r="D595">
        <v>6</v>
      </c>
      <c r="E595">
        <v>57.8</v>
      </c>
    </row>
    <row r="596" spans="1:5" x14ac:dyDescent="0.2">
      <c r="A596" t="s">
        <v>138</v>
      </c>
      <c r="B596" t="s">
        <v>748</v>
      </c>
      <c r="C596" t="s">
        <v>8</v>
      </c>
      <c r="D596">
        <v>2</v>
      </c>
      <c r="E596">
        <v>100</v>
      </c>
    </row>
    <row r="597" spans="1:5" x14ac:dyDescent="0.2">
      <c r="A597" t="s">
        <v>138</v>
      </c>
      <c r="B597" t="s">
        <v>749</v>
      </c>
      <c r="C597" t="s">
        <v>9</v>
      </c>
      <c r="D597">
        <v>4</v>
      </c>
      <c r="E597">
        <v>70.8</v>
      </c>
    </row>
    <row r="598" spans="1:5" x14ac:dyDescent="0.2">
      <c r="A598" t="s">
        <v>138</v>
      </c>
      <c r="B598" t="s">
        <v>750</v>
      </c>
      <c r="C598" t="s">
        <v>10</v>
      </c>
      <c r="D598">
        <v>3</v>
      </c>
      <c r="E598">
        <v>81.7</v>
      </c>
    </row>
    <row r="599" spans="1:5" x14ac:dyDescent="0.2">
      <c r="A599" t="s">
        <v>138</v>
      </c>
      <c r="B599" t="s">
        <v>751</v>
      </c>
      <c r="C599" t="s">
        <v>11</v>
      </c>
      <c r="D599">
        <v>3</v>
      </c>
      <c r="E599">
        <v>89.5</v>
      </c>
    </row>
    <row r="600" spans="1:5" x14ac:dyDescent="0.2">
      <c r="A600" t="s">
        <v>138</v>
      </c>
      <c r="B600" t="s">
        <v>752</v>
      </c>
      <c r="C600" t="s">
        <v>12</v>
      </c>
      <c r="D600">
        <v>5</v>
      </c>
      <c r="E600">
        <v>66.7</v>
      </c>
    </row>
    <row r="601" spans="1:5" x14ac:dyDescent="0.2">
      <c r="A601" t="s">
        <v>138</v>
      </c>
      <c r="B601" t="s">
        <v>753</v>
      </c>
      <c r="C601" t="s">
        <v>13</v>
      </c>
      <c r="D601">
        <v>6</v>
      </c>
      <c r="E601">
        <v>57.8</v>
      </c>
    </row>
    <row r="602" spans="1:5" x14ac:dyDescent="0.2">
      <c r="A602" t="s">
        <v>138</v>
      </c>
      <c r="B602" t="s">
        <v>754</v>
      </c>
      <c r="C602" t="s">
        <v>14</v>
      </c>
      <c r="D602">
        <v>6</v>
      </c>
      <c r="E602">
        <v>57.8</v>
      </c>
    </row>
    <row r="603" spans="1:5" x14ac:dyDescent="0.2">
      <c r="A603" t="s">
        <v>138</v>
      </c>
      <c r="B603" t="s">
        <v>755</v>
      </c>
      <c r="C603" t="s">
        <v>15</v>
      </c>
      <c r="D603">
        <v>4</v>
      </c>
      <c r="E603">
        <v>70.8</v>
      </c>
    </row>
    <row r="604" spans="1:5" x14ac:dyDescent="0.2">
      <c r="A604" t="s">
        <v>138</v>
      </c>
      <c r="B604" t="s">
        <v>756</v>
      </c>
      <c r="C604" t="s">
        <v>16</v>
      </c>
      <c r="D604">
        <v>7</v>
      </c>
      <c r="E604">
        <v>55.5</v>
      </c>
    </row>
    <row r="605" spans="1:5" x14ac:dyDescent="0.2">
      <c r="A605" t="s">
        <v>138</v>
      </c>
      <c r="B605" t="s">
        <v>757</v>
      </c>
      <c r="C605" t="s">
        <v>17</v>
      </c>
      <c r="D605">
        <v>7</v>
      </c>
      <c r="E605">
        <v>55.5</v>
      </c>
    </row>
    <row r="606" spans="1:5" x14ac:dyDescent="0.2">
      <c r="A606" t="s">
        <v>138</v>
      </c>
      <c r="B606" t="s">
        <v>758</v>
      </c>
      <c r="C606" t="s">
        <v>18</v>
      </c>
      <c r="D606">
        <v>3</v>
      </c>
      <c r="E606">
        <v>81.7</v>
      </c>
    </row>
    <row r="607" spans="1:5" x14ac:dyDescent="0.2">
      <c r="A607" t="s">
        <v>138</v>
      </c>
      <c r="B607" t="s">
        <v>759</v>
      </c>
      <c r="C607" t="s">
        <v>19</v>
      </c>
      <c r="D607">
        <v>3</v>
      </c>
      <c r="E607">
        <v>81.7</v>
      </c>
    </row>
    <row r="608" spans="1:5" x14ac:dyDescent="0.2">
      <c r="A608" t="s">
        <v>138</v>
      </c>
      <c r="B608" t="s">
        <v>760</v>
      </c>
      <c r="C608" t="s">
        <v>20</v>
      </c>
      <c r="D608">
        <v>3</v>
      </c>
      <c r="E608">
        <v>81.7</v>
      </c>
    </row>
    <row r="609" spans="1:5" x14ac:dyDescent="0.2">
      <c r="A609" t="s">
        <v>138</v>
      </c>
      <c r="B609" t="s">
        <v>761</v>
      </c>
      <c r="C609" t="s">
        <v>21</v>
      </c>
      <c r="D609">
        <v>4</v>
      </c>
      <c r="E609">
        <v>75.599999999999994</v>
      </c>
    </row>
    <row r="610" spans="1:5" x14ac:dyDescent="0.2">
      <c r="A610" t="s">
        <v>138</v>
      </c>
      <c r="B610" t="s">
        <v>762</v>
      </c>
      <c r="C610" t="s">
        <v>22</v>
      </c>
      <c r="D610">
        <v>1</v>
      </c>
      <c r="E610">
        <v>200</v>
      </c>
    </row>
    <row r="611" spans="1:5" x14ac:dyDescent="0.2">
      <c r="A611" t="s">
        <v>138</v>
      </c>
      <c r="B611" t="s">
        <v>763</v>
      </c>
      <c r="C611" t="s">
        <v>23</v>
      </c>
      <c r="D611">
        <v>2</v>
      </c>
      <c r="E611">
        <v>115.5</v>
      </c>
    </row>
    <row r="612" spans="1:5" x14ac:dyDescent="0.2">
      <c r="A612" t="s">
        <v>138</v>
      </c>
      <c r="B612" t="s">
        <v>764</v>
      </c>
      <c r="C612" t="s">
        <v>24</v>
      </c>
      <c r="D612">
        <v>6</v>
      </c>
      <c r="E612">
        <v>57.8</v>
      </c>
    </row>
    <row r="613" spans="1:5" x14ac:dyDescent="0.2">
      <c r="A613" t="s">
        <v>138</v>
      </c>
      <c r="B613" t="s">
        <v>765</v>
      </c>
      <c r="C613" t="s">
        <v>25</v>
      </c>
      <c r="D613">
        <v>6</v>
      </c>
      <c r="E613">
        <v>60.4</v>
      </c>
    </row>
    <row r="614" spans="1:5" x14ac:dyDescent="0.2">
      <c r="A614" t="s">
        <v>138</v>
      </c>
      <c r="B614" t="s">
        <v>766</v>
      </c>
      <c r="C614" t="s">
        <v>26</v>
      </c>
      <c r="D614">
        <v>4</v>
      </c>
      <c r="E614">
        <v>75.599999999999994</v>
      </c>
    </row>
    <row r="615" spans="1:5" x14ac:dyDescent="0.2">
      <c r="A615" t="s">
        <v>138</v>
      </c>
      <c r="B615" t="s">
        <v>767</v>
      </c>
      <c r="C615" t="s">
        <v>27</v>
      </c>
      <c r="D615">
        <v>6</v>
      </c>
      <c r="E615">
        <v>60.4</v>
      </c>
    </row>
    <row r="616" spans="1:5" x14ac:dyDescent="0.2">
      <c r="A616" t="s">
        <v>138</v>
      </c>
      <c r="B616" t="s">
        <v>768</v>
      </c>
      <c r="C616" t="s">
        <v>28</v>
      </c>
      <c r="D616">
        <v>8</v>
      </c>
      <c r="E616">
        <v>51.7</v>
      </c>
    </row>
    <row r="617" spans="1:5" x14ac:dyDescent="0.2">
      <c r="A617" t="s">
        <v>138</v>
      </c>
      <c r="B617" t="s">
        <v>769</v>
      </c>
      <c r="C617" t="s">
        <v>29</v>
      </c>
      <c r="D617">
        <v>4</v>
      </c>
      <c r="E617">
        <v>70.8</v>
      </c>
    </row>
    <row r="618" spans="1:5" x14ac:dyDescent="0.2">
      <c r="A618" t="s">
        <v>138</v>
      </c>
      <c r="B618" t="s">
        <v>770</v>
      </c>
      <c r="C618" t="s">
        <v>30</v>
      </c>
      <c r="D618">
        <v>983</v>
      </c>
      <c r="E618">
        <v>5.3</v>
      </c>
    </row>
    <row r="619" spans="1:5" x14ac:dyDescent="0.2">
      <c r="A619" t="s">
        <v>138</v>
      </c>
      <c r="B619" t="s">
        <v>771</v>
      </c>
      <c r="C619" t="s">
        <v>31</v>
      </c>
      <c r="D619">
        <v>1075</v>
      </c>
      <c r="E619">
        <v>5.0999999999999996</v>
      </c>
    </row>
    <row r="620" spans="1:5" x14ac:dyDescent="0.2">
      <c r="A620" t="s">
        <v>138</v>
      </c>
      <c r="B620" t="s">
        <v>772</v>
      </c>
      <c r="C620" t="s">
        <v>32</v>
      </c>
      <c r="D620">
        <v>1039</v>
      </c>
      <c r="E620">
        <v>5.0999999999999996</v>
      </c>
    </row>
    <row r="621" spans="1:5" x14ac:dyDescent="0.2">
      <c r="A621" t="s">
        <v>138</v>
      </c>
      <c r="B621" t="s">
        <v>773</v>
      </c>
      <c r="C621" t="s">
        <v>33</v>
      </c>
      <c r="D621">
        <v>3</v>
      </c>
      <c r="E621">
        <v>81.7</v>
      </c>
    </row>
    <row r="622" spans="1:5" x14ac:dyDescent="0.2">
      <c r="A622" t="s">
        <v>138</v>
      </c>
      <c r="B622" t="s">
        <v>774</v>
      </c>
      <c r="C622" t="s">
        <v>34</v>
      </c>
      <c r="D622">
        <v>3</v>
      </c>
      <c r="E622">
        <v>89.5</v>
      </c>
    </row>
    <row r="623" spans="1:5" x14ac:dyDescent="0.2">
      <c r="A623" t="s">
        <v>138</v>
      </c>
      <c r="B623" t="s">
        <v>775</v>
      </c>
      <c r="C623" t="s">
        <v>35</v>
      </c>
      <c r="D623">
        <v>4</v>
      </c>
      <c r="E623">
        <v>75.599999999999994</v>
      </c>
    </row>
    <row r="624" spans="1:5" x14ac:dyDescent="0.2">
      <c r="A624" t="s">
        <v>138</v>
      </c>
      <c r="B624" t="s">
        <v>776</v>
      </c>
      <c r="C624" t="s">
        <v>36</v>
      </c>
      <c r="D624">
        <v>7</v>
      </c>
      <c r="E624">
        <v>55.5</v>
      </c>
    </row>
    <row r="625" spans="1:5" x14ac:dyDescent="0.2">
      <c r="A625" t="s">
        <v>138</v>
      </c>
      <c r="B625" t="s">
        <v>777</v>
      </c>
      <c r="C625" t="s">
        <v>37</v>
      </c>
      <c r="D625">
        <v>4</v>
      </c>
      <c r="E625">
        <v>70.8</v>
      </c>
    </row>
    <row r="626" spans="1:5" x14ac:dyDescent="0.2">
      <c r="A626" t="s">
        <v>138</v>
      </c>
      <c r="B626" t="s">
        <v>778</v>
      </c>
      <c r="C626" t="s">
        <v>38</v>
      </c>
      <c r="D626">
        <v>3</v>
      </c>
      <c r="E626">
        <v>89.5</v>
      </c>
    </row>
    <row r="627" spans="1:5" x14ac:dyDescent="0.2">
      <c r="A627" t="s">
        <v>138</v>
      </c>
      <c r="B627" t="s">
        <v>779</v>
      </c>
      <c r="C627" t="s">
        <v>39</v>
      </c>
      <c r="D627">
        <v>7</v>
      </c>
      <c r="E627">
        <v>55.5</v>
      </c>
    </row>
    <row r="628" spans="1:5" x14ac:dyDescent="0.2">
      <c r="A628" t="s">
        <v>138</v>
      </c>
      <c r="B628" t="s">
        <v>780</v>
      </c>
      <c r="C628" t="s">
        <v>40</v>
      </c>
      <c r="D628">
        <v>7</v>
      </c>
      <c r="E628">
        <v>53.5</v>
      </c>
    </row>
    <row r="629" spans="1:5" x14ac:dyDescent="0.2">
      <c r="A629" t="s">
        <v>138</v>
      </c>
      <c r="B629" t="s">
        <v>781</v>
      </c>
      <c r="C629" t="s">
        <v>41</v>
      </c>
      <c r="D629">
        <v>6</v>
      </c>
      <c r="E629">
        <v>57.8</v>
      </c>
    </row>
    <row r="630" spans="1:5" x14ac:dyDescent="0.2">
      <c r="A630" t="s">
        <v>138</v>
      </c>
      <c r="B630" t="s">
        <v>782</v>
      </c>
      <c r="C630" t="s">
        <v>42</v>
      </c>
      <c r="D630">
        <v>1676</v>
      </c>
      <c r="E630">
        <v>4.4000000000000004</v>
      </c>
    </row>
    <row r="631" spans="1:5" x14ac:dyDescent="0.2">
      <c r="A631" t="s">
        <v>138</v>
      </c>
      <c r="B631" t="s">
        <v>783</v>
      </c>
      <c r="C631" t="s">
        <v>43</v>
      </c>
      <c r="D631">
        <v>1651</v>
      </c>
      <c r="E631">
        <v>4.4000000000000004</v>
      </c>
    </row>
    <row r="632" spans="1:5" x14ac:dyDescent="0.2">
      <c r="A632" t="s">
        <v>138</v>
      </c>
      <c r="B632" t="s">
        <v>784</v>
      </c>
      <c r="C632" t="s">
        <v>44</v>
      </c>
      <c r="D632">
        <v>1686</v>
      </c>
      <c r="E632">
        <v>4.4000000000000004</v>
      </c>
    </row>
    <row r="633" spans="1:5" x14ac:dyDescent="0.2">
      <c r="A633" t="s">
        <v>138</v>
      </c>
      <c r="B633" t="s">
        <v>785</v>
      </c>
      <c r="C633" t="s">
        <v>45</v>
      </c>
      <c r="D633">
        <v>3</v>
      </c>
      <c r="E633">
        <v>89.5</v>
      </c>
    </row>
    <row r="634" spans="1:5" x14ac:dyDescent="0.2">
      <c r="A634" t="s">
        <v>138</v>
      </c>
      <c r="B634" t="s">
        <v>786</v>
      </c>
      <c r="C634" t="s">
        <v>46</v>
      </c>
      <c r="D634">
        <v>2</v>
      </c>
      <c r="E634">
        <v>115.5</v>
      </c>
    </row>
    <row r="635" spans="1:5" x14ac:dyDescent="0.2">
      <c r="A635" t="s">
        <v>138</v>
      </c>
      <c r="B635" t="s">
        <v>787</v>
      </c>
      <c r="C635" t="s">
        <v>47</v>
      </c>
      <c r="D635">
        <v>2</v>
      </c>
      <c r="E635">
        <v>100</v>
      </c>
    </row>
    <row r="636" spans="1:5" x14ac:dyDescent="0.2">
      <c r="A636" t="s">
        <v>138</v>
      </c>
      <c r="B636" t="s">
        <v>788</v>
      </c>
      <c r="C636" t="s">
        <v>48</v>
      </c>
      <c r="D636">
        <v>7</v>
      </c>
      <c r="E636">
        <v>53.5</v>
      </c>
    </row>
    <row r="637" spans="1:5" x14ac:dyDescent="0.2">
      <c r="A637" t="s">
        <v>138</v>
      </c>
      <c r="B637" t="s">
        <v>789</v>
      </c>
      <c r="C637" t="s">
        <v>49</v>
      </c>
      <c r="D637">
        <v>6</v>
      </c>
      <c r="E637">
        <v>60.4</v>
      </c>
    </row>
    <row r="638" spans="1:5" x14ac:dyDescent="0.2">
      <c r="A638" t="s">
        <v>138</v>
      </c>
      <c r="B638" t="s">
        <v>790</v>
      </c>
      <c r="C638" t="s">
        <v>50</v>
      </c>
      <c r="D638">
        <v>5</v>
      </c>
      <c r="E638">
        <v>63.3</v>
      </c>
    </row>
    <row r="639" spans="1:5" x14ac:dyDescent="0.2">
      <c r="A639" t="s">
        <v>138</v>
      </c>
      <c r="B639" t="s">
        <v>791</v>
      </c>
      <c r="C639" t="s">
        <v>51</v>
      </c>
      <c r="D639">
        <v>7</v>
      </c>
      <c r="E639">
        <v>55.5</v>
      </c>
    </row>
    <row r="640" spans="1:5" x14ac:dyDescent="0.2">
      <c r="A640" t="s">
        <v>138</v>
      </c>
      <c r="B640" t="s">
        <v>792</v>
      </c>
      <c r="C640" t="s">
        <v>52</v>
      </c>
      <c r="D640">
        <v>8</v>
      </c>
      <c r="E640">
        <v>51.7</v>
      </c>
    </row>
    <row r="641" spans="1:5" x14ac:dyDescent="0.2">
      <c r="A641" t="s">
        <v>138</v>
      </c>
      <c r="B641" t="s">
        <v>793</v>
      </c>
      <c r="C641" t="s">
        <v>53</v>
      </c>
      <c r="D641">
        <v>5</v>
      </c>
      <c r="E641">
        <v>66.7</v>
      </c>
    </row>
    <row r="642" spans="1:5" x14ac:dyDescent="0.2">
      <c r="A642" t="s">
        <v>138</v>
      </c>
      <c r="B642" t="s">
        <v>794</v>
      </c>
      <c r="C642" t="s">
        <v>54</v>
      </c>
      <c r="D642">
        <v>2389</v>
      </c>
      <c r="E642">
        <v>3.9</v>
      </c>
    </row>
    <row r="643" spans="1:5" x14ac:dyDescent="0.2">
      <c r="A643" t="s">
        <v>138</v>
      </c>
      <c r="B643" t="s">
        <v>795</v>
      </c>
      <c r="C643" t="s">
        <v>55</v>
      </c>
      <c r="D643">
        <v>2474</v>
      </c>
      <c r="E643">
        <v>3.8</v>
      </c>
    </row>
    <row r="644" spans="1:5" x14ac:dyDescent="0.2">
      <c r="A644" t="s">
        <v>138</v>
      </c>
      <c r="B644" t="s">
        <v>796</v>
      </c>
      <c r="C644" t="s">
        <v>56</v>
      </c>
      <c r="D644">
        <v>2397</v>
      </c>
      <c r="E644">
        <v>3.9</v>
      </c>
    </row>
    <row r="645" spans="1:5" x14ac:dyDescent="0.2">
      <c r="A645" t="s">
        <v>138</v>
      </c>
      <c r="B645" t="s">
        <v>797</v>
      </c>
      <c r="C645" t="s">
        <v>57</v>
      </c>
      <c r="D645">
        <v>2</v>
      </c>
      <c r="E645">
        <v>100</v>
      </c>
    </row>
    <row r="646" spans="1:5" x14ac:dyDescent="0.2">
      <c r="A646" t="s">
        <v>138</v>
      </c>
      <c r="B646" t="s">
        <v>798</v>
      </c>
      <c r="C646" t="s">
        <v>58</v>
      </c>
      <c r="D646">
        <v>3</v>
      </c>
      <c r="E646">
        <v>81.7</v>
      </c>
    </row>
    <row r="647" spans="1:5" x14ac:dyDescent="0.2">
      <c r="A647" t="s">
        <v>138</v>
      </c>
      <c r="B647" t="s">
        <v>799</v>
      </c>
      <c r="C647" t="s">
        <v>59</v>
      </c>
      <c r="D647">
        <v>5</v>
      </c>
      <c r="E647">
        <v>63.3</v>
      </c>
    </row>
    <row r="648" spans="1:5" x14ac:dyDescent="0.2">
      <c r="A648" t="s">
        <v>138</v>
      </c>
      <c r="B648" t="s">
        <v>800</v>
      </c>
      <c r="C648" t="s">
        <v>60</v>
      </c>
      <c r="D648">
        <v>8</v>
      </c>
      <c r="E648">
        <v>51.7</v>
      </c>
    </row>
    <row r="649" spans="1:5" x14ac:dyDescent="0.2">
      <c r="A649" t="s">
        <v>138</v>
      </c>
      <c r="B649" t="s">
        <v>801</v>
      </c>
      <c r="C649" t="s">
        <v>61</v>
      </c>
      <c r="D649">
        <v>7</v>
      </c>
      <c r="E649">
        <v>53.5</v>
      </c>
    </row>
    <row r="650" spans="1:5" x14ac:dyDescent="0.2">
      <c r="A650" t="s">
        <v>138</v>
      </c>
      <c r="B650" t="s">
        <v>802</v>
      </c>
      <c r="C650" t="s">
        <v>62</v>
      </c>
      <c r="D650">
        <v>4</v>
      </c>
      <c r="E650">
        <v>75.599999999999994</v>
      </c>
    </row>
    <row r="651" spans="1:5" x14ac:dyDescent="0.2">
      <c r="A651" t="s">
        <v>138</v>
      </c>
      <c r="B651" t="s">
        <v>803</v>
      </c>
      <c r="C651" t="s">
        <v>63</v>
      </c>
      <c r="D651">
        <v>6</v>
      </c>
      <c r="E651">
        <v>57.8</v>
      </c>
    </row>
    <row r="652" spans="1:5" x14ac:dyDescent="0.2">
      <c r="A652" t="s">
        <v>138</v>
      </c>
      <c r="B652" t="s">
        <v>804</v>
      </c>
      <c r="C652" t="s">
        <v>64</v>
      </c>
      <c r="D652">
        <v>5</v>
      </c>
      <c r="E652">
        <v>66.7</v>
      </c>
    </row>
    <row r="653" spans="1:5" x14ac:dyDescent="0.2">
      <c r="A653" t="s">
        <v>138</v>
      </c>
      <c r="B653" t="s">
        <v>805</v>
      </c>
      <c r="C653" t="s">
        <v>65</v>
      </c>
      <c r="D653">
        <v>5</v>
      </c>
      <c r="E653">
        <v>66.7</v>
      </c>
    </row>
    <row r="654" spans="1:5" x14ac:dyDescent="0.2">
      <c r="A654" t="s">
        <v>138</v>
      </c>
      <c r="B654" t="s">
        <v>806</v>
      </c>
      <c r="C654" t="s">
        <v>66</v>
      </c>
      <c r="D654">
        <v>3</v>
      </c>
      <c r="E654">
        <v>89.5</v>
      </c>
    </row>
    <row r="655" spans="1:5" x14ac:dyDescent="0.2">
      <c r="A655" t="s">
        <v>138</v>
      </c>
      <c r="B655" t="s">
        <v>807</v>
      </c>
      <c r="C655" t="s">
        <v>67</v>
      </c>
      <c r="D655">
        <v>2</v>
      </c>
      <c r="E655">
        <v>115.5</v>
      </c>
    </row>
    <row r="656" spans="1:5" x14ac:dyDescent="0.2">
      <c r="A656" t="s">
        <v>138</v>
      </c>
      <c r="B656" t="s">
        <v>808</v>
      </c>
      <c r="C656" t="s">
        <v>68</v>
      </c>
      <c r="D656">
        <v>6</v>
      </c>
      <c r="E656">
        <v>60.4</v>
      </c>
    </row>
    <row r="657" spans="1:5" x14ac:dyDescent="0.2">
      <c r="A657" t="s">
        <v>138</v>
      </c>
      <c r="B657" t="s">
        <v>809</v>
      </c>
      <c r="C657" t="s">
        <v>69</v>
      </c>
      <c r="D657">
        <v>3</v>
      </c>
      <c r="E657">
        <v>81.7</v>
      </c>
    </row>
    <row r="658" spans="1:5" x14ac:dyDescent="0.2">
      <c r="A658" t="s">
        <v>138</v>
      </c>
      <c r="B658" t="s">
        <v>810</v>
      </c>
      <c r="C658" t="s">
        <v>70</v>
      </c>
      <c r="D658">
        <v>2</v>
      </c>
      <c r="E658">
        <v>115.5</v>
      </c>
    </row>
    <row r="659" spans="1:5" x14ac:dyDescent="0.2">
      <c r="A659" t="s">
        <v>138</v>
      </c>
      <c r="B659" t="s">
        <v>811</v>
      </c>
      <c r="C659" t="s">
        <v>71</v>
      </c>
      <c r="D659">
        <v>6</v>
      </c>
      <c r="E659">
        <v>57.8</v>
      </c>
    </row>
    <row r="660" spans="1:5" x14ac:dyDescent="0.2">
      <c r="A660" t="s">
        <v>138</v>
      </c>
      <c r="B660" t="s">
        <v>812</v>
      </c>
      <c r="C660" t="s">
        <v>72</v>
      </c>
      <c r="D660">
        <v>8</v>
      </c>
      <c r="E660">
        <v>50.1</v>
      </c>
    </row>
    <row r="661" spans="1:5" x14ac:dyDescent="0.2">
      <c r="A661" t="s">
        <v>138</v>
      </c>
      <c r="B661" t="s">
        <v>813</v>
      </c>
      <c r="C661" t="s">
        <v>73</v>
      </c>
      <c r="D661">
        <v>8</v>
      </c>
      <c r="E661">
        <v>50.1</v>
      </c>
    </row>
    <row r="662" spans="1:5" x14ac:dyDescent="0.2">
      <c r="A662" t="s">
        <v>138</v>
      </c>
      <c r="B662" t="s">
        <v>814</v>
      </c>
      <c r="C662" t="s">
        <v>74</v>
      </c>
      <c r="D662">
        <v>5</v>
      </c>
      <c r="E662">
        <v>63.3</v>
      </c>
    </row>
    <row r="663" spans="1:5" x14ac:dyDescent="0.2">
      <c r="A663" t="s">
        <v>138</v>
      </c>
      <c r="B663" t="s">
        <v>815</v>
      </c>
      <c r="C663" t="s">
        <v>75</v>
      </c>
      <c r="D663">
        <v>7</v>
      </c>
      <c r="E663">
        <v>53.5</v>
      </c>
    </row>
    <row r="664" spans="1:5" x14ac:dyDescent="0.2">
      <c r="A664" t="s">
        <v>138</v>
      </c>
      <c r="B664" t="s">
        <v>816</v>
      </c>
      <c r="C664" t="s">
        <v>76</v>
      </c>
      <c r="D664">
        <v>6</v>
      </c>
      <c r="E664">
        <v>60.4</v>
      </c>
    </row>
    <row r="665" spans="1:5" x14ac:dyDescent="0.2">
      <c r="A665" t="s">
        <v>138</v>
      </c>
      <c r="B665" t="s">
        <v>817</v>
      </c>
      <c r="C665" t="s">
        <v>77</v>
      </c>
      <c r="D665">
        <v>5</v>
      </c>
      <c r="E665">
        <v>66.7</v>
      </c>
    </row>
    <row r="666" spans="1:5" x14ac:dyDescent="0.2">
      <c r="A666" t="s">
        <v>138</v>
      </c>
      <c r="B666" t="s">
        <v>818</v>
      </c>
      <c r="C666" t="s">
        <v>78</v>
      </c>
      <c r="D666">
        <v>4</v>
      </c>
      <c r="E666">
        <v>70.8</v>
      </c>
    </row>
    <row r="667" spans="1:5" x14ac:dyDescent="0.2">
      <c r="A667" t="s">
        <v>138</v>
      </c>
      <c r="B667" t="s">
        <v>819</v>
      </c>
      <c r="C667" t="s">
        <v>79</v>
      </c>
      <c r="D667">
        <v>8</v>
      </c>
      <c r="E667">
        <v>51.7</v>
      </c>
    </row>
    <row r="668" spans="1:5" x14ac:dyDescent="0.2">
      <c r="A668" t="s">
        <v>138</v>
      </c>
      <c r="B668" t="s">
        <v>820</v>
      </c>
      <c r="C668" t="s">
        <v>80</v>
      </c>
      <c r="D668">
        <v>5</v>
      </c>
      <c r="E668">
        <v>66.7</v>
      </c>
    </row>
    <row r="669" spans="1:5" x14ac:dyDescent="0.2">
      <c r="A669" t="s">
        <v>138</v>
      </c>
      <c r="B669" t="s">
        <v>821</v>
      </c>
      <c r="C669" t="s">
        <v>81</v>
      </c>
      <c r="D669">
        <v>4</v>
      </c>
      <c r="E669">
        <v>70.8</v>
      </c>
    </row>
    <row r="670" spans="1:5" x14ac:dyDescent="0.2">
      <c r="A670" t="s">
        <v>138</v>
      </c>
      <c r="B670" t="s">
        <v>822</v>
      </c>
      <c r="C670" t="s">
        <v>82</v>
      </c>
      <c r="D670">
        <v>8</v>
      </c>
      <c r="E670">
        <v>50.1</v>
      </c>
    </row>
    <row r="671" spans="1:5" x14ac:dyDescent="0.2">
      <c r="A671" t="s">
        <v>138</v>
      </c>
      <c r="B671" t="s">
        <v>823</v>
      </c>
      <c r="C671" t="s">
        <v>83</v>
      </c>
      <c r="D671">
        <v>7</v>
      </c>
      <c r="E671">
        <v>55.5</v>
      </c>
    </row>
    <row r="672" spans="1:5" x14ac:dyDescent="0.2">
      <c r="A672" t="s">
        <v>138</v>
      </c>
      <c r="B672" t="s">
        <v>824</v>
      </c>
      <c r="C672" t="s">
        <v>84</v>
      </c>
      <c r="D672">
        <v>6</v>
      </c>
      <c r="E672">
        <v>60.4</v>
      </c>
    </row>
    <row r="673" spans="1:5" x14ac:dyDescent="0.2">
      <c r="A673" t="s">
        <v>138</v>
      </c>
      <c r="B673" t="s">
        <v>825</v>
      </c>
      <c r="C673" t="s">
        <v>85</v>
      </c>
      <c r="D673">
        <v>3</v>
      </c>
      <c r="E673">
        <v>89.5</v>
      </c>
    </row>
    <row r="674" spans="1:5" x14ac:dyDescent="0.2">
      <c r="A674" t="s">
        <v>138</v>
      </c>
      <c r="B674" t="s">
        <v>826</v>
      </c>
      <c r="C674" t="s">
        <v>86</v>
      </c>
      <c r="D674">
        <v>5</v>
      </c>
      <c r="E674">
        <v>63.3</v>
      </c>
    </row>
    <row r="675" spans="1:5" x14ac:dyDescent="0.2">
      <c r="A675" t="s">
        <v>138</v>
      </c>
      <c r="B675" t="s">
        <v>827</v>
      </c>
      <c r="C675" t="s">
        <v>87</v>
      </c>
      <c r="D675">
        <v>6</v>
      </c>
      <c r="E675">
        <v>60.4</v>
      </c>
    </row>
    <row r="676" spans="1:5" x14ac:dyDescent="0.2">
      <c r="A676" t="s">
        <v>138</v>
      </c>
      <c r="B676" t="s">
        <v>828</v>
      </c>
      <c r="C676" t="s">
        <v>88</v>
      </c>
      <c r="D676">
        <v>4</v>
      </c>
      <c r="E676">
        <v>75.599999999999994</v>
      </c>
    </row>
    <row r="677" spans="1:5" x14ac:dyDescent="0.2">
      <c r="A677" t="s">
        <v>138</v>
      </c>
      <c r="B677" t="s">
        <v>829</v>
      </c>
      <c r="C677" t="s">
        <v>89</v>
      </c>
      <c r="D677">
        <v>3</v>
      </c>
      <c r="E677">
        <v>89.5</v>
      </c>
    </row>
    <row r="678" spans="1:5" x14ac:dyDescent="0.2">
      <c r="A678" t="s">
        <v>138</v>
      </c>
      <c r="B678" t="s">
        <v>830</v>
      </c>
      <c r="C678" t="s">
        <v>90</v>
      </c>
      <c r="D678">
        <v>9</v>
      </c>
      <c r="E678">
        <v>47.2</v>
      </c>
    </row>
    <row r="679" spans="1:5" x14ac:dyDescent="0.2">
      <c r="A679" t="s">
        <v>138</v>
      </c>
      <c r="B679" t="s">
        <v>831</v>
      </c>
      <c r="C679" t="s">
        <v>91</v>
      </c>
      <c r="D679">
        <v>5</v>
      </c>
      <c r="E679">
        <v>66.7</v>
      </c>
    </row>
    <row r="680" spans="1:5" x14ac:dyDescent="0.2">
      <c r="A680" t="s">
        <v>138</v>
      </c>
      <c r="B680" t="s">
        <v>832</v>
      </c>
      <c r="C680" t="s">
        <v>92</v>
      </c>
      <c r="D680">
        <v>6</v>
      </c>
      <c r="E680">
        <v>57.8</v>
      </c>
    </row>
    <row r="681" spans="1:5" x14ac:dyDescent="0.2">
      <c r="A681" t="s">
        <v>138</v>
      </c>
      <c r="B681" t="s">
        <v>833</v>
      </c>
      <c r="C681" t="s">
        <v>93</v>
      </c>
      <c r="D681">
        <v>4</v>
      </c>
      <c r="E681">
        <v>70.8</v>
      </c>
    </row>
    <row r="682" spans="1:5" x14ac:dyDescent="0.2">
      <c r="A682" t="s">
        <v>138</v>
      </c>
      <c r="B682" t="s">
        <v>834</v>
      </c>
      <c r="C682" t="s">
        <v>94</v>
      </c>
      <c r="D682">
        <v>9</v>
      </c>
      <c r="E682">
        <v>47.2</v>
      </c>
    </row>
    <row r="683" spans="1:5" x14ac:dyDescent="0.2">
      <c r="A683" t="s">
        <v>138</v>
      </c>
      <c r="B683" t="s">
        <v>835</v>
      </c>
      <c r="C683" t="s">
        <v>95</v>
      </c>
      <c r="D683">
        <v>9</v>
      </c>
      <c r="E683">
        <v>47.2</v>
      </c>
    </row>
    <row r="685" spans="1:5" x14ac:dyDescent="0.2">
      <c r="A685" t="s">
        <v>431</v>
      </c>
    </row>
    <row r="686" spans="1:5" x14ac:dyDescent="0.2">
      <c r="A686" t="s">
        <v>432</v>
      </c>
    </row>
    <row r="687" spans="1:5" x14ac:dyDescent="0.2">
      <c r="A687" t="s">
        <v>433</v>
      </c>
    </row>
    <row r="688" spans="1:5" x14ac:dyDescent="0.2">
      <c r="A688" t="s">
        <v>434</v>
      </c>
    </row>
    <row r="689" spans="1:13" x14ac:dyDescent="0.2">
      <c r="A689" t="s">
        <v>855</v>
      </c>
    </row>
    <row r="692" spans="1:13" x14ac:dyDescent="0.2">
      <c r="A692" t="s">
        <v>141</v>
      </c>
    </row>
    <row r="694" spans="1:13" x14ac:dyDescent="0.2">
      <c r="A694" t="s">
        <v>138</v>
      </c>
      <c r="B694">
        <v>1</v>
      </c>
      <c r="C694">
        <v>2</v>
      </c>
      <c r="D694">
        <v>3</v>
      </c>
      <c r="E694">
        <v>4</v>
      </c>
      <c r="F694">
        <v>5</v>
      </c>
      <c r="G694">
        <v>6</v>
      </c>
      <c r="H694">
        <v>7</v>
      </c>
      <c r="I694">
        <v>8</v>
      </c>
      <c r="J694">
        <v>9</v>
      </c>
      <c r="K694">
        <v>10</v>
      </c>
      <c r="L694">
        <v>11</v>
      </c>
      <c r="M694">
        <v>12</v>
      </c>
    </row>
    <row r="695" spans="1:13" x14ac:dyDescent="0.2">
      <c r="A695" t="s">
        <v>435</v>
      </c>
      <c r="B695">
        <v>1305</v>
      </c>
      <c r="C695">
        <v>32</v>
      </c>
      <c r="D695">
        <v>72</v>
      </c>
      <c r="E695">
        <v>135</v>
      </c>
      <c r="F695">
        <v>281</v>
      </c>
      <c r="G695">
        <v>577</v>
      </c>
      <c r="H695">
        <v>858</v>
      </c>
      <c r="I695">
        <v>1178</v>
      </c>
      <c r="J695">
        <v>1303</v>
      </c>
      <c r="K695">
        <v>1407</v>
      </c>
      <c r="L695">
        <v>1314</v>
      </c>
      <c r="M695">
        <v>1310</v>
      </c>
    </row>
    <row r="696" spans="1:13" x14ac:dyDescent="0.2">
      <c r="A696" t="s">
        <v>436</v>
      </c>
      <c r="B696">
        <v>1329</v>
      </c>
      <c r="C696">
        <v>33</v>
      </c>
      <c r="D696">
        <v>68</v>
      </c>
      <c r="E696">
        <v>131</v>
      </c>
      <c r="F696">
        <v>266</v>
      </c>
      <c r="G696">
        <v>540</v>
      </c>
      <c r="H696">
        <v>907</v>
      </c>
      <c r="I696">
        <v>1219</v>
      </c>
      <c r="J696">
        <v>1267</v>
      </c>
      <c r="K696">
        <v>1332</v>
      </c>
      <c r="L696">
        <v>1375</v>
      </c>
      <c r="M696">
        <v>1227</v>
      </c>
    </row>
    <row r="697" spans="1:13" x14ac:dyDescent="0.2">
      <c r="A697" t="s">
        <v>437</v>
      </c>
      <c r="B697">
        <v>1403</v>
      </c>
      <c r="C697">
        <v>38</v>
      </c>
      <c r="D697">
        <v>191</v>
      </c>
      <c r="E697">
        <v>466</v>
      </c>
      <c r="F697">
        <v>820</v>
      </c>
      <c r="G697">
        <v>1187</v>
      </c>
      <c r="H697">
        <v>1367</v>
      </c>
      <c r="I697">
        <v>1370</v>
      </c>
      <c r="J697">
        <v>1386</v>
      </c>
      <c r="K697">
        <v>1319</v>
      </c>
      <c r="L697">
        <v>1388</v>
      </c>
      <c r="M697">
        <v>1222</v>
      </c>
    </row>
    <row r="698" spans="1:13" x14ac:dyDescent="0.2">
      <c r="A698" t="s">
        <v>438</v>
      </c>
      <c r="B698">
        <v>1419</v>
      </c>
      <c r="C698">
        <v>31</v>
      </c>
      <c r="D698">
        <v>214</v>
      </c>
      <c r="E698">
        <v>439</v>
      </c>
      <c r="F698">
        <v>778</v>
      </c>
      <c r="G698">
        <v>1153</v>
      </c>
      <c r="H698">
        <v>1395</v>
      </c>
      <c r="I698">
        <v>1441</v>
      </c>
      <c r="J698">
        <v>1427</v>
      </c>
      <c r="K698">
        <v>1438</v>
      </c>
      <c r="L698">
        <v>1375</v>
      </c>
      <c r="M698">
        <v>1311</v>
      </c>
    </row>
    <row r="699" spans="1:13" x14ac:dyDescent="0.2">
      <c r="A699" t="s">
        <v>439</v>
      </c>
      <c r="B699">
        <v>1338</v>
      </c>
      <c r="C699">
        <v>33</v>
      </c>
      <c r="D699">
        <v>83</v>
      </c>
      <c r="E699">
        <v>158</v>
      </c>
      <c r="F699">
        <v>367</v>
      </c>
      <c r="G699">
        <v>687</v>
      </c>
      <c r="H699">
        <v>1069</v>
      </c>
      <c r="I699">
        <v>1263</v>
      </c>
      <c r="J699">
        <v>1379</v>
      </c>
      <c r="K699">
        <v>1368</v>
      </c>
      <c r="L699">
        <v>1401</v>
      </c>
      <c r="M699">
        <v>1311</v>
      </c>
    </row>
    <row r="700" spans="1:13" x14ac:dyDescent="0.2">
      <c r="A700" t="s">
        <v>440</v>
      </c>
      <c r="B700">
        <v>1384</v>
      </c>
      <c r="C700">
        <v>32</v>
      </c>
      <c r="D700">
        <v>95</v>
      </c>
      <c r="E700">
        <v>153</v>
      </c>
      <c r="F700">
        <v>350</v>
      </c>
      <c r="G700">
        <v>702</v>
      </c>
      <c r="H700">
        <v>1012</v>
      </c>
      <c r="I700">
        <v>1273</v>
      </c>
      <c r="J700">
        <v>1366</v>
      </c>
      <c r="K700">
        <v>1385</v>
      </c>
      <c r="L700">
        <v>1328</v>
      </c>
      <c r="M700">
        <v>1257</v>
      </c>
    </row>
    <row r="701" spans="1:13" x14ac:dyDescent="0.2">
      <c r="A701" t="s">
        <v>441</v>
      </c>
      <c r="B701">
        <v>1397</v>
      </c>
      <c r="C701">
        <v>33</v>
      </c>
      <c r="D701">
        <v>143</v>
      </c>
      <c r="E701">
        <v>251</v>
      </c>
      <c r="F701">
        <v>481</v>
      </c>
      <c r="G701">
        <v>892</v>
      </c>
      <c r="H701">
        <v>1144</v>
      </c>
      <c r="I701">
        <v>1422</v>
      </c>
      <c r="J701">
        <v>1391</v>
      </c>
      <c r="K701">
        <v>1388</v>
      </c>
      <c r="L701">
        <v>1441</v>
      </c>
      <c r="M701">
        <v>1289</v>
      </c>
    </row>
    <row r="702" spans="1:13" x14ac:dyDescent="0.2">
      <c r="A702" t="s">
        <v>442</v>
      </c>
      <c r="B702">
        <v>1268</v>
      </c>
      <c r="C702">
        <v>32</v>
      </c>
      <c r="D702">
        <v>126</v>
      </c>
      <c r="E702">
        <v>238</v>
      </c>
      <c r="F702">
        <v>455</v>
      </c>
      <c r="G702">
        <v>843</v>
      </c>
      <c r="H702">
        <v>1160</v>
      </c>
      <c r="I702">
        <v>1377</v>
      </c>
      <c r="J702">
        <v>1380</v>
      </c>
      <c r="K702">
        <v>1388</v>
      </c>
      <c r="L702">
        <v>1419</v>
      </c>
      <c r="M702">
        <v>1283</v>
      </c>
    </row>
    <row r="704" spans="1:13" x14ac:dyDescent="0.2">
      <c r="A704" t="s">
        <v>443</v>
      </c>
    </row>
    <row r="705" spans="1:13" x14ac:dyDescent="0.2">
      <c r="A705" t="s">
        <v>444</v>
      </c>
    </row>
    <row r="706" spans="1:13" x14ac:dyDescent="0.2">
      <c r="A706" t="s">
        <v>434</v>
      </c>
    </row>
    <row r="707" spans="1:13" x14ac:dyDescent="0.2">
      <c r="A707" t="s">
        <v>451</v>
      </c>
    </row>
    <row r="710" spans="1:13" x14ac:dyDescent="0.2">
      <c r="A710" t="s">
        <v>141</v>
      </c>
    </row>
    <row r="712" spans="1:13" x14ac:dyDescent="0.2">
      <c r="A712" t="s">
        <v>138</v>
      </c>
      <c r="B712">
        <v>1</v>
      </c>
      <c r="C712">
        <v>2</v>
      </c>
      <c r="D712">
        <v>3</v>
      </c>
      <c r="E712">
        <v>4</v>
      </c>
      <c r="F712">
        <v>5</v>
      </c>
      <c r="G712">
        <v>6</v>
      </c>
      <c r="H712">
        <v>7</v>
      </c>
      <c r="I712">
        <v>8</v>
      </c>
      <c r="J712">
        <v>9</v>
      </c>
      <c r="K712">
        <v>10</v>
      </c>
      <c r="L712">
        <v>11</v>
      </c>
      <c r="M712">
        <v>12</v>
      </c>
    </row>
    <row r="713" spans="1:13" x14ac:dyDescent="0.2">
      <c r="A713" t="s">
        <v>435</v>
      </c>
      <c r="B713">
        <v>1435</v>
      </c>
      <c r="C713">
        <v>30</v>
      </c>
      <c r="D713">
        <v>86</v>
      </c>
      <c r="E713">
        <v>218</v>
      </c>
      <c r="F713">
        <v>421</v>
      </c>
      <c r="G713">
        <v>996</v>
      </c>
      <c r="H713">
        <v>1222</v>
      </c>
      <c r="I713">
        <v>1260</v>
      </c>
      <c r="J713">
        <v>1368</v>
      </c>
      <c r="K713">
        <v>1345</v>
      </c>
      <c r="L713">
        <v>1387</v>
      </c>
      <c r="M713">
        <v>1279</v>
      </c>
    </row>
    <row r="714" spans="1:13" x14ac:dyDescent="0.2">
      <c r="A714" t="s">
        <v>436</v>
      </c>
      <c r="B714">
        <v>1345</v>
      </c>
      <c r="C714">
        <v>37</v>
      </c>
      <c r="D714">
        <v>88</v>
      </c>
      <c r="E714">
        <v>217</v>
      </c>
      <c r="F714">
        <v>485</v>
      </c>
      <c r="G714">
        <v>992</v>
      </c>
      <c r="H714">
        <v>1264</v>
      </c>
      <c r="I714">
        <v>1421</v>
      </c>
      <c r="J714">
        <v>1340</v>
      </c>
      <c r="K714">
        <v>1360</v>
      </c>
      <c r="L714">
        <v>1330</v>
      </c>
      <c r="M714">
        <v>1347</v>
      </c>
    </row>
    <row r="715" spans="1:13" x14ac:dyDescent="0.2">
      <c r="A715" t="s">
        <v>437</v>
      </c>
      <c r="B715">
        <v>1351</v>
      </c>
      <c r="C715">
        <v>35</v>
      </c>
      <c r="D715">
        <v>70</v>
      </c>
      <c r="E715">
        <v>134</v>
      </c>
      <c r="F715">
        <v>321</v>
      </c>
      <c r="G715">
        <v>716</v>
      </c>
      <c r="H715">
        <v>1011</v>
      </c>
      <c r="I715">
        <v>1277</v>
      </c>
      <c r="J715">
        <v>1395</v>
      </c>
      <c r="K715">
        <v>1324</v>
      </c>
      <c r="L715">
        <v>1444</v>
      </c>
      <c r="M715">
        <v>1396</v>
      </c>
    </row>
    <row r="716" spans="1:13" x14ac:dyDescent="0.2">
      <c r="A716" t="s">
        <v>438</v>
      </c>
      <c r="B716">
        <v>1302</v>
      </c>
      <c r="C716">
        <v>27</v>
      </c>
      <c r="D716">
        <v>57</v>
      </c>
      <c r="E716">
        <v>144</v>
      </c>
      <c r="F716">
        <v>320</v>
      </c>
      <c r="G716">
        <v>680</v>
      </c>
      <c r="H716">
        <v>1075</v>
      </c>
      <c r="I716">
        <v>1329</v>
      </c>
      <c r="J716">
        <v>1335</v>
      </c>
      <c r="K716">
        <v>1347</v>
      </c>
      <c r="L716">
        <v>1395</v>
      </c>
      <c r="M716">
        <v>1329</v>
      </c>
    </row>
    <row r="717" spans="1:13" x14ac:dyDescent="0.2">
      <c r="A717" t="s">
        <v>439</v>
      </c>
      <c r="B717">
        <v>1338</v>
      </c>
      <c r="C717">
        <v>36</v>
      </c>
      <c r="D717">
        <v>346</v>
      </c>
      <c r="E717">
        <v>737</v>
      </c>
      <c r="F717">
        <v>1019</v>
      </c>
      <c r="G717">
        <v>1270</v>
      </c>
      <c r="H717">
        <v>1408</v>
      </c>
      <c r="I717">
        <v>1452</v>
      </c>
      <c r="J717">
        <v>1421</v>
      </c>
      <c r="K717">
        <v>1369</v>
      </c>
      <c r="L717">
        <v>1303</v>
      </c>
      <c r="M717">
        <v>1407</v>
      </c>
    </row>
    <row r="718" spans="1:13" x14ac:dyDescent="0.2">
      <c r="A718" t="s">
        <v>440</v>
      </c>
      <c r="B718">
        <v>1369</v>
      </c>
      <c r="C718">
        <v>29</v>
      </c>
      <c r="D718">
        <v>350</v>
      </c>
      <c r="E718">
        <v>696</v>
      </c>
      <c r="F718">
        <v>1037</v>
      </c>
      <c r="G718">
        <v>1237</v>
      </c>
      <c r="H718">
        <v>1343</v>
      </c>
      <c r="I718">
        <v>1403</v>
      </c>
      <c r="J718">
        <v>1464</v>
      </c>
      <c r="K718">
        <v>1339</v>
      </c>
      <c r="L718">
        <v>1354</v>
      </c>
      <c r="M718">
        <v>1383</v>
      </c>
    </row>
    <row r="719" spans="1:13" x14ac:dyDescent="0.2">
      <c r="A719" t="s">
        <v>441</v>
      </c>
      <c r="B719">
        <v>1354</v>
      </c>
      <c r="C719">
        <v>27</v>
      </c>
      <c r="D719">
        <v>447</v>
      </c>
      <c r="E719">
        <v>754</v>
      </c>
      <c r="F719">
        <v>1108</v>
      </c>
      <c r="G719">
        <v>1314</v>
      </c>
      <c r="H719">
        <v>1245</v>
      </c>
      <c r="I719">
        <v>1423</v>
      </c>
      <c r="J719">
        <v>1400</v>
      </c>
      <c r="K719">
        <v>1338</v>
      </c>
      <c r="L719">
        <v>1359</v>
      </c>
      <c r="M719">
        <v>1374</v>
      </c>
    </row>
    <row r="720" spans="1:13" x14ac:dyDescent="0.2">
      <c r="A720" t="s">
        <v>442</v>
      </c>
      <c r="B720">
        <v>1389</v>
      </c>
      <c r="C720">
        <v>27</v>
      </c>
      <c r="D720">
        <v>424</v>
      </c>
      <c r="E720">
        <v>764</v>
      </c>
      <c r="F720">
        <v>1030</v>
      </c>
      <c r="G720">
        <v>1247</v>
      </c>
      <c r="H720">
        <v>1326</v>
      </c>
      <c r="I720">
        <v>1389</v>
      </c>
      <c r="J720">
        <v>1375</v>
      </c>
      <c r="K720">
        <v>1357</v>
      </c>
      <c r="L720">
        <v>1405</v>
      </c>
      <c r="M720">
        <v>1330</v>
      </c>
    </row>
    <row r="722" spans="1:13" x14ac:dyDescent="0.2">
      <c r="A722" t="s">
        <v>445</v>
      </c>
    </row>
    <row r="723" spans="1:13" x14ac:dyDescent="0.2">
      <c r="A723" t="s">
        <v>446</v>
      </c>
    </row>
    <row r="724" spans="1:13" x14ac:dyDescent="0.2">
      <c r="A724" t="s">
        <v>434</v>
      </c>
    </row>
    <row r="725" spans="1:13" x14ac:dyDescent="0.2">
      <c r="A725" t="s">
        <v>836</v>
      </c>
    </row>
    <row r="728" spans="1:13" x14ac:dyDescent="0.2">
      <c r="A728" t="s">
        <v>141</v>
      </c>
    </row>
    <row r="730" spans="1:13" x14ac:dyDescent="0.2">
      <c r="A730" t="s">
        <v>138</v>
      </c>
      <c r="B730">
        <v>1</v>
      </c>
      <c r="C730">
        <v>2</v>
      </c>
      <c r="D730">
        <v>3</v>
      </c>
      <c r="E730">
        <v>4</v>
      </c>
      <c r="F730">
        <v>5</v>
      </c>
      <c r="G730">
        <v>6</v>
      </c>
      <c r="H730">
        <v>7</v>
      </c>
      <c r="I730">
        <v>8</v>
      </c>
      <c r="J730">
        <v>9</v>
      </c>
      <c r="K730">
        <v>10</v>
      </c>
      <c r="L730">
        <v>11</v>
      </c>
      <c r="M730">
        <v>12</v>
      </c>
    </row>
    <row r="731" spans="1:13" x14ac:dyDescent="0.2">
      <c r="A731" t="s">
        <v>435</v>
      </c>
      <c r="B731">
        <v>7420</v>
      </c>
      <c r="C731">
        <v>23</v>
      </c>
      <c r="D731">
        <v>242</v>
      </c>
      <c r="E731">
        <v>656</v>
      </c>
      <c r="F731">
        <v>2845</v>
      </c>
      <c r="G731">
        <v>6786</v>
      </c>
      <c r="H731">
        <v>7288</v>
      </c>
      <c r="I731">
        <v>7712</v>
      </c>
      <c r="J731">
        <v>7723</v>
      </c>
      <c r="K731">
        <v>7543</v>
      </c>
      <c r="L731">
        <v>7245</v>
      </c>
      <c r="M731">
        <v>6909</v>
      </c>
    </row>
    <row r="732" spans="1:13" x14ac:dyDescent="0.2">
      <c r="A732" t="s">
        <v>436</v>
      </c>
      <c r="B732">
        <v>7257</v>
      </c>
      <c r="C732">
        <v>33</v>
      </c>
      <c r="D732">
        <v>231</v>
      </c>
      <c r="E732">
        <v>717</v>
      </c>
      <c r="F732">
        <v>3165</v>
      </c>
      <c r="G732">
        <v>6468</v>
      </c>
      <c r="H732">
        <v>7387</v>
      </c>
      <c r="I732">
        <v>7455</v>
      </c>
      <c r="J732">
        <v>6962</v>
      </c>
      <c r="K732">
        <v>6869</v>
      </c>
      <c r="L732">
        <v>7058</v>
      </c>
      <c r="M732">
        <v>6952</v>
      </c>
    </row>
    <row r="733" spans="1:13" x14ac:dyDescent="0.2">
      <c r="A733" t="s">
        <v>437</v>
      </c>
      <c r="B733">
        <v>7390</v>
      </c>
      <c r="C733">
        <v>42</v>
      </c>
      <c r="D733">
        <v>728</v>
      </c>
      <c r="E733">
        <v>1618</v>
      </c>
      <c r="F733">
        <v>3495</v>
      </c>
      <c r="G733">
        <v>5613</v>
      </c>
      <c r="H733">
        <v>7116</v>
      </c>
      <c r="I733">
        <v>7511</v>
      </c>
      <c r="J733">
        <v>7441</v>
      </c>
      <c r="K733">
        <v>7428</v>
      </c>
      <c r="L733">
        <v>7713</v>
      </c>
      <c r="M733">
        <v>7124</v>
      </c>
    </row>
    <row r="734" spans="1:13" x14ac:dyDescent="0.2">
      <c r="A734" t="s">
        <v>438</v>
      </c>
      <c r="B734">
        <v>7178</v>
      </c>
      <c r="C734">
        <v>24</v>
      </c>
      <c r="D734">
        <v>762</v>
      </c>
      <c r="E734">
        <v>1656</v>
      </c>
      <c r="F734">
        <v>3356</v>
      </c>
      <c r="G734">
        <v>5571</v>
      </c>
      <c r="H734">
        <v>6787</v>
      </c>
      <c r="I734">
        <v>7495</v>
      </c>
      <c r="J734">
        <v>7313</v>
      </c>
      <c r="K734">
        <v>7416</v>
      </c>
      <c r="L734">
        <v>7384</v>
      </c>
      <c r="M734">
        <v>7010</v>
      </c>
    </row>
    <row r="735" spans="1:13" x14ac:dyDescent="0.2">
      <c r="A735" t="s">
        <v>439</v>
      </c>
      <c r="B735">
        <v>7443</v>
      </c>
      <c r="C735">
        <v>31</v>
      </c>
      <c r="D735">
        <v>1500</v>
      </c>
      <c r="E735">
        <v>3241</v>
      </c>
      <c r="F735">
        <v>5202</v>
      </c>
      <c r="G735">
        <v>6831</v>
      </c>
      <c r="H735">
        <v>7683</v>
      </c>
      <c r="I735">
        <v>7740</v>
      </c>
      <c r="J735">
        <v>7630</v>
      </c>
      <c r="K735">
        <v>7512</v>
      </c>
      <c r="L735">
        <v>7643</v>
      </c>
      <c r="M735">
        <v>7323</v>
      </c>
    </row>
    <row r="736" spans="1:13" x14ac:dyDescent="0.2">
      <c r="A736" t="s">
        <v>440</v>
      </c>
      <c r="B736">
        <v>7426</v>
      </c>
      <c r="C736">
        <v>33</v>
      </c>
      <c r="D736">
        <v>1432</v>
      </c>
      <c r="E736">
        <v>3212</v>
      </c>
      <c r="F736">
        <v>5167</v>
      </c>
      <c r="G736">
        <v>6893</v>
      </c>
      <c r="H736">
        <v>7872</v>
      </c>
      <c r="I736">
        <v>7629</v>
      </c>
      <c r="J736">
        <v>7516</v>
      </c>
      <c r="K736">
        <v>7540</v>
      </c>
      <c r="L736">
        <v>7528</v>
      </c>
      <c r="M736">
        <v>7477</v>
      </c>
    </row>
    <row r="737" spans="1:13" x14ac:dyDescent="0.2">
      <c r="A737" t="s">
        <v>441</v>
      </c>
      <c r="B737">
        <v>7277</v>
      </c>
      <c r="C737">
        <v>15</v>
      </c>
      <c r="D737">
        <v>60</v>
      </c>
      <c r="E737">
        <v>172</v>
      </c>
      <c r="F737">
        <v>518</v>
      </c>
      <c r="G737">
        <v>1768</v>
      </c>
      <c r="H737">
        <v>3843</v>
      </c>
      <c r="I737">
        <v>6233</v>
      </c>
      <c r="J737">
        <v>7047</v>
      </c>
      <c r="K737">
        <v>7050</v>
      </c>
      <c r="L737">
        <v>7146</v>
      </c>
      <c r="M737">
        <v>7594</v>
      </c>
    </row>
    <row r="738" spans="1:13" x14ac:dyDescent="0.2">
      <c r="A738" t="s">
        <v>442</v>
      </c>
      <c r="B738">
        <v>6697</v>
      </c>
      <c r="C738">
        <v>12</v>
      </c>
      <c r="D738">
        <v>52</v>
      </c>
      <c r="E738">
        <v>158</v>
      </c>
      <c r="F738">
        <v>434</v>
      </c>
      <c r="G738">
        <v>1521</v>
      </c>
      <c r="H738">
        <v>3646</v>
      </c>
      <c r="I738">
        <v>6170</v>
      </c>
      <c r="J738">
        <v>6694</v>
      </c>
      <c r="K738">
        <v>7020</v>
      </c>
      <c r="L738">
        <v>6911</v>
      </c>
      <c r="M738">
        <v>7855</v>
      </c>
    </row>
    <row r="740" spans="1:13" x14ac:dyDescent="0.2">
      <c r="A740" t="s">
        <v>447</v>
      </c>
    </row>
    <row r="741" spans="1:13" x14ac:dyDescent="0.2">
      <c r="A741" t="s">
        <v>837</v>
      </c>
    </row>
    <row r="742" spans="1:13" x14ac:dyDescent="0.2">
      <c r="A742" t="s">
        <v>434</v>
      </c>
    </row>
    <row r="743" spans="1:13" x14ac:dyDescent="0.2">
      <c r="A743" t="s">
        <v>838</v>
      </c>
    </row>
    <row r="746" spans="1:13" x14ac:dyDescent="0.2">
      <c r="A746" t="s">
        <v>141</v>
      </c>
    </row>
    <row r="748" spans="1:13" x14ac:dyDescent="0.2">
      <c r="A748" t="s">
        <v>138</v>
      </c>
      <c r="B748">
        <v>1</v>
      </c>
      <c r="C748">
        <v>2</v>
      </c>
      <c r="D748">
        <v>3</v>
      </c>
      <c r="E748">
        <v>4</v>
      </c>
      <c r="F748">
        <v>5</v>
      </c>
      <c r="G748">
        <v>6</v>
      </c>
      <c r="H748">
        <v>7</v>
      </c>
      <c r="I748">
        <v>8</v>
      </c>
      <c r="J748">
        <v>9</v>
      </c>
      <c r="K748">
        <v>10</v>
      </c>
      <c r="L748">
        <v>11</v>
      </c>
      <c r="M748">
        <v>12</v>
      </c>
    </row>
    <row r="749" spans="1:13" x14ac:dyDescent="0.2">
      <c r="A749" t="s">
        <v>435</v>
      </c>
      <c r="B749">
        <v>7401</v>
      </c>
      <c r="C749">
        <v>32</v>
      </c>
      <c r="D749">
        <v>553</v>
      </c>
      <c r="E749">
        <v>1723</v>
      </c>
      <c r="F749">
        <v>3658</v>
      </c>
      <c r="G749">
        <v>6733</v>
      </c>
      <c r="H749">
        <v>7462</v>
      </c>
      <c r="I749">
        <v>8275</v>
      </c>
      <c r="J749">
        <v>8122</v>
      </c>
      <c r="K749">
        <v>7764</v>
      </c>
      <c r="L749">
        <v>7956</v>
      </c>
      <c r="M749">
        <v>7630</v>
      </c>
    </row>
    <row r="750" spans="1:13" x14ac:dyDescent="0.2">
      <c r="A750" t="s">
        <v>436</v>
      </c>
      <c r="B750">
        <v>7607</v>
      </c>
      <c r="C750">
        <v>50</v>
      </c>
      <c r="D750">
        <v>423</v>
      </c>
      <c r="E750">
        <v>1622</v>
      </c>
      <c r="F750">
        <v>3389</v>
      </c>
      <c r="G750">
        <v>6444</v>
      </c>
      <c r="H750">
        <v>7359</v>
      </c>
      <c r="I750">
        <v>7549</v>
      </c>
      <c r="J750">
        <v>7460</v>
      </c>
      <c r="K750">
        <v>7737</v>
      </c>
      <c r="L750">
        <v>7950</v>
      </c>
      <c r="M750">
        <v>7630</v>
      </c>
    </row>
    <row r="751" spans="1:13" x14ac:dyDescent="0.2">
      <c r="A751" t="s">
        <v>437</v>
      </c>
      <c r="B751">
        <v>7306</v>
      </c>
      <c r="C751">
        <v>24</v>
      </c>
      <c r="D751">
        <v>221</v>
      </c>
      <c r="E751">
        <v>945</v>
      </c>
      <c r="F751">
        <v>3950</v>
      </c>
      <c r="G751">
        <v>7294</v>
      </c>
      <c r="H751">
        <v>7910</v>
      </c>
      <c r="I751">
        <v>8023</v>
      </c>
      <c r="J751">
        <v>8129</v>
      </c>
      <c r="K751">
        <v>7774</v>
      </c>
      <c r="L751">
        <v>7892</v>
      </c>
      <c r="M751">
        <v>7972</v>
      </c>
    </row>
    <row r="752" spans="1:13" x14ac:dyDescent="0.2">
      <c r="A752" t="s">
        <v>438</v>
      </c>
      <c r="B752">
        <v>7314</v>
      </c>
      <c r="C752">
        <v>25</v>
      </c>
      <c r="D752">
        <v>226</v>
      </c>
      <c r="E752">
        <v>792</v>
      </c>
      <c r="F752">
        <v>3130</v>
      </c>
      <c r="G752">
        <v>6650</v>
      </c>
      <c r="H752">
        <v>7522</v>
      </c>
      <c r="I752">
        <v>7874</v>
      </c>
      <c r="J752">
        <v>7409</v>
      </c>
      <c r="K752">
        <v>7557</v>
      </c>
      <c r="L752">
        <v>7755</v>
      </c>
      <c r="M752">
        <v>7777</v>
      </c>
    </row>
    <row r="753" spans="1:13" x14ac:dyDescent="0.2">
      <c r="A753" t="s">
        <v>439</v>
      </c>
      <c r="B753">
        <v>7420</v>
      </c>
      <c r="C753">
        <v>22</v>
      </c>
      <c r="D753">
        <v>57</v>
      </c>
      <c r="E753">
        <v>212</v>
      </c>
      <c r="F753">
        <v>499</v>
      </c>
      <c r="G753">
        <v>1848</v>
      </c>
      <c r="H753">
        <v>4156</v>
      </c>
      <c r="I753">
        <v>6780</v>
      </c>
      <c r="J753">
        <v>7428</v>
      </c>
      <c r="K753">
        <v>7657</v>
      </c>
      <c r="L753">
        <v>7684</v>
      </c>
      <c r="M753">
        <v>8243</v>
      </c>
    </row>
    <row r="754" spans="1:13" x14ac:dyDescent="0.2">
      <c r="A754" t="s">
        <v>440</v>
      </c>
      <c r="B754">
        <v>7405</v>
      </c>
      <c r="C754">
        <v>20</v>
      </c>
      <c r="D754">
        <v>64</v>
      </c>
      <c r="E754">
        <v>179</v>
      </c>
      <c r="F754">
        <v>519</v>
      </c>
      <c r="G754">
        <v>1772</v>
      </c>
      <c r="H754">
        <v>4088</v>
      </c>
      <c r="I754">
        <v>6237</v>
      </c>
      <c r="J754">
        <v>7443</v>
      </c>
      <c r="K754">
        <v>7864</v>
      </c>
      <c r="L754">
        <v>7895</v>
      </c>
      <c r="M754">
        <v>8240</v>
      </c>
    </row>
    <row r="755" spans="1:13" x14ac:dyDescent="0.2">
      <c r="A755" t="s">
        <v>441</v>
      </c>
      <c r="B755">
        <v>7384</v>
      </c>
      <c r="C755">
        <v>24</v>
      </c>
      <c r="D755">
        <v>472</v>
      </c>
      <c r="E755">
        <v>1609</v>
      </c>
      <c r="F755">
        <v>3746</v>
      </c>
      <c r="G755">
        <v>6552</v>
      </c>
      <c r="H755">
        <v>7532</v>
      </c>
      <c r="I755">
        <v>7745</v>
      </c>
      <c r="J755">
        <v>7550</v>
      </c>
      <c r="K755">
        <v>7562</v>
      </c>
      <c r="L755">
        <v>7617</v>
      </c>
      <c r="M755">
        <v>7877</v>
      </c>
    </row>
    <row r="756" spans="1:13" x14ac:dyDescent="0.2">
      <c r="A756" t="s">
        <v>442</v>
      </c>
      <c r="B756">
        <v>7016</v>
      </c>
      <c r="C756">
        <v>24</v>
      </c>
      <c r="D756">
        <v>528</v>
      </c>
      <c r="E756">
        <v>1867</v>
      </c>
      <c r="F756">
        <v>3742</v>
      </c>
      <c r="G756">
        <v>6507</v>
      </c>
      <c r="H756">
        <v>7249</v>
      </c>
      <c r="I756">
        <v>7497</v>
      </c>
      <c r="J756">
        <v>7603</v>
      </c>
      <c r="K756">
        <v>7493</v>
      </c>
      <c r="L756">
        <v>7731</v>
      </c>
      <c r="M756">
        <v>7697</v>
      </c>
    </row>
    <row r="758" spans="1:13" x14ac:dyDescent="0.2">
      <c r="A758" t="s">
        <v>839</v>
      </c>
    </row>
    <row r="759" spans="1:13" x14ac:dyDescent="0.2">
      <c r="A759" t="s">
        <v>840</v>
      </c>
    </row>
    <row r="760" spans="1:13" x14ac:dyDescent="0.2">
      <c r="A760" t="s">
        <v>434</v>
      </c>
    </row>
    <row r="761" spans="1:13" x14ac:dyDescent="0.2">
      <c r="A761" t="s">
        <v>841</v>
      </c>
    </row>
    <row r="764" spans="1:13" x14ac:dyDescent="0.2">
      <c r="A764" t="s">
        <v>141</v>
      </c>
    </row>
    <row r="766" spans="1:13" x14ac:dyDescent="0.2">
      <c r="A766" t="s">
        <v>138</v>
      </c>
      <c r="B766">
        <v>1</v>
      </c>
      <c r="C766">
        <v>2</v>
      </c>
      <c r="D766">
        <v>3</v>
      </c>
      <c r="E766">
        <v>4</v>
      </c>
      <c r="F766">
        <v>5</v>
      </c>
      <c r="G766">
        <v>6</v>
      </c>
      <c r="H766">
        <v>7</v>
      </c>
      <c r="I766">
        <v>8</v>
      </c>
      <c r="J766">
        <v>9</v>
      </c>
      <c r="K766">
        <v>10</v>
      </c>
      <c r="L766">
        <v>11</v>
      </c>
      <c r="M766">
        <v>12</v>
      </c>
    </row>
    <row r="767" spans="1:13" x14ac:dyDescent="0.2">
      <c r="A767" t="s">
        <v>435</v>
      </c>
      <c r="B767">
        <v>1266</v>
      </c>
      <c r="C767">
        <v>21</v>
      </c>
      <c r="D767">
        <v>48</v>
      </c>
      <c r="E767">
        <v>79</v>
      </c>
      <c r="F767">
        <v>138</v>
      </c>
      <c r="G767">
        <v>191</v>
      </c>
      <c r="H767">
        <v>461</v>
      </c>
      <c r="I767">
        <v>894</v>
      </c>
      <c r="J767">
        <v>1131</v>
      </c>
      <c r="K767">
        <v>1189</v>
      </c>
      <c r="L767">
        <v>1262</v>
      </c>
      <c r="M767">
        <v>1243</v>
      </c>
    </row>
    <row r="768" spans="1:13" x14ac:dyDescent="0.2">
      <c r="A768" t="s">
        <v>436</v>
      </c>
      <c r="B768">
        <v>1227</v>
      </c>
      <c r="C768">
        <v>18</v>
      </c>
      <c r="D768">
        <v>40</v>
      </c>
      <c r="E768">
        <v>89</v>
      </c>
      <c r="F768">
        <v>144</v>
      </c>
      <c r="G768">
        <v>352</v>
      </c>
      <c r="H768">
        <v>656</v>
      </c>
      <c r="I768">
        <v>868</v>
      </c>
      <c r="J768">
        <v>1101</v>
      </c>
      <c r="K768">
        <v>1196</v>
      </c>
      <c r="L768">
        <v>1172</v>
      </c>
      <c r="M768">
        <v>1275</v>
      </c>
    </row>
    <row r="769" spans="1:13" x14ac:dyDescent="0.2">
      <c r="A769" t="s">
        <v>437</v>
      </c>
      <c r="B769">
        <v>1344</v>
      </c>
      <c r="C769">
        <v>22</v>
      </c>
      <c r="D769">
        <v>88</v>
      </c>
      <c r="E769">
        <v>286</v>
      </c>
      <c r="F769">
        <v>519</v>
      </c>
      <c r="G769">
        <v>869</v>
      </c>
      <c r="H769">
        <v>1159</v>
      </c>
      <c r="I769">
        <v>1292</v>
      </c>
      <c r="J769">
        <v>1265</v>
      </c>
      <c r="K769">
        <v>1259</v>
      </c>
      <c r="L769">
        <v>1291</v>
      </c>
      <c r="M769">
        <v>1317</v>
      </c>
    </row>
    <row r="770" spans="1:13" x14ac:dyDescent="0.2">
      <c r="A770" t="s">
        <v>438</v>
      </c>
      <c r="B770">
        <v>1271</v>
      </c>
      <c r="C770">
        <v>27</v>
      </c>
      <c r="D770">
        <v>89</v>
      </c>
      <c r="E770">
        <v>242</v>
      </c>
      <c r="F770">
        <v>526</v>
      </c>
      <c r="G770">
        <v>902</v>
      </c>
      <c r="H770">
        <v>1186</v>
      </c>
      <c r="I770">
        <v>1200</v>
      </c>
      <c r="J770">
        <v>1278</v>
      </c>
      <c r="K770">
        <v>1330</v>
      </c>
      <c r="L770">
        <v>1333</v>
      </c>
      <c r="M770">
        <v>1226</v>
      </c>
    </row>
    <row r="771" spans="1:13" x14ac:dyDescent="0.2">
      <c r="A771" t="s">
        <v>439</v>
      </c>
      <c r="B771">
        <v>1213</v>
      </c>
      <c r="C771">
        <v>11</v>
      </c>
      <c r="D771">
        <v>80</v>
      </c>
      <c r="E771">
        <v>246</v>
      </c>
      <c r="F771">
        <v>484</v>
      </c>
      <c r="G771">
        <v>946</v>
      </c>
      <c r="H771">
        <v>1195</v>
      </c>
      <c r="I771">
        <v>1297</v>
      </c>
      <c r="J771">
        <v>1322</v>
      </c>
      <c r="K771">
        <v>1225</v>
      </c>
      <c r="L771">
        <v>1327</v>
      </c>
      <c r="M771">
        <v>1301</v>
      </c>
    </row>
    <row r="772" spans="1:13" x14ac:dyDescent="0.2">
      <c r="A772" t="s">
        <v>440</v>
      </c>
      <c r="B772">
        <v>1294</v>
      </c>
      <c r="C772">
        <v>18</v>
      </c>
      <c r="D772">
        <v>66</v>
      </c>
      <c r="E772">
        <v>222</v>
      </c>
      <c r="F772">
        <v>464</v>
      </c>
      <c r="G772">
        <v>853</v>
      </c>
      <c r="H772">
        <v>1062</v>
      </c>
      <c r="I772">
        <v>1278</v>
      </c>
      <c r="J772">
        <v>1188</v>
      </c>
      <c r="K772">
        <v>1289</v>
      </c>
      <c r="L772">
        <v>1354</v>
      </c>
      <c r="M772">
        <v>1232</v>
      </c>
    </row>
    <row r="773" spans="1:13" x14ac:dyDescent="0.2">
      <c r="A773" t="s">
        <v>441</v>
      </c>
      <c r="B773">
        <v>1281</v>
      </c>
      <c r="C773">
        <v>18</v>
      </c>
      <c r="D773">
        <v>22</v>
      </c>
      <c r="E773">
        <v>39</v>
      </c>
      <c r="F773">
        <v>128</v>
      </c>
      <c r="G773">
        <v>244</v>
      </c>
      <c r="H773">
        <v>479</v>
      </c>
      <c r="I773">
        <v>833</v>
      </c>
      <c r="J773">
        <v>1044</v>
      </c>
      <c r="K773">
        <v>1315</v>
      </c>
      <c r="L773">
        <v>1322</v>
      </c>
      <c r="M773">
        <v>1296</v>
      </c>
    </row>
    <row r="774" spans="1:13" x14ac:dyDescent="0.2">
      <c r="A774" t="s">
        <v>442</v>
      </c>
      <c r="B774">
        <v>1146</v>
      </c>
      <c r="C774">
        <v>17</v>
      </c>
      <c r="D774">
        <v>18</v>
      </c>
      <c r="E774">
        <v>32</v>
      </c>
      <c r="F774">
        <v>75</v>
      </c>
      <c r="G774">
        <v>187</v>
      </c>
      <c r="H774">
        <v>371</v>
      </c>
      <c r="I774">
        <v>696</v>
      </c>
      <c r="J774">
        <v>1012</v>
      </c>
      <c r="K774">
        <v>1074</v>
      </c>
      <c r="L774">
        <v>1238</v>
      </c>
      <c r="M774">
        <v>1233</v>
      </c>
    </row>
    <row r="776" spans="1:13" x14ac:dyDescent="0.2">
      <c r="A776" t="s">
        <v>842</v>
      </c>
    </row>
    <row r="777" spans="1:13" x14ac:dyDescent="0.2">
      <c r="A777" t="s">
        <v>843</v>
      </c>
    </row>
    <row r="778" spans="1:13" x14ac:dyDescent="0.2">
      <c r="A778" t="s">
        <v>434</v>
      </c>
    </row>
    <row r="779" spans="1:13" x14ac:dyDescent="0.2">
      <c r="A779" t="s">
        <v>844</v>
      </c>
    </row>
    <row r="782" spans="1:13" x14ac:dyDescent="0.2">
      <c r="A782" t="s">
        <v>141</v>
      </c>
    </row>
    <row r="784" spans="1:13" x14ac:dyDescent="0.2">
      <c r="A784" t="s">
        <v>138</v>
      </c>
      <c r="B784">
        <v>1</v>
      </c>
      <c r="C784">
        <v>2</v>
      </c>
      <c r="D784">
        <v>3</v>
      </c>
      <c r="E784">
        <v>4</v>
      </c>
      <c r="F784">
        <v>5</v>
      </c>
      <c r="G784">
        <v>6</v>
      </c>
      <c r="H784">
        <v>7</v>
      </c>
      <c r="I784">
        <v>8</v>
      </c>
      <c r="J784">
        <v>9</v>
      </c>
      <c r="K784">
        <v>10</v>
      </c>
      <c r="L784">
        <v>11</v>
      </c>
      <c r="M784">
        <v>12</v>
      </c>
    </row>
    <row r="785" spans="1:13" x14ac:dyDescent="0.2">
      <c r="A785" t="s">
        <v>435</v>
      </c>
      <c r="B785">
        <v>1336</v>
      </c>
      <c r="C785">
        <v>28</v>
      </c>
      <c r="D785">
        <v>16</v>
      </c>
      <c r="E785">
        <v>23</v>
      </c>
      <c r="F785">
        <v>53</v>
      </c>
      <c r="G785">
        <v>139</v>
      </c>
      <c r="H785">
        <v>400</v>
      </c>
      <c r="I785">
        <v>869</v>
      </c>
      <c r="J785">
        <v>1066</v>
      </c>
      <c r="K785">
        <v>1162</v>
      </c>
      <c r="L785">
        <v>1320</v>
      </c>
      <c r="M785">
        <v>1302</v>
      </c>
    </row>
    <row r="786" spans="1:13" x14ac:dyDescent="0.2">
      <c r="A786" t="s">
        <v>436</v>
      </c>
      <c r="B786">
        <v>1403</v>
      </c>
      <c r="C786">
        <v>27</v>
      </c>
      <c r="D786">
        <v>15</v>
      </c>
      <c r="E786">
        <v>35</v>
      </c>
      <c r="F786">
        <v>62</v>
      </c>
      <c r="G786">
        <v>173</v>
      </c>
      <c r="H786">
        <v>401</v>
      </c>
      <c r="I786">
        <v>831</v>
      </c>
      <c r="J786">
        <v>1050</v>
      </c>
      <c r="K786">
        <v>1193</v>
      </c>
      <c r="L786">
        <v>1245</v>
      </c>
      <c r="M786">
        <v>1220</v>
      </c>
    </row>
    <row r="787" spans="1:13" x14ac:dyDescent="0.2">
      <c r="A787" t="s">
        <v>437</v>
      </c>
      <c r="B787">
        <v>1303</v>
      </c>
      <c r="C787">
        <v>20</v>
      </c>
      <c r="D787">
        <v>49</v>
      </c>
      <c r="E787">
        <v>189</v>
      </c>
      <c r="F787">
        <v>491</v>
      </c>
      <c r="G787">
        <v>842</v>
      </c>
      <c r="H787">
        <v>1071</v>
      </c>
      <c r="I787">
        <v>1241</v>
      </c>
      <c r="J787">
        <v>1265</v>
      </c>
      <c r="K787">
        <v>1212</v>
      </c>
      <c r="L787">
        <v>1305</v>
      </c>
      <c r="M787">
        <v>1244</v>
      </c>
    </row>
    <row r="788" spans="1:13" x14ac:dyDescent="0.2">
      <c r="A788" t="s">
        <v>438</v>
      </c>
      <c r="B788">
        <v>1253</v>
      </c>
      <c r="C788">
        <v>24</v>
      </c>
      <c r="D788">
        <v>51</v>
      </c>
      <c r="E788">
        <v>212</v>
      </c>
      <c r="F788">
        <v>459</v>
      </c>
      <c r="G788">
        <v>882</v>
      </c>
      <c r="H788">
        <v>1128</v>
      </c>
      <c r="I788">
        <v>1276</v>
      </c>
      <c r="J788">
        <v>1212</v>
      </c>
      <c r="K788">
        <v>1282</v>
      </c>
      <c r="L788">
        <v>1299</v>
      </c>
      <c r="M788">
        <v>1189</v>
      </c>
    </row>
    <row r="789" spans="1:13" x14ac:dyDescent="0.2">
      <c r="A789" t="s">
        <v>439</v>
      </c>
      <c r="B789">
        <v>1261</v>
      </c>
      <c r="C789">
        <v>20</v>
      </c>
      <c r="D789">
        <v>78</v>
      </c>
      <c r="E789">
        <v>171</v>
      </c>
      <c r="F789">
        <v>361</v>
      </c>
      <c r="G789">
        <v>697</v>
      </c>
      <c r="H789">
        <v>1020</v>
      </c>
      <c r="I789">
        <v>1262</v>
      </c>
      <c r="J789">
        <v>1211</v>
      </c>
      <c r="K789">
        <v>1477</v>
      </c>
      <c r="L789">
        <v>1274</v>
      </c>
      <c r="M789">
        <v>1248</v>
      </c>
    </row>
    <row r="790" spans="1:13" x14ac:dyDescent="0.2">
      <c r="A790" t="s">
        <v>440</v>
      </c>
      <c r="B790">
        <v>1256</v>
      </c>
      <c r="C790">
        <v>20</v>
      </c>
      <c r="D790">
        <v>72</v>
      </c>
      <c r="E790">
        <v>203</v>
      </c>
      <c r="F790">
        <v>367</v>
      </c>
      <c r="G790">
        <v>687</v>
      </c>
      <c r="H790">
        <v>1087</v>
      </c>
      <c r="I790">
        <v>1216</v>
      </c>
      <c r="J790">
        <v>1238</v>
      </c>
      <c r="K790">
        <v>1349</v>
      </c>
      <c r="L790">
        <v>1384</v>
      </c>
      <c r="M790">
        <v>1274</v>
      </c>
    </row>
    <row r="791" spans="1:13" x14ac:dyDescent="0.2">
      <c r="A791" t="s">
        <v>441</v>
      </c>
      <c r="B791">
        <v>1334</v>
      </c>
      <c r="C791">
        <v>23</v>
      </c>
      <c r="D791">
        <v>267</v>
      </c>
      <c r="E791">
        <v>609</v>
      </c>
      <c r="F791">
        <v>907</v>
      </c>
      <c r="G791">
        <v>1264</v>
      </c>
      <c r="H791">
        <v>1236</v>
      </c>
      <c r="I791">
        <v>1251</v>
      </c>
      <c r="J791">
        <v>1049</v>
      </c>
      <c r="K791">
        <v>1318</v>
      </c>
      <c r="L791">
        <v>1366</v>
      </c>
      <c r="M791">
        <v>1294</v>
      </c>
    </row>
    <row r="792" spans="1:13" x14ac:dyDescent="0.2">
      <c r="A792" t="s">
        <v>442</v>
      </c>
      <c r="B792">
        <v>1190</v>
      </c>
      <c r="C792">
        <v>16</v>
      </c>
      <c r="D792">
        <v>239</v>
      </c>
      <c r="E792">
        <v>551</v>
      </c>
      <c r="F792">
        <v>816</v>
      </c>
      <c r="G792">
        <v>1149</v>
      </c>
      <c r="H792">
        <v>1245</v>
      </c>
      <c r="I792">
        <v>1268</v>
      </c>
      <c r="J792">
        <v>1267</v>
      </c>
      <c r="K792">
        <v>1361</v>
      </c>
      <c r="L792">
        <v>1300</v>
      </c>
      <c r="M792">
        <v>1195</v>
      </c>
    </row>
    <row r="794" spans="1:13" x14ac:dyDescent="0.2">
      <c r="A794" t="s">
        <v>845</v>
      </c>
    </row>
    <row r="795" spans="1:13" x14ac:dyDescent="0.2">
      <c r="A795" t="s">
        <v>846</v>
      </c>
    </row>
    <row r="796" spans="1:13" x14ac:dyDescent="0.2">
      <c r="A796" t="s">
        <v>434</v>
      </c>
    </row>
    <row r="797" spans="1:13" x14ac:dyDescent="0.2">
      <c r="A797" t="s">
        <v>868</v>
      </c>
    </row>
    <row r="800" spans="1:13" x14ac:dyDescent="0.2">
      <c r="A800" t="s">
        <v>141</v>
      </c>
    </row>
    <row r="802" spans="1:13" x14ac:dyDescent="0.2">
      <c r="A802" t="s">
        <v>138</v>
      </c>
      <c r="B802">
        <v>1</v>
      </c>
      <c r="C802">
        <v>2</v>
      </c>
      <c r="D802">
        <v>3</v>
      </c>
      <c r="E802">
        <v>4</v>
      </c>
      <c r="F802">
        <v>5</v>
      </c>
      <c r="G802">
        <v>6</v>
      </c>
      <c r="H802">
        <v>7</v>
      </c>
      <c r="I802">
        <v>8</v>
      </c>
      <c r="J802">
        <v>9</v>
      </c>
      <c r="K802">
        <v>10</v>
      </c>
      <c r="L802">
        <v>11</v>
      </c>
      <c r="M802">
        <v>12</v>
      </c>
    </row>
    <row r="803" spans="1:13" x14ac:dyDescent="0.2">
      <c r="A803" t="s">
        <v>435</v>
      </c>
      <c r="B803">
        <v>5</v>
      </c>
      <c r="C803">
        <v>5</v>
      </c>
      <c r="D803">
        <v>4</v>
      </c>
      <c r="E803">
        <v>8</v>
      </c>
      <c r="F803">
        <v>4</v>
      </c>
      <c r="G803">
        <v>6</v>
      </c>
      <c r="H803">
        <v>7</v>
      </c>
      <c r="I803">
        <v>6</v>
      </c>
      <c r="J803">
        <v>2</v>
      </c>
      <c r="K803">
        <v>4</v>
      </c>
      <c r="L803">
        <v>3</v>
      </c>
      <c r="M803">
        <v>3</v>
      </c>
    </row>
    <row r="804" spans="1:13" x14ac:dyDescent="0.2">
      <c r="A804" t="s">
        <v>436</v>
      </c>
      <c r="B804">
        <v>5</v>
      </c>
      <c r="C804">
        <v>6</v>
      </c>
      <c r="D804">
        <v>6</v>
      </c>
      <c r="E804">
        <v>4</v>
      </c>
      <c r="F804">
        <v>7</v>
      </c>
      <c r="G804">
        <v>7</v>
      </c>
      <c r="H804">
        <v>3</v>
      </c>
      <c r="I804">
        <v>3</v>
      </c>
      <c r="J804">
        <v>3</v>
      </c>
      <c r="K804">
        <v>4</v>
      </c>
      <c r="L804">
        <v>1</v>
      </c>
      <c r="M804">
        <v>2</v>
      </c>
    </row>
    <row r="805" spans="1:13" x14ac:dyDescent="0.2">
      <c r="A805" t="s">
        <v>437</v>
      </c>
      <c r="B805">
        <v>6</v>
      </c>
      <c r="C805">
        <v>6</v>
      </c>
      <c r="D805">
        <v>4</v>
      </c>
      <c r="E805">
        <v>6</v>
      </c>
      <c r="F805">
        <v>8</v>
      </c>
      <c r="G805">
        <v>4</v>
      </c>
      <c r="H805">
        <v>983</v>
      </c>
      <c r="I805">
        <v>1075</v>
      </c>
      <c r="J805">
        <v>1039</v>
      </c>
      <c r="K805">
        <v>3</v>
      </c>
      <c r="L805">
        <v>3</v>
      </c>
      <c r="M805">
        <v>4</v>
      </c>
    </row>
    <row r="806" spans="1:13" x14ac:dyDescent="0.2">
      <c r="A806" t="s">
        <v>438</v>
      </c>
      <c r="B806">
        <v>7</v>
      </c>
      <c r="C806">
        <v>4</v>
      </c>
      <c r="D806">
        <v>3</v>
      </c>
      <c r="E806">
        <v>7</v>
      </c>
      <c r="F806">
        <v>7</v>
      </c>
      <c r="G806">
        <v>6</v>
      </c>
      <c r="H806">
        <v>1676</v>
      </c>
      <c r="I806">
        <v>1651</v>
      </c>
      <c r="J806">
        <v>1686</v>
      </c>
      <c r="K806">
        <v>3</v>
      </c>
      <c r="L806">
        <v>2</v>
      </c>
      <c r="M806">
        <v>2</v>
      </c>
    </row>
    <row r="807" spans="1:13" x14ac:dyDescent="0.2">
      <c r="A807" t="s">
        <v>439</v>
      </c>
      <c r="B807">
        <v>7</v>
      </c>
      <c r="C807">
        <v>6</v>
      </c>
      <c r="D807">
        <v>5</v>
      </c>
      <c r="E807">
        <v>7</v>
      </c>
      <c r="F807">
        <v>8</v>
      </c>
      <c r="G807">
        <v>5</v>
      </c>
      <c r="H807">
        <v>2389</v>
      </c>
      <c r="I807">
        <v>2474</v>
      </c>
      <c r="J807">
        <v>2397</v>
      </c>
      <c r="K807">
        <v>2</v>
      </c>
      <c r="L807">
        <v>3</v>
      </c>
      <c r="M807">
        <v>5</v>
      </c>
    </row>
    <row r="808" spans="1:13" x14ac:dyDescent="0.2">
      <c r="A808" t="s">
        <v>440</v>
      </c>
      <c r="B808">
        <v>8</v>
      </c>
      <c r="C808">
        <v>7</v>
      </c>
      <c r="D808">
        <v>4</v>
      </c>
      <c r="E808">
        <v>6</v>
      </c>
      <c r="F808">
        <v>5</v>
      </c>
      <c r="G808">
        <v>5</v>
      </c>
      <c r="H808">
        <v>3</v>
      </c>
      <c r="I808">
        <v>2</v>
      </c>
      <c r="J808">
        <v>6</v>
      </c>
      <c r="K808">
        <v>3</v>
      </c>
      <c r="L808">
        <v>2</v>
      </c>
      <c r="M808">
        <v>6</v>
      </c>
    </row>
    <row r="809" spans="1:13" x14ac:dyDescent="0.2">
      <c r="A809" t="s">
        <v>441</v>
      </c>
      <c r="B809">
        <v>8</v>
      </c>
      <c r="C809">
        <v>8</v>
      </c>
      <c r="D809">
        <v>5</v>
      </c>
      <c r="E809">
        <v>7</v>
      </c>
      <c r="F809">
        <v>6</v>
      </c>
      <c r="G809">
        <v>5</v>
      </c>
      <c r="H809">
        <v>4</v>
      </c>
      <c r="I809">
        <v>8</v>
      </c>
      <c r="J809">
        <v>5</v>
      </c>
      <c r="K809">
        <v>4</v>
      </c>
      <c r="L809">
        <v>8</v>
      </c>
      <c r="M809">
        <v>7</v>
      </c>
    </row>
    <row r="810" spans="1:13" x14ac:dyDescent="0.2">
      <c r="A810" t="s">
        <v>442</v>
      </c>
      <c r="B810">
        <v>6</v>
      </c>
      <c r="C810">
        <v>3</v>
      </c>
      <c r="D810">
        <v>5</v>
      </c>
      <c r="E810">
        <v>6</v>
      </c>
      <c r="F810">
        <v>4</v>
      </c>
      <c r="G810">
        <v>3</v>
      </c>
      <c r="H810">
        <v>9</v>
      </c>
      <c r="I810">
        <v>5</v>
      </c>
      <c r="J810">
        <v>6</v>
      </c>
      <c r="K810">
        <v>4</v>
      </c>
      <c r="L810">
        <v>9</v>
      </c>
      <c r="M810">
        <v>9</v>
      </c>
    </row>
    <row r="812" spans="1:13" x14ac:dyDescent="0.2">
      <c r="A812" t="s">
        <v>847</v>
      </c>
    </row>
    <row r="813" spans="1:13" x14ac:dyDescent="0.2">
      <c r="A813" t="s">
        <v>869</v>
      </c>
    </row>
    <row r="814" spans="1:13" x14ac:dyDescent="0.2">
      <c r="A814" t="s">
        <v>448</v>
      </c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6"/>
  <sheetViews>
    <sheetView topLeftCell="A88" zoomScale="90" zoomScaleNormal="90" workbookViewId="0">
      <selection activeCell="H103" sqref="H103:H111"/>
    </sheetView>
  </sheetViews>
  <sheetFormatPr defaultRowHeight="12.75" x14ac:dyDescent="0.2"/>
  <cols>
    <col min="1" max="1" width="25.140625" style="16" customWidth="1"/>
    <col min="2" max="2" width="10.5703125" customWidth="1"/>
    <col min="3" max="3" width="7.85546875" customWidth="1"/>
  </cols>
  <sheetData>
    <row r="1" spans="1:11" x14ac:dyDescent="0.2">
      <c r="A1" s="18" t="s">
        <v>96</v>
      </c>
      <c r="B1" s="5">
        <v>45238</v>
      </c>
      <c r="D1">
        <v>47.4</v>
      </c>
      <c r="E1" t="s">
        <v>97</v>
      </c>
      <c r="G1">
        <f>H1*20</f>
        <v>19660</v>
      </c>
      <c r="H1">
        <v>983</v>
      </c>
    </row>
    <row r="2" spans="1:11" x14ac:dyDescent="0.2">
      <c r="A2" s="18" t="s">
        <v>123</v>
      </c>
      <c r="D2">
        <f>D1*2200*0.53</f>
        <v>55268.4</v>
      </c>
      <c r="E2" t="s">
        <v>98</v>
      </c>
      <c r="G2">
        <f>H2*20</f>
        <v>21500</v>
      </c>
      <c r="H2">
        <v>1075</v>
      </c>
    </row>
    <row r="3" spans="1:11" x14ac:dyDescent="0.2">
      <c r="D3">
        <v>1</v>
      </c>
      <c r="E3" t="s">
        <v>99</v>
      </c>
      <c r="G3">
        <f>H3*20</f>
        <v>20780</v>
      </c>
      <c r="H3">
        <v>1039</v>
      </c>
    </row>
    <row r="4" spans="1:11" x14ac:dyDescent="0.2">
      <c r="A4" s="16" t="s">
        <v>124</v>
      </c>
      <c r="D4">
        <f>AVERAGE(G1:G4)</f>
        <v>20646.666666666668</v>
      </c>
      <c r="E4" t="s">
        <v>100</v>
      </c>
    </row>
    <row r="5" spans="1:11" x14ac:dyDescent="0.2">
      <c r="A5" s="17"/>
      <c r="D5" s="2">
        <f>D4*1000/(D3*D2)</f>
        <v>373.57091333685554</v>
      </c>
      <c r="E5" s="1" t="s">
        <v>114</v>
      </c>
    </row>
    <row r="6" spans="1:11" x14ac:dyDescent="0.2">
      <c r="A6" s="17" t="s">
        <v>870</v>
      </c>
      <c r="E6" s="1"/>
    </row>
    <row r="7" spans="1:11" x14ac:dyDescent="0.2">
      <c r="A7" s="17"/>
      <c r="E7" s="1"/>
    </row>
    <row r="8" spans="1:11" x14ac:dyDescent="0.2">
      <c r="A8" s="27"/>
      <c r="E8" s="1"/>
    </row>
    <row r="9" spans="1:11" x14ac:dyDescent="0.2">
      <c r="A9" s="17"/>
      <c r="D9" t="s">
        <v>101</v>
      </c>
      <c r="E9" t="s">
        <v>102</v>
      </c>
      <c r="F9" t="s">
        <v>103</v>
      </c>
      <c r="G9" t="s">
        <v>104</v>
      </c>
      <c r="H9" s="7" t="s">
        <v>105</v>
      </c>
    </row>
    <row r="10" spans="1:11" x14ac:dyDescent="0.2">
      <c r="A10" s="17" t="s">
        <v>106</v>
      </c>
      <c r="B10">
        <v>1305</v>
      </c>
      <c r="C10">
        <v>1329</v>
      </c>
      <c r="D10" s="2">
        <f>AVERAGE(B10:C10)</f>
        <v>1317</v>
      </c>
      <c r="E10" s="2">
        <f>AVERAGE(D10,D21)-$D$11</f>
        <v>1260.25</v>
      </c>
      <c r="H10" s="2">
        <f>E10*100/$E$10</f>
        <v>100</v>
      </c>
      <c r="I10" s="6"/>
      <c r="J10" s="7"/>
    </row>
    <row r="11" spans="1:11" x14ac:dyDescent="0.2">
      <c r="A11" s="29" t="s">
        <v>850</v>
      </c>
      <c r="B11">
        <v>32</v>
      </c>
      <c r="C11">
        <v>33</v>
      </c>
      <c r="D11" s="2">
        <f t="shared" ref="D11:D21" si="0">AVERAGE(B11:C11)</f>
        <v>32.5</v>
      </c>
      <c r="E11" s="2">
        <f t="shared" ref="E11:E20" si="1">D11-$D$11</f>
        <v>0</v>
      </c>
      <c r="H11" s="2"/>
    </row>
    <row r="12" spans="1:11" x14ac:dyDescent="0.2">
      <c r="A12" s="9"/>
      <c r="B12">
        <v>72</v>
      </c>
      <c r="C12">
        <v>68</v>
      </c>
      <c r="D12" s="2">
        <f t="shared" si="0"/>
        <v>70</v>
      </c>
      <c r="E12" s="2">
        <f t="shared" si="1"/>
        <v>37.5</v>
      </c>
      <c r="F12" s="3">
        <v>9.9999999999999995E-7</v>
      </c>
      <c r="G12" s="2">
        <f>LOG(F12)</f>
        <v>-6</v>
      </c>
      <c r="H12" s="2">
        <f t="shared" ref="H12:H20" si="2">E12*100/$E$10</f>
        <v>2.9756000793493356</v>
      </c>
    </row>
    <row r="13" spans="1:11" x14ac:dyDescent="0.2">
      <c r="A13" s="17"/>
      <c r="B13">
        <v>135</v>
      </c>
      <c r="C13">
        <v>131</v>
      </c>
      <c r="D13" s="2">
        <f t="shared" si="0"/>
        <v>133</v>
      </c>
      <c r="E13" s="2">
        <f t="shared" si="1"/>
        <v>100.5</v>
      </c>
      <c r="F13" s="3">
        <f>F12*0.3162</f>
        <v>3.1619999999999999E-7</v>
      </c>
      <c r="G13" s="2">
        <f t="shared" ref="G13:G20" si="3">LOG(F13)</f>
        <v>-6.5000381344038098</v>
      </c>
      <c r="H13" s="2">
        <f t="shared" si="2"/>
        <v>7.9746082126562188</v>
      </c>
    </row>
    <row r="14" spans="1:11" x14ac:dyDescent="0.2">
      <c r="A14" s="18"/>
      <c r="B14">
        <v>281</v>
      </c>
      <c r="C14">
        <v>266</v>
      </c>
      <c r="D14" s="2">
        <f t="shared" si="0"/>
        <v>273.5</v>
      </c>
      <c r="E14" s="2">
        <f t="shared" si="1"/>
        <v>241</v>
      </c>
      <c r="F14" s="3">
        <f t="shared" ref="F14:F20" si="4">F13*0.3162</f>
        <v>9.9982439999999983E-8</v>
      </c>
      <c r="G14" s="2">
        <f t="shared" si="3"/>
        <v>-7.0000762688076197</v>
      </c>
      <c r="H14" s="2">
        <f t="shared" si="2"/>
        <v>19.123189843285061</v>
      </c>
      <c r="K14" s="9"/>
    </row>
    <row r="15" spans="1:11" x14ac:dyDescent="0.2">
      <c r="B15">
        <v>577</v>
      </c>
      <c r="C15">
        <v>540</v>
      </c>
      <c r="D15" s="2">
        <f t="shared" si="0"/>
        <v>558.5</v>
      </c>
      <c r="E15" s="2">
        <f t="shared" si="1"/>
        <v>526</v>
      </c>
      <c r="F15" s="3">
        <f t="shared" si="4"/>
        <v>3.1614447527999994E-8</v>
      </c>
      <c r="G15" s="2">
        <f t="shared" si="3"/>
        <v>-7.5001144032114295</v>
      </c>
      <c r="H15" s="2">
        <f t="shared" si="2"/>
        <v>41.737750446340009</v>
      </c>
      <c r="K15" s="9"/>
    </row>
    <row r="16" spans="1:11" x14ac:dyDescent="0.2">
      <c r="B16">
        <v>858</v>
      </c>
      <c r="C16">
        <v>907</v>
      </c>
      <c r="D16" s="2">
        <f t="shared" si="0"/>
        <v>882.5</v>
      </c>
      <c r="E16" s="2">
        <f t="shared" si="1"/>
        <v>850</v>
      </c>
      <c r="F16" s="3">
        <f t="shared" si="4"/>
        <v>9.9964883083535969E-9</v>
      </c>
      <c r="G16" s="2">
        <f t="shared" si="3"/>
        <v>-8.0001525376152394</v>
      </c>
      <c r="H16" s="2">
        <f t="shared" si="2"/>
        <v>67.446935131918266</v>
      </c>
      <c r="K16" s="9"/>
    </row>
    <row r="17" spans="1:11" x14ac:dyDescent="0.2">
      <c r="A17"/>
      <c r="B17">
        <v>1178</v>
      </c>
      <c r="C17">
        <v>1219</v>
      </c>
      <c r="D17" s="2">
        <f t="shared" si="0"/>
        <v>1198.5</v>
      </c>
      <c r="E17" s="2">
        <f t="shared" si="1"/>
        <v>1166</v>
      </c>
      <c r="F17" s="3">
        <f t="shared" si="4"/>
        <v>3.1608896031014071E-9</v>
      </c>
      <c r="G17" s="2">
        <f t="shared" si="3"/>
        <v>-8.5001906720190483</v>
      </c>
      <c r="H17" s="2">
        <f t="shared" si="2"/>
        <v>92.52132513390201</v>
      </c>
      <c r="K17" s="9"/>
    </row>
    <row r="18" spans="1:11" x14ac:dyDescent="0.2">
      <c r="A18"/>
      <c r="B18">
        <v>1303</v>
      </c>
      <c r="C18">
        <v>1267</v>
      </c>
      <c r="D18" s="2">
        <f t="shared" si="0"/>
        <v>1285</v>
      </c>
      <c r="E18" s="2">
        <f t="shared" si="1"/>
        <v>1252.5</v>
      </c>
      <c r="F18" s="3">
        <f t="shared" si="4"/>
        <v>9.9947329250066484E-10</v>
      </c>
      <c r="G18" s="2">
        <f t="shared" si="3"/>
        <v>-9.0002288064228591</v>
      </c>
      <c r="H18" s="2">
        <f t="shared" si="2"/>
        <v>99.385042650267806</v>
      </c>
    </row>
    <row r="19" spans="1:11" x14ac:dyDescent="0.2">
      <c r="A19"/>
      <c r="B19">
        <v>1407</v>
      </c>
      <c r="C19">
        <v>1332</v>
      </c>
      <c r="D19" s="2">
        <f t="shared" si="0"/>
        <v>1369.5</v>
      </c>
      <c r="E19" s="2">
        <f t="shared" si="1"/>
        <v>1337</v>
      </c>
      <c r="F19" s="3">
        <f t="shared" si="4"/>
        <v>3.1603345508871019E-10</v>
      </c>
      <c r="G19" s="2">
        <f t="shared" si="3"/>
        <v>-9.500266940826668</v>
      </c>
      <c r="H19" s="2">
        <f t="shared" si="2"/>
        <v>106.09006149573497</v>
      </c>
    </row>
    <row r="20" spans="1:11" x14ac:dyDescent="0.2">
      <c r="B20">
        <v>1314</v>
      </c>
      <c r="C20">
        <v>1375</v>
      </c>
      <c r="D20" s="2">
        <f t="shared" si="0"/>
        <v>1344.5</v>
      </c>
      <c r="E20" s="2">
        <f t="shared" si="1"/>
        <v>1312</v>
      </c>
      <c r="F20" s="3">
        <f t="shared" si="4"/>
        <v>9.992977849905016E-11</v>
      </c>
      <c r="G20" s="2">
        <f t="shared" si="3"/>
        <v>-10.000305075230479</v>
      </c>
      <c r="H20" s="2">
        <f t="shared" si="2"/>
        <v>104.10632810950209</v>
      </c>
    </row>
    <row r="21" spans="1:11" x14ac:dyDescent="0.2">
      <c r="B21">
        <v>1310</v>
      </c>
      <c r="C21">
        <v>1227</v>
      </c>
      <c r="D21" s="2">
        <f t="shared" si="0"/>
        <v>1268.5</v>
      </c>
      <c r="E21" s="2"/>
      <c r="F21" s="3"/>
      <c r="G21" s="2"/>
      <c r="H21" s="2"/>
    </row>
    <row r="22" spans="1:11" x14ac:dyDescent="0.2">
      <c r="D22" t="s">
        <v>101</v>
      </c>
      <c r="E22" t="s">
        <v>102</v>
      </c>
      <c r="F22" t="s">
        <v>103</v>
      </c>
      <c r="G22" t="s">
        <v>104</v>
      </c>
      <c r="H22" s="7" t="s">
        <v>105</v>
      </c>
    </row>
    <row r="23" spans="1:11" x14ac:dyDescent="0.2">
      <c r="A23" s="16" t="s">
        <v>107</v>
      </c>
      <c r="B23">
        <v>1403</v>
      </c>
      <c r="C23">
        <v>1419</v>
      </c>
      <c r="D23" s="2">
        <f t="shared" ref="D23:D34" si="5">AVERAGE(B23:C23)</f>
        <v>1411</v>
      </c>
      <c r="E23" s="2">
        <f>AVERAGE(D23,D34)-$D$24</f>
        <v>1304.25</v>
      </c>
      <c r="H23" s="2">
        <f>E23*100/$E$23</f>
        <v>100</v>
      </c>
      <c r="J23" s="7"/>
    </row>
    <row r="24" spans="1:11" ht="25.5" x14ac:dyDescent="0.2">
      <c r="A24" s="29" t="s">
        <v>856</v>
      </c>
      <c r="B24">
        <v>38</v>
      </c>
      <c r="C24">
        <v>31</v>
      </c>
      <c r="D24" s="2">
        <f t="shared" si="5"/>
        <v>34.5</v>
      </c>
      <c r="E24" s="2">
        <f t="shared" ref="E24:E33" si="6">D24-$D$24</f>
        <v>0</v>
      </c>
      <c r="H24" s="2"/>
    </row>
    <row r="25" spans="1:11" x14ac:dyDescent="0.2">
      <c r="A25" s="9"/>
      <c r="B25">
        <v>191</v>
      </c>
      <c r="C25">
        <v>214</v>
      </c>
      <c r="D25" s="2">
        <f t="shared" si="5"/>
        <v>202.5</v>
      </c>
      <c r="E25" s="2">
        <f t="shared" si="6"/>
        <v>168</v>
      </c>
      <c r="F25" s="3">
        <v>1.0000000000000001E-5</v>
      </c>
      <c r="G25" s="2">
        <f>LOG(F25)</f>
        <v>-5</v>
      </c>
      <c r="H25" s="2">
        <f t="shared" ref="H25:H33" si="7">E25*100/$E$23</f>
        <v>12.880966072455434</v>
      </c>
    </row>
    <row r="26" spans="1:11" x14ac:dyDescent="0.2">
      <c r="A26" s="17"/>
      <c r="B26">
        <v>466</v>
      </c>
      <c r="C26">
        <v>439</v>
      </c>
      <c r="D26" s="2">
        <f t="shared" si="5"/>
        <v>452.5</v>
      </c>
      <c r="E26" s="2">
        <f t="shared" si="6"/>
        <v>418</v>
      </c>
      <c r="F26" s="3">
        <f t="shared" ref="F26:F33" si="8">F25*0.3162</f>
        <v>3.162E-6</v>
      </c>
      <c r="G26" s="2">
        <f t="shared" ref="G26:G33" si="9">LOG(F26)</f>
        <v>-5.5000381344038098</v>
      </c>
      <c r="H26" s="2">
        <f t="shared" si="7"/>
        <v>32.049070346942685</v>
      </c>
    </row>
    <row r="27" spans="1:11" x14ac:dyDescent="0.2">
      <c r="A27" s="18"/>
      <c r="B27">
        <v>820</v>
      </c>
      <c r="C27">
        <v>778</v>
      </c>
      <c r="D27" s="2">
        <f t="shared" si="5"/>
        <v>799</v>
      </c>
      <c r="E27" s="2">
        <f t="shared" si="6"/>
        <v>764.5</v>
      </c>
      <c r="F27" s="3">
        <f t="shared" si="8"/>
        <v>9.9982439999999994E-7</v>
      </c>
      <c r="G27" s="2">
        <f t="shared" si="9"/>
        <v>-6.0000762688076197</v>
      </c>
      <c r="H27" s="2">
        <f t="shared" si="7"/>
        <v>58.61606287138202</v>
      </c>
    </row>
    <row r="28" spans="1:11" ht="15" x14ac:dyDescent="0.2">
      <c r="A28" s="24"/>
      <c r="B28">
        <v>1187</v>
      </c>
      <c r="C28">
        <v>1153</v>
      </c>
      <c r="D28" s="2">
        <f t="shared" si="5"/>
        <v>1170</v>
      </c>
      <c r="E28" s="2">
        <f t="shared" si="6"/>
        <v>1135.5</v>
      </c>
      <c r="F28" s="3">
        <f t="shared" si="8"/>
        <v>3.1614447527999998E-7</v>
      </c>
      <c r="G28" s="2">
        <f t="shared" si="9"/>
        <v>-6.5001144032114295</v>
      </c>
      <c r="H28" s="2">
        <f t="shared" si="7"/>
        <v>87.06152961472111</v>
      </c>
    </row>
    <row r="29" spans="1:11" x14ac:dyDescent="0.2">
      <c r="B29">
        <v>1367</v>
      </c>
      <c r="C29">
        <v>1395</v>
      </c>
      <c r="D29" s="2">
        <f t="shared" si="5"/>
        <v>1381</v>
      </c>
      <c r="E29" s="2">
        <f t="shared" si="6"/>
        <v>1346.5</v>
      </c>
      <c r="F29" s="3">
        <f t="shared" si="8"/>
        <v>9.9964883083535985E-8</v>
      </c>
      <c r="G29" s="2">
        <f t="shared" si="9"/>
        <v>-7.0001525376152394</v>
      </c>
      <c r="H29" s="2">
        <f t="shared" si="7"/>
        <v>103.23940962238835</v>
      </c>
    </row>
    <row r="30" spans="1:11" x14ac:dyDescent="0.2">
      <c r="A30"/>
      <c r="B30">
        <v>1370</v>
      </c>
      <c r="C30">
        <v>1441</v>
      </c>
      <c r="D30" s="2">
        <f t="shared" si="5"/>
        <v>1405.5</v>
      </c>
      <c r="E30" s="2">
        <f t="shared" si="6"/>
        <v>1371</v>
      </c>
      <c r="F30" s="3">
        <f t="shared" si="8"/>
        <v>3.1608896031014074E-8</v>
      </c>
      <c r="G30" s="2">
        <f t="shared" si="9"/>
        <v>-7.5001906720190492</v>
      </c>
      <c r="H30" s="2">
        <f t="shared" si="7"/>
        <v>105.11788384128809</v>
      </c>
    </row>
    <row r="31" spans="1:11" x14ac:dyDescent="0.2">
      <c r="B31">
        <v>1386</v>
      </c>
      <c r="C31">
        <v>1427</v>
      </c>
      <c r="D31" s="2">
        <f t="shared" si="5"/>
        <v>1406.5</v>
      </c>
      <c r="E31" s="2">
        <f t="shared" si="6"/>
        <v>1372</v>
      </c>
      <c r="F31" s="3">
        <f t="shared" si="8"/>
        <v>9.9947329250066497E-9</v>
      </c>
      <c r="G31" s="2">
        <f t="shared" si="9"/>
        <v>-8.0002288064228591</v>
      </c>
      <c r="H31" s="2">
        <f t="shared" si="7"/>
        <v>105.19455625838604</v>
      </c>
    </row>
    <row r="32" spans="1:11" x14ac:dyDescent="0.2">
      <c r="B32">
        <v>1319</v>
      </c>
      <c r="C32">
        <v>1438</v>
      </c>
      <c r="D32" s="2">
        <f t="shared" si="5"/>
        <v>1378.5</v>
      </c>
      <c r="E32" s="2">
        <f t="shared" si="6"/>
        <v>1344</v>
      </c>
      <c r="F32" s="3">
        <f t="shared" si="8"/>
        <v>3.1603345508871026E-9</v>
      </c>
      <c r="G32" s="2">
        <f t="shared" si="9"/>
        <v>-8.500266940826668</v>
      </c>
      <c r="H32" s="2">
        <f t="shared" si="7"/>
        <v>103.04772857964348</v>
      </c>
    </row>
    <row r="33" spans="1:11" x14ac:dyDescent="0.2">
      <c r="B33">
        <v>1388</v>
      </c>
      <c r="C33">
        <v>1375</v>
      </c>
      <c r="D33" s="2">
        <f t="shared" si="5"/>
        <v>1381.5</v>
      </c>
      <c r="E33" s="2">
        <f t="shared" si="6"/>
        <v>1347</v>
      </c>
      <c r="F33" s="3">
        <f t="shared" si="8"/>
        <v>9.992977849905017E-10</v>
      </c>
      <c r="G33" s="2">
        <f t="shared" si="9"/>
        <v>-9.0003050752304787</v>
      </c>
      <c r="H33" s="2">
        <f t="shared" si="7"/>
        <v>103.27774583093732</v>
      </c>
    </row>
    <row r="34" spans="1:11" x14ac:dyDescent="0.2">
      <c r="B34">
        <v>1222</v>
      </c>
      <c r="C34">
        <v>1311</v>
      </c>
      <c r="D34" s="2">
        <f t="shared" si="5"/>
        <v>1266.5</v>
      </c>
      <c r="E34" s="2"/>
      <c r="F34" s="3"/>
      <c r="G34" s="2"/>
      <c r="H34" s="2"/>
    </row>
    <row r="35" spans="1:11" x14ac:dyDescent="0.2">
      <c r="D35" t="s">
        <v>101</v>
      </c>
      <c r="E35" t="s">
        <v>102</v>
      </c>
      <c r="F35" t="s">
        <v>103</v>
      </c>
      <c r="G35" t="s">
        <v>104</v>
      </c>
      <c r="H35" s="7" t="s">
        <v>105</v>
      </c>
    </row>
    <row r="36" spans="1:11" x14ac:dyDescent="0.2">
      <c r="A36" s="16" t="s">
        <v>108</v>
      </c>
      <c r="B36">
        <v>1338</v>
      </c>
      <c r="C36">
        <v>1384</v>
      </c>
      <c r="D36" s="2">
        <f t="shared" ref="D36:D47" si="10">AVERAGE(B36:C36)</f>
        <v>1361</v>
      </c>
      <c r="E36" s="2">
        <f>AVERAGE(D36,D47)-$D$37</f>
        <v>1290</v>
      </c>
      <c r="H36" s="2">
        <f>E36*100/$E$36</f>
        <v>100</v>
      </c>
      <c r="J36" s="7"/>
    </row>
    <row r="37" spans="1:11" x14ac:dyDescent="0.2">
      <c r="A37" s="29" t="s">
        <v>873</v>
      </c>
      <c r="B37">
        <v>33</v>
      </c>
      <c r="C37">
        <v>32</v>
      </c>
      <c r="D37" s="2">
        <f t="shared" si="10"/>
        <v>32.5</v>
      </c>
      <c r="E37" s="2">
        <f t="shared" ref="E37:E46" si="11">D37-$D$37</f>
        <v>0</v>
      </c>
      <c r="H37" s="2"/>
    </row>
    <row r="38" spans="1:11" x14ac:dyDescent="0.2">
      <c r="A38" s="9"/>
      <c r="B38">
        <v>83</v>
      </c>
      <c r="C38">
        <v>95</v>
      </c>
      <c r="D38" s="2">
        <f t="shared" si="10"/>
        <v>89</v>
      </c>
      <c r="E38" s="2">
        <f t="shared" si="11"/>
        <v>56.5</v>
      </c>
      <c r="F38" s="3">
        <v>1.0000000000000001E-5</v>
      </c>
      <c r="G38" s="2">
        <f>LOG(F38)</f>
        <v>-5</v>
      </c>
      <c r="H38" s="2">
        <f t="shared" ref="H38:H46" si="12">E38*100/$E$36</f>
        <v>4.3798449612403099</v>
      </c>
    </row>
    <row r="39" spans="1:11" x14ac:dyDescent="0.2">
      <c r="A39" s="17"/>
      <c r="B39">
        <v>158</v>
      </c>
      <c r="C39">
        <v>153</v>
      </c>
      <c r="D39" s="2">
        <f t="shared" si="10"/>
        <v>155.5</v>
      </c>
      <c r="E39" s="2">
        <f t="shared" si="11"/>
        <v>123</v>
      </c>
      <c r="F39" s="3">
        <f t="shared" ref="F39:F46" si="13">F38*0.3162</f>
        <v>3.162E-6</v>
      </c>
      <c r="G39" s="2">
        <f t="shared" ref="G39:G46" si="14">LOG(F39)</f>
        <v>-5.5000381344038098</v>
      </c>
      <c r="H39" s="2">
        <f t="shared" si="12"/>
        <v>9.5348837209302317</v>
      </c>
    </row>
    <row r="40" spans="1:11" x14ac:dyDescent="0.2">
      <c r="A40" s="9"/>
      <c r="B40">
        <v>367</v>
      </c>
      <c r="C40">
        <v>350</v>
      </c>
      <c r="D40" s="2">
        <f t="shared" si="10"/>
        <v>358.5</v>
      </c>
      <c r="E40" s="2">
        <f t="shared" si="11"/>
        <v>326</v>
      </c>
      <c r="F40" s="3">
        <f t="shared" si="13"/>
        <v>9.9982439999999994E-7</v>
      </c>
      <c r="G40" s="2">
        <f t="shared" si="14"/>
        <v>-6.0000762688076197</v>
      </c>
      <c r="H40" s="2">
        <f t="shared" si="12"/>
        <v>25.271317829457363</v>
      </c>
      <c r="K40" s="9"/>
    </row>
    <row r="41" spans="1:11" x14ac:dyDescent="0.2">
      <c r="B41">
        <v>687</v>
      </c>
      <c r="C41">
        <v>702</v>
      </c>
      <c r="D41" s="2">
        <f t="shared" si="10"/>
        <v>694.5</v>
      </c>
      <c r="E41" s="2">
        <f t="shared" si="11"/>
        <v>662</v>
      </c>
      <c r="F41" s="3">
        <f t="shared" si="13"/>
        <v>3.1614447527999998E-7</v>
      </c>
      <c r="G41" s="2">
        <f t="shared" si="14"/>
        <v>-6.5001144032114295</v>
      </c>
      <c r="H41" s="2">
        <f t="shared" si="12"/>
        <v>51.31782945736434</v>
      </c>
      <c r="K41" s="9"/>
    </row>
    <row r="42" spans="1:11" x14ac:dyDescent="0.2">
      <c r="B42">
        <v>1069</v>
      </c>
      <c r="C42">
        <v>1012</v>
      </c>
      <c r="D42" s="2">
        <f t="shared" si="10"/>
        <v>1040.5</v>
      </c>
      <c r="E42" s="2">
        <f t="shared" si="11"/>
        <v>1008</v>
      </c>
      <c r="F42" s="3">
        <f t="shared" si="13"/>
        <v>9.9964883083535985E-8</v>
      </c>
      <c r="G42" s="2">
        <f t="shared" si="14"/>
        <v>-7.0001525376152394</v>
      </c>
      <c r="H42" s="2">
        <f t="shared" si="12"/>
        <v>78.139534883720927</v>
      </c>
      <c r="K42" s="9"/>
    </row>
    <row r="43" spans="1:11" x14ac:dyDescent="0.2">
      <c r="A43"/>
      <c r="B43">
        <v>1263</v>
      </c>
      <c r="C43">
        <v>1273</v>
      </c>
      <c r="D43" s="2">
        <f t="shared" si="10"/>
        <v>1268</v>
      </c>
      <c r="E43" s="2">
        <f t="shared" si="11"/>
        <v>1235.5</v>
      </c>
      <c r="F43" s="3">
        <f t="shared" si="13"/>
        <v>3.1608896031014074E-8</v>
      </c>
      <c r="G43" s="2">
        <f t="shared" si="14"/>
        <v>-7.5001906720190492</v>
      </c>
      <c r="H43" s="2">
        <f t="shared" si="12"/>
        <v>95.775193798449607</v>
      </c>
      <c r="K43" s="9"/>
    </row>
    <row r="44" spans="1:11" x14ac:dyDescent="0.2">
      <c r="B44">
        <v>1379</v>
      </c>
      <c r="C44">
        <v>1366</v>
      </c>
      <c r="D44" s="2">
        <f t="shared" si="10"/>
        <v>1372.5</v>
      </c>
      <c r="E44" s="2">
        <f t="shared" si="11"/>
        <v>1340</v>
      </c>
      <c r="F44" s="3">
        <f t="shared" si="13"/>
        <v>9.9947329250066497E-9</v>
      </c>
      <c r="G44" s="2">
        <f t="shared" si="14"/>
        <v>-8.0002288064228591</v>
      </c>
      <c r="H44" s="2">
        <f t="shared" si="12"/>
        <v>103.87596899224806</v>
      </c>
    </row>
    <row r="45" spans="1:11" x14ac:dyDescent="0.2">
      <c r="B45">
        <v>1368</v>
      </c>
      <c r="C45">
        <v>1385</v>
      </c>
      <c r="D45" s="2">
        <f t="shared" si="10"/>
        <v>1376.5</v>
      </c>
      <c r="E45" s="2">
        <f t="shared" si="11"/>
        <v>1344</v>
      </c>
      <c r="F45" s="3">
        <f t="shared" si="13"/>
        <v>3.1603345508871026E-9</v>
      </c>
      <c r="G45" s="2">
        <f t="shared" si="14"/>
        <v>-8.500266940826668</v>
      </c>
      <c r="H45" s="2">
        <f t="shared" si="12"/>
        <v>104.18604651162791</v>
      </c>
    </row>
    <row r="46" spans="1:11" x14ac:dyDescent="0.2">
      <c r="B46">
        <v>1401</v>
      </c>
      <c r="C46">
        <v>1328</v>
      </c>
      <c r="D46" s="2">
        <f t="shared" si="10"/>
        <v>1364.5</v>
      </c>
      <c r="E46" s="2">
        <f t="shared" si="11"/>
        <v>1332</v>
      </c>
      <c r="F46" s="3">
        <f t="shared" si="13"/>
        <v>9.992977849905017E-10</v>
      </c>
      <c r="G46" s="2">
        <f t="shared" si="14"/>
        <v>-9.0003050752304787</v>
      </c>
      <c r="H46" s="2">
        <f t="shared" si="12"/>
        <v>103.25581395348837</v>
      </c>
    </row>
    <row r="47" spans="1:11" x14ac:dyDescent="0.2">
      <c r="B47">
        <v>1311</v>
      </c>
      <c r="C47">
        <v>1257</v>
      </c>
      <c r="D47" s="2">
        <f t="shared" si="10"/>
        <v>1284</v>
      </c>
      <c r="E47" s="2"/>
      <c r="F47" s="3"/>
      <c r="G47" s="2"/>
      <c r="H47" s="2"/>
    </row>
    <row r="48" spans="1:11" x14ac:dyDescent="0.2">
      <c r="D48" t="s">
        <v>101</v>
      </c>
      <c r="E48" t="s">
        <v>102</v>
      </c>
      <c r="F48" t="s">
        <v>103</v>
      </c>
      <c r="G48" t="s">
        <v>104</v>
      </c>
      <c r="H48" s="7" t="s">
        <v>105</v>
      </c>
    </row>
    <row r="49" spans="1:10" x14ac:dyDescent="0.2">
      <c r="A49" s="16" t="s">
        <v>109</v>
      </c>
      <c r="B49">
        <v>1397</v>
      </c>
      <c r="C49">
        <v>1268</v>
      </c>
      <c r="D49" s="2">
        <f t="shared" ref="D49:D60" si="15">AVERAGE(B49:C49)</f>
        <v>1332.5</v>
      </c>
      <c r="E49" s="2">
        <f>AVERAGE(D49,D60)-$D$50</f>
        <v>1276.75</v>
      </c>
      <c r="H49" s="2">
        <f>E49*100/$E$49</f>
        <v>100</v>
      </c>
      <c r="J49" s="7"/>
    </row>
    <row r="50" spans="1:10" x14ac:dyDescent="0.2">
      <c r="A50" s="16" t="s">
        <v>853</v>
      </c>
      <c r="B50">
        <v>33</v>
      </c>
      <c r="C50">
        <v>32</v>
      </c>
      <c r="D50" s="2">
        <f t="shared" si="15"/>
        <v>32.5</v>
      </c>
      <c r="E50" s="2">
        <f t="shared" ref="E50:E59" si="16">D50-$D$50</f>
        <v>0</v>
      </c>
      <c r="H50" s="2"/>
    </row>
    <row r="51" spans="1:10" x14ac:dyDescent="0.2">
      <c r="A51" s="9"/>
      <c r="B51">
        <v>143</v>
      </c>
      <c r="C51">
        <v>126</v>
      </c>
      <c r="D51" s="2">
        <f t="shared" si="15"/>
        <v>134.5</v>
      </c>
      <c r="E51" s="2">
        <f t="shared" si="16"/>
        <v>102</v>
      </c>
      <c r="F51" s="3">
        <v>1.0000000000000001E-5</v>
      </c>
      <c r="G51" s="2">
        <f>LOG(F51)</f>
        <v>-5</v>
      </c>
      <c r="H51" s="2">
        <f t="shared" ref="H51:H59" si="17">E51*100/$E$49</f>
        <v>7.9890346583121206</v>
      </c>
    </row>
    <row r="52" spans="1:10" x14ac:dyDescent="0.2">
      <c r="A52" s="17"/>
      <c r="B52">
        <v>251</v>
      </c>
      <c r="C52">
        <v>238</v>
      </c>
      <c r="D52" s="2">
        <f t="shared" si="15"/>
        <v>244.5</v>
      </c>
      <c r="E52" s="2">
        <f t="shared" si="16"/>
        <v>212</v>
      </c>
      <c r="F52" s="3">
        <f t="shared" ref="F52:F59" si="18">F51*0.3162</f>
        <v>3.162E-6</v>
      </c>
      <c r="G52" s="2">
        <f t="shared" ref="G52:G59" si="19">LOG(F52)</f>
        <v>-5.5000381344038098</v>
      </c>
      <c r="H52" s="2">
        <f t="shared" si="17"/>
        <v>16.604660270217348</v>
      </c>
    </row>
    <row r="53" spans="1:10" x14ac:dyDescent="0.2">
      <c r="A53" s="9"/>
      <c r="B53">
        <v>481</v>
      </c>
      <c r="C53">
        <v>455</v>
      </c>
      <c r="D53" s="2">
        <f t="shared" si="15"/>
        <v>468</v>
      </c>
      <c r="E53" s="2">
        <f t="shared" si="16"/>
        <v>435.5</v>
      </c>
      <c r="F53" s="3">
        <f t="shared" si="18"/>
        <v>9.9982439999999994E-7</v>
      </c>
      <c r="G53" s="2">
        <f t="shared" si="19"/>
        <v>-6.0000762688076197</v>
      </c>
      <c r="H53" s="2">
        <f t="shared" si="17"/>
        <v>34.11004503622479</v>
      </c>
    </row>
    <row r="54" spans="1:10" x14ac:dyDescent="0.2">
      <c r="B54">
        <v>892</v>
      </c>
      <c r="C54">
        <v>843</v>
      </c>
      <c r="D54" s="2">
        <f t="shared" si="15"/>
        <v>867.5</v>
      </c>
      <c r="E54" s="2">
        <f t="shared" si="16"/>
        <v>835</v>
      </c>
      <c r="F54" s="3">
        <f t="shared" si="18"/>
        <v>3.1614447527999998E-7</v>
      </c>
      <c r="G54" s="2">
        <f t="shared" si="19"/>
        <v>-6.5001144032114295</v>
      </c>
      <c r="H54" s="2">
        <f t="shared" si="17"/>
        <v>65.400430781280591</v>
      </c>
    </row>
    <row r="55" spans="1:10" x14ac:dyDescent="0.2">
      <c r="A55"/>
      <c r="B55">
        <v>1144</v>
      </c>
      <c r="C55">
        <v>1160</v>
      </c>
      <c r="D55" s="2">
        <f t="shared" si="15"/>
        <v>1152</v>
      </c>
      <c r="E55" s="2">
        <f t="shared" si="16"/>
        <v>1119.5</v>
      </c>
      <c r="F55" s="3">
        <f t="shared" si="18"/>
        <v>9.9964883083535985E-8</v>
      </c>
      <c r="G55" s="2">
        <f t="shared" si="19"/>
        <v>-7.0001525376152394</v>
      </c>
      <c r="H55" s="2">
        <f t="shared" si="17"/>
        <v>87.683571568435482</v>
      </c>
    </row>
    <row r="56" spans="1:10" x14ac:dyDescent="0.2">
      <c r="A56"/>
      <c r="B56">
        <v>1422</v>
      </c>
      <c r="C56">
        <v>1377</v>
      </c>
      <c r="D56" s="2">
        <f t="shared" si="15"/>
        <v>1399.5</v>
      </c>
      <c r="E56" s="2">
        <f t="shared" si="16"/>
        <v>1367</v>
      </c>
      <c r="F56" s="3">
        <f t="shared" si="18"/>
        <v>3.1608896031014074E-8</v>
      </c>
      <c r="G56" s="2">
        <f t="shared" si="19"/>
        <v>-7.5001906720190492</v>
      </c>
      <c r="H56" s="2">
        <f t="shared" si="17"/>
        <v>107.06872919522225</v>
      </c>
    </row>
    <row r="57" spans="1:10" x14ac:dyDescent="0.2">
      <c r="B57">
        <v>1391</v>
      </c>
      <c r="C57">
        <v>1380</v>
      </c>
      <c r="D57" s="2">
        <f t="shared" si="15"/>
        <v>1385.5</v>
      </c>
      <c r="E57" s="2">
        <f t="shared" si="16"/>
        <v>1353</v>
      </c>
      <c r="F57" s="3">
        <f t="shared" si="18"/>
        <v>9.9947329250066497E-9</v>
      </c>
      <c r="G57" s="2">
        <f t="shared" si="19"/>
        <v>-8.0002288064228591</v>
      </c>
      <c r="H57" s="2">
        <f t="shared" si="17"/>
        <v>105.97219502643431</v>
      </c>
    </row>
    <row r="58" spans="1:10" x14ac:dyDescent="0.2">
      <c r="B58">
        <v>1388</v>
      </c>
      <c r="C58">
        <v>1388</v>
      </c>
      <c r="D58" s="2">
        <f t="shared" si="15"/>
        <v>1388</v>
      </c>
      <c r="E58" s="2">
        <f t="shared" si="16"/>
        <v>1355.5</v>
      </c>
      <c r="F58" s="3">
        <f t="shared" si="18"/>
        <v>3.1603345508871026E-9</v>
      </c>
      <c r="G58" s="2">
        <f t="shared" si="19"/>
        <v>-8.500266940826668</v>
      </c>
      <c r="H58" s="2">
        <f t="shared" si="17"/>
        <v>106.16800469943215</v>
      </c>
    </row>
    <row r="59" spans="1:10" x14ac:dyDescent="0.2">
      <c r="A59"/>
      <c r="B59">
        <v>1441</v>
      </c>
      <c r="C59">
        <v>1419</v>
      </c>
      <c r="D59" s="2">
        <f t="shared" si="15"/>
        <v>1430</v>
      </c>
      <c r="E59" s="2">
        <f t="shared" si="16"/>
        <v>1397.5</v>
      </c>
      <c r="F59" s="3">
        <f t="shared" si="18"/>
        <v>9.992977849905017E-10</v>
      </c>
      <c r="G59" s="2">
        <f t="shared" si="19"/>
        <v>-9.0003050752304787</v>
      </c>
      <c r="H59" s="2">
        <f t="shared" si="17"/>
        <v>109.45760720579597</v>
      </c>
    </row>
    <row r="60" spans="1:10" x14ac:dyDescent="0.2">
      <c r="B60">
        <v>1289</v>
      </c>
      <c r="C60">
        <v>1283</v>
      </c>
      <c r="D60" s="2">
        <f t="shared" si="15"/>
        <v>1286</v>
      </c>
      <c r="E60" s="2"/>
      <c r="F60" s="3"/>
      <c r="G60" s="2"/>
      <c r="H60" s="2"/>
    </row>
    <row r="61" spans="1:10" x14ac:dyDescent="0.2">
      <c r="C61" s="25"/>
      <c r="D61" t="s">
        <v>101</v>
      </c>
      <c r="E61" t="s">
        <v>102</v>
      </c>
      <c r="F61" t="s">
        <v>103</v>
      </c>
      <c r="G61" t="s">
        <v>104</v>
      </c>
      <c r="H61" s="7" t="s">
        <v>105</v>
      </c>
    </row>
    <row r="62" spans="1:10" x14ac:dyDescent="0.2">
      <c r="A62" s="16" t="s">
        <v>110</v>
      </c>
      <c r="B62">
        <v>1435</v>
      </c>
      <c r="C62">
        <v>1345</v>
      </c>
      <c r="D62" s="2">
        <f t="shared" ref="D62:D73" si="20">AVERAGE(B62:C62)</f>
        <v>1390</v>
      </c>
      <c r="E62" s="2">
        <f>AVERAGE(D62,D73)-$D$63</f>
        <v>1318</v>
      </c>
      <c r="H62" s="2">
        <f>E62*100/$E$62</f>
        <v>100</v>
      </c>
      <c r="J62" s="7"/>
    </row>
    <row r="63" spans="1:10" x14ac:dyDescent="0.2">
      <c r="A63" s="17" t="s">
        <v>859</v>
      </c>
      <c r="B63">
        <v>30</v>
      </c>
      <c r="C63">
        <v>37</v>
      </c>
      <c r="D63" s="2">
        <f t="shared" si="20"/>
        <v>33.5</v>
      </c>
      <c r="E63" s="2">
        <f t="shared" ref="E63:E72" si="21">D63-$D$63</f>
        <v>0</v>
      </c>
      <c r="H63" s="2"/>
    </row>
    <row r="64" spans="1:10" x14ac:dyDescent="0.2">
      <c r="A64" s="9"/>
      <c r="B64">
        <v>86</v>
      </c>
      <c r="C64">
        <v>88</v>
      </c>
      <c r="D64" s="2">
        <f t="shared" si="20"/>
        <v>87</v>
      </c>
      <c r="E64" s="2">
        <f t="shared" si="21"/>
        <v>53.5</v>
      </c>
      <c r="F64" s="3">
        <v>1.0000000000000001E-5</v>
      </c>
      <c r="G64" s="2">
        <f>LOG(F64)</f>
        <v>-5</v>
      </c>
      <c r="H64" s="2">
        <f>E64*100/$E$62</f>
        <v>4.0591805766312596</v>
      </c>
    </row>
    <row r="65" spans="1:10" x14ac:dyDescent="0.2">
      <c r="A65" s="17"/>
      <c r="B65">
        <v>218</v>
      </c>
      <c r="C65">
        <v>217</v>
      </c>
      <c r="D65" s="2">
        <f t="shared" si="20"/>
        <v>217.5</v>
      </c>
      <c r="E65" s="2">
        <f t="shared" si="21"/>
        <v>184</v>
      </c>
      <c r="F65" s="3">
        <f t="shared" ref="F65:F72" si="22">F64*0.3162</f>
        <v>3.162E-6</v>
      </c>
      <c r="G65" s="2">
        <f t="shared" ref="G65:G72" si="23">LOG(F65)</f>
        <v>-5.5000381344038098</v>
      </c>
      <c r="H65" s="2">
        <f t="shared" ref="H65:H72" si="24">E65*100/$E$62</f>
        <v>13.960546282245827</v>
      </c>
    </row>
    <row r="66" spans="1:10" ht="15" x14ac:dyDescent="0.2">
      <c r="A66" s="24"/>
      <c r="B66">
        <v>421</v>
      </c>
      <c r="C66">
        <v>485</v>
      </c>
      <c r="D66" s="2">
        <f t="shared" si="20"/>
        <v>453</v>
      </c>
      <c r="E66" s="2">
        <f t="shared" si="21"/>
        <v>419.5</v>
      </c>
      <c r="F66" s="3">
        <f t="shared" si="22"/>
        <v>9.9982439999999994E-7</v>
      </c>
      <c r="G66" s="2">
        <f t="shared" si="23"/>
        <v>-6.0000762688076197</v>
      </c>
      <c r="H66" s="2">
        <f t="shared" si="24"/>
        <v>31.828528072837631</v>
      </c>
    </row>
    <row r="67" spans="1:10" x14ac:dyDescent="0.2">
      <c r="B67">
        <v>996</v>
      </c>
      <c r="C67">
        <v>992</v>
      </c>
      <c r="D67" s="2">
        <f t="shared" si="20"/>
        <v>994</v>
      </c>
      <c r="E67" s="2">
        <f t="shared" si="21"/>
        <v>960.5</v>
      </c>
      <c r="F67" s="3">
        <f t="shared" si="22"/>
        <v>3.1614447527999998E-7</v>
      </c>
      <c r="G67" s="2">
        <f t="shared" si="23"/>
        <v>-6.5001144032114295</v>
      </c>
      <c r="H67" s="2">
        <f t="shared" si="24"/>
        <v>72.87556904400607</v>
      </c>
    </row>
    <row r="68" spans="1:10" x14ac:dyDescent="0.2">
      <c r="A68"/>
      <c r="B68">
        <v>1222</v>
      </c>
      <c r="C68">
        <v>1264</v>
      </c>
      <c r="D68" s="2">
        <f t="shared" si="20"/>
        <v>1243</v>
      </c>
      <c r="E68" s="2">
        <f t="shared" si="21"/>
        <v>1209.5</v>
      </c>
      <c r="F68" s="3">
        <f t="shared" si="22"/>
        <v>9.9964883083535985E-8</v>
      </c>
      <c r="G68" s="2">
        <f t="shared" si="23"/>
        <v>-7.0001525376152394</v>
      </c>
      <c r="H68" s="2">
        <f t="shared" si="24"/>
        <v>91.767830045523525</v>
      </c>
    </row>
    <row r="69" spans="1:10" x14ac:dyDescent="0.2">
      <c r="B69">
        <v>1260</v>
      </c>
      <c r="C69">
        <v>1421</v>
      </c>
      <c r="D69" s="2">
        <f t="shared" si="20"/>
        <v>1340.5</v>
      </c>
      <c r="E69" s="2">
        <f t="shared" si="21"/>
        <v>1307</v>
      </c>
      <c r="F69" s="3">
        <f t="shared" si="22"/>
        <v>3.1608896031014074E-8</v>
      </c>
      <c r="G69" s="2">
        <f t="shared" si="23"/>
        <v>-7.5001906720190492</v>
      </c>
      <c r="H69" s="2">
        <f t="shared" si="24"/>
        <v>99.165402124430955</v>
      </c>
    </row>
    <row r="70" spans="1:10" x14ac:dyDescent="0.2">
      <c r="B70">
        <v>1368</v>
      </c>
      <c r="C70">
        <v>1340</v>
      </c>
      <c r="D70" s="2">
        <f t="shared" si="20"/>
        <v>1354</v>
      </c>
      <c r="E70" s="2">
        <f t="shared" si="21"/>
        <v>1320.5</v>
      </c>
      <c r="F70" s="3">
        <f t="shared" si="22"/>
        <v>9.9947329250066497E-9</v>
      </c>
      <c r="G70" s="2">
        <f t="shared" si="23"/>
        <v>-8.0002288064228591</v>
      </c>
      <c r="H70" s="2">
        <f t="shared" si="24"/>
        <v>100.1896813353566</v>
      </c>
    </row>
    <row r="71" spans="1:10" x14ac:dyDescent="0.2">
      <c r="A71"/>
      <c r="B71">
        <v>1345</v>
      </c>
      <c r="C71">
        <v>1360</v>
      </c>
      <c r="D71" s="2">
        <f t="shared" si="20"/>
        <v>1352.5</v>
      </c>
      <c r="E71" s="2">
        <f t="shared" si="21"/>
        <v>1319</v>
      </c>
      <c r="F71" s="3">
        <f t="shared" si="22"/>
        <v>3.1603345508871026E-9</v>
      </c>
      <c r="G71" s="2">
        <f t="shared" si="23"/>
        <v>-8.500266940826668</v>
      </c>
      <c r="H71" s="2">
        <f t="shared" si="24"/>
        <v>100.07587253414265</v>
      </c>
    </row>
    <row r="72" spans="1:10" x14ac:dyDescent="0.2">
      <c r="B72">
        <v>1387</v>
      </c>
      <c r="C72">
        <v>1330</v>
      </c>
      <c r="D72" s="2">
        <f t="shared" si="20"/>
        <v>1358.5</v>
      </c>
      <c r="E72" s="2">
        <f t="shared" si="21"/>
        <v>1325</v>
      </c>
      <c r="F72" s="3">
        <f t="shared" si="22"/>
        <v>9.992977849905017E-10</v>
      </c>
      <c r="G72" s="2">
        <f t="shared" si="23"/>
        <v>-9.0003050752304787</v>
      </c>
      <c r="H72" s="2">
        <f t="shared" si="24"/>
        <v>100.53110773899849</v>
      </c>
    </row>
    <row r="73" spans="1:10" x14ac:dyDescent="0.2">
      <c r="B73">
        <v>1279</v>
      </c>
      <c r="C73">
        <v>1347</v>
      </c>
      <c r="D73" s="2">
        <f t="shared" si="20"/>
        <v>1313</v>
      </c>
      <c r="E73" s="2"/>
      <c r="F73" s="3"/>
      <c r="G73" s="2"/>
      <c r="H73" s="2"/>
    </row>
    <row r="74" spans="1:10" x14ac:dyDescent="0.2">
      <c r="D74" t="s">
        <v>101</v>
      </c>
      <c r="E74" t="s">
        <v>102</v>
      </c>
      <c r="F74" t="s">
        <v>103</v>
      </c>
      <c r="G74" t="s">
        <v>104</v>
      </c>
      <c r="H74" s="7" t="s">
        <v>105</v>
      </c>
    </row>
    <row r="75" spans="1:10" x14ac:dyDescent="0.2">
      <c r="A75" s="16" t="s">
        <v>111</v>
      </c>
      <c r="B75">
        <v>1351</v>
      </c>
      <c r="C75">
        <v>1302</v>
      </c>
      <c r="D75" s="2">
        <f>AVERAGE(B75:C75)</f>
        <v>1326.5</v>
      </c>
      <c r="E75" s="2">
        <f>AVERAGE(D75,D86)-$D$76</f>
        <v>1313.5</v>
      </c>
      <c r="H75" s="2">
        <f>E75*100/$E$75</f>
        <v>100</v>
      </c>
      <c r="J75" s="7"/>
    </row>
    <row r="76" spans="1:10" x14ac:dyDescent="0.2">
      <c r="A76" s="16" t="s">
        <v>875</v>
      </c>
      <c r="B76">
        <v>35</v>
      </c>
      <c r="C76">
        <v>27</v>
      </c>
      <c r="D76" s="2">
        <f t="shared" ref="D76:D86" si="25">AVERAGE(B76:C76)</f>
        <v>31</v>
      </c>
      <c r="E76" s="2">
        <f t="shared" ref="E76:E86" si="26">D76-$D$76</f>
        <v>0</v>
      </c>
      <c r="H76" s="2"/>
    </row>
    <row r="77" spans="1:10" x14ac:dyDescent="0.2">
      <c r="A77" s="9"/>
      <c r="B77">
        <v>70</v>
      </c>
      <c r="C77">
        <v>57</v>
      </c>
      <c r="D77" s="2">
        <f t="shared" si="25"/>
        <v>63.5</v>
      </c>
      <c r="E77" s="2">
        <f t="shared" si="26"/>
        <v>32.5</v>
      </c>
      <c r="F77" s="3">
        <v>9.9999999999999995E-8</v>
      </c>
      <c r="G77" s="2">
        <f>LOG(F77)</f>
        <v>-7</v>
      </c>
      <c r="H77" s="2">
        <f t="shared" ref="H77:H85" si="27">E77*100/$E$75</f>
        <v>2.4743052912066998</v>
      </c>
    </row>
    <row r="78" spans="1:10" x14ac:dyDescent="0.2">
      <c r="A78" s="17"/>
      <c r="B78">
        <v>134</v>
      </c>
      <c r="C78">
        <v>144</v>
      </c>
      <c r="D78" s="2">
        <f t="shared" si="25"/>
        <v>139</v>
      </c>
      <c r="E78" s="2">
        <f t="shared" si="26"/>
        <v>108</v>
      </c>
      <c r="F78" s="3">
        <f t="shared" ref="F78:F85" si="28">F77*0.3162</f>
        <v>3.1619999999999995E-8</v>
      </c>
      <c r="G78" s="2">
        <f t="shared" ref="G78:G85" si="29">LOG(F78)</f>
        <v>-7.5000381344038098</v>
      </c>
      <c r="H78" s="2">
        <f t="shared" si="27"/>
        <v>8.2223068138561093</v>
      </c>
    </row>
    <row r="79" spans="1:10" x14ac:dyDescent="0.2">
      <c r="B79">
        <v>321</v>
      </c>
      <c r="C79">
        <v>320</v>
      </c>
      <c r="D79" s="2">
        <f t="shared" si="25"/>
        <v>320.5</v>
      </c>
      <c r="E79" s="2">
        <f t="shared" si="26"/>
        <v>289.5</v>
      </c>
      <c r="F79" s="3">
        <f t="shared" si="28"/>
        <v>9.998243999999998E-9</v>
      </c>
      <c r="G79" s="2">
        <f t="shared" si="29"/>
        <v>-8.0000762688076197</v>
      </c>
      <c r="H79" s="2">
        <f t="shared" si="27"/>
        <v>22.040350209364295</v>
      </c>
    </row>
    <row r="80" spans="1:10" x14ac:dyDescent="0.2">
      <c r="B80">
        <v>716</v>
      </c>
      <c r="C80">
        <v>680</v>
      </c>
      <c r="D80" s="2">
        <f t="shared" si="25"/>
        <v>698</v>
      </c>
      <c r="E80" s="2">
        <f t="shared" si="26"/>
        <v>667</v>
      </c>
      <c r="F80" s="3">
        <f t="shared" si="28"/>
        <v>3.161444752799999E-9</v>
      </c>
      <c r="G80" s="2">
        <f t="shared" si="29"/>
        <v>-8.5001144032114286</v>
      </c>
      <c r="H80" s="2">
        <f t="shared" si="27"/>
        <v>50.780357822611343</v>
      </c>
    </row>
    <row r="81" spans="1:10" x14ac:dyDescent="0.2">
      <c r="B81">
        <v>1011</v>
      </c>
      <c r="C81">
        <v>1075</v>
      </c>
      <c r="D81" s="2">
        <f t="shared" si="25"/>
        <v>1043</v>
      </c>
      <c r="E81" s="2">
        <f t="shared" si="26"/>
        <v>1012</v>
      </c>
      <c r="F81" s="3">
        <f t="shared" si="28"/>
        <v>9.9964883083535969E-10</v>
      </c>
      <c r="G81" s="2">
        <f t="shared" si="29"/>
        <v>-9.0001525376152394</v>
      </c>
      <c r="H81" s="2">
        <f t="shared" si="27"/>
        <v>77.04606014465169</v>
      </c>
    </row>
    <row r="82" spans="1:10" x14ac:dyDescent="0.2">
      <c r="B82">
        <v>1277</v>
      </c>
      <c r="C82">
        <v>1329</v>
      </c>
      <c r="D82" s="2">
        <f t="shared" si="25"/>
        <v>1303</v>
      </c>
      <c r="E82" s="2">
        <f t="shared" si="26"/>
        <v>1272</v>
      </c>
      <c r="F82" s="3">
        <f t="shared" si="28"/>
        <v>3.1608896031014073E-10</v>
      </c>
      <c r="G82" s="2">
        <f t="shared" si="29"/>
        <v>-9.5001906720190483</v>
      </c>
      <c r="H82" s="2">
        <f t="shared" si="27"/>
        <v>96.840502474305296</v>
      </c>
    </row>
    <row r="83" spans="1:10" x14ac:dyDescent="0.2">
      <c r="B83">
        <v>1395</v>
      </c>
      <c r="C83">
        <v>1335</v>
      </c>
      <c r="D83" s="2">
        <f t="shared" si="25"/>
        <v>1365</v>
      </c>
      <c r="E83" s="2">
        <f t="shared" si="26"/>
        <v>1334</v>
      </c>
      <c r="F83" s="3">
        <f t="shared" si="28"/>
        <v>9.9947329250066487E-11</v>
      </c>
      <c r="G83" s="2">
        <f t="shared" si="29"/>
        <v>-10.000228806422859</v>
      </c>
      <c r="H83" s="2">
        <f t="shared" si="27"/>
        <v>101.56071564522269</v>
      </c>
    </row>
    <row r="84" spans="1:10" x14ac:dyDescent="0.2">
      <c r="A84"/>
      <c r="B84">
        <v>1324</v>
      </c>
      <c r="C84">
        <v>1347</v>
      </c>
      <c r="D84" s="2">
        <f t="shared" si="25"/>
        <v>1335.5</v>
      </c>
      <c r="E84" s="2">
        <f t="shared" si="26"/>
        <v>1304.5</v>
      </c>
      <c r="F84" s="3">
        <f t="shared" si="28"/>
        <v>3.1603345508871023E-11</v>
      </c>
      <c r="G84" s="2">
        <f t="shared" si="29"/>
        <v>-10.500266940826668</v>
      </c>
      <c r="H84" s="2">
        <f t="shared" si="27"/>
        <v>99.314807765511986</v>
      </c>
    </row>
    <row r="85" spans="1:10" x14ac:dyDescent="0.2">
      <c r="A85"/>
      <c r="B85">
        <v>1444</v>
      </c>
      <c r="C85">
        <v>1395</v>
      </c>
      <c r="D85" s="2">
        <f t="shared" si="25"/>
        <v>1419.5</v>
      </c>
      <c r="E85" s="2">
        <f t="shared" si="26"/>
        <v>1388.5</v>
      </c>
      <c r="F85" s="3">
        <f t="shared" si="28"/>
        <v>9.9929778499050173E-12</v>
      </c>
      <c r="G85" s="2">
        <f t="shared" si="29"/>
        <v>-11.000305075230479</v>
      </c>
      <c r="H85" s="2">
        <f t="shared" si="27"/>
        <v>105.70993528740007</v>
      </c>
    </row>
    <row r="86" spans="1:10" x14ac:dyDescent="0.2">
      <c r="B86">
        <v>1396</v>
      </c>
      <c r="C86">
        <v>1329</v>
      </c>
      <c r="D86" s="2">
        <f t="shared" si="25"/>
        <v>1362.5</v>
      </c>
      <c r="E86" s="2">
        <f t="shared" si="26"/>
        <v>1331.5</v>
      </c>
      <c r="F86" s="3"/>
      <c r="G86" s="2"/>
      <c r="H86" s="2"/>
    </row>
    <row r="87" spans="1:10" x14ac:dyDescent="0.2">
      <c r="D87" t="s">
        <v>101</v>
      </c>
      <c r="E87" t="s">
        <v>102</v>
      </c>
      <c r="F87" t="s">
        <v>103</v>
      </c>
      <c r="G87" t="s">
        <v>104</v>
      </c>
      <c r="H87" s="7" t="s">
        <v>105</v>
      </c>
    </row>
    <row r="88" spans="1:10" x14ac:dyDescent="0.2">
      <c r="A88" s="16" t="s">
        <v>112</v>
      </c>
      <c r="B88">
        <v>1338</v>
      </c>
      <c r="C88">
        <v>1369</v>
      </c>
      <c r="D88" s="2">
        <f t="shared" ref="D88:D99" si="30">AVERAGE(B88:C88)</f>
        <v>1353.5</v>
      </c>
      <c r="E88" s="2">
        <f>AVERAGE(D88,D99)-$D$89</f>
        <v>1341.75</v>
      </c>
      <c r="H88" s="2">
        <f>E88*100/$E$88</f>
        <v>100</v>
      </c>
      <c r="J88" s="7"/>
    </row>
    <row r="89" spans="1:10" x14ac:dyDescent="0.2">
      <c r="A89" s="29" t="s">
        <v>858</v>
      </c>
      <c r="B89">
        <v>36</v>
      </c>
      <c r="C89">
        <v>29</v>
      </c>
      <c r="D89" s="2">
        <f t="shared" si="30"/>
        <v>32.5</v>
      </c>
      <c r="E89" s="2">
        <f t="shared" ref="E89:E98" si="31">D89-$D$89</f>
        <v>0</v>
      </c>
      <c r="H89" s="2"/>
    </row>
    <row r="90" spans="1:10" x14ac:dyDescent="0.2">
      <c r="A90" s="9"/>
      <c r="B90">
        <v>346</v>
      </c>
      <c r="C90">
        <v>350</v>
      </c>
      <c r="D90" s="2">
        <f t="shared" si="30"/>
        <v>348</v>
      </c>
      <c r="E90" s="2">
        <f t="shared" si="31"/>
        <v>315.5</v>
      </c>
      <c r="F90" s="3">
        <v>1.0000000000000001E-5</v>
      </c>
      <c r="G90" s="2">
        <f>LOG(F90)</f>
        <v>-5</v>
      </c>
      <c r="H90" s="2">
        <f t="shared" ref="H90:H98" si="32">E90*100/$E$88</f>
        <v>23.514067449226758</v>
      </c>
    </row>
    <row r="91" spans="1:10" x14ac:dyDescent="0.2">
      <c r="A91" s="17"/>
      <c r="B91">
        <v>737</v>
      </c>
      <c r="C91">
        <v>696</v>
      </c>
      <c r="D91" s="2">
        <f t="shared" si="30"/>
        <v>716.5</v>
      </c>
      <c r="E91" s="2">
        <f t="shared" si="31"/>
        <v>684</v>
      </c>
      <c r="F91" s="3">
        <f t="shared" ref="F91:F98" si="33">F90*0.3162</f>
        <v>3.162E-6</v>
      </c>
      <c r="G91" s="2">
        <f t="shared" ref="G91:G98" si="34">LOG(F91)</f>
        <v>-5.5000381344038098</v>
      </c>
      <c r="H91" s="2">
        <f t="shared" si="32"/>
        <v>50.978200111794301</v>
      </c>
    </row>
    <row r="92" spans="1:10" x14ac:dyDescent="0.2">
      <c r="A92"/>
      <c r="B92">
        <v>1019</v>
      </c>
      <c r="C92">
        <v>1037</v>
      </c>
      <c r="D92" s="2">
        <f t="shared" si="30"/>
        <v>1028</v>
      </c>
      <c r="E92" s="2">
        <f t="shared" si="31"/>
        <v>995.5</v>
      </c>
      <c r="F92" s="3">
        <f t="shared" si="33"/>
        <v>9.9982439999999994E-7</v>
      </c>
      <c r="G92" s="2">
        <f t="shared" si="34"/>
        <v>-6.0000762688076197</v>
      </c>
      <c r="H92" s="2">
        <f t="shared" si="32"/>
        <v>74.194149431712319</v>
      </c>
    </row>
    <row r="93" spans="1:10" x14ac:dyDescent="0.2">
      <c r="B93">
        <v>1270</v>
      </c>
      <c r="C93">
        <v>1237</v>
      </c>
      <c r="D93" s="2">
        <f t="shared" si="30"/>
        <v>1253.5</v>
      </c>
      <c r="E93" s="2">
        <f t="shared" si="31"/>
        <v>1221</v>
      </c>
      <c r="F93" s="3">
        <f t="shared" si="33"/>
        <v>3.1614447527999998E-7</v>
      </c>
      <c r="G93" s="2">
        <f t="shared" si="34"/>
        <v>-6.5001144032114295</v>
      </c>
      <c r="H93" s="2">
        <f t="shared" si="32"/>
        <v>91.000558971492453</v>
      </c>
    </row>
    <row r="94" spans="1:10" x14ac:dyDescent="0.2">
      <c r="B94">
        <v>1408</v>
      </c>
      <c r="C94">
        <v>1343</v>
      </c>
      <c r="D94" s="2">
        <f t="shared" si="30"/>
        <v>1375.5</v>
      </c>
      <c r="E94" s="2">
        <f t="shared" si="31"/>
        <v>1343</v>
      </c>
      <c r="F94" s="3">
        <f t="shared" si="33"/>
        <v>9.9964883083535985E-8</v>
      </c>
      <c r="G94" s="2">
        <f t="shared" si="34"/>
        <v>-7.0001525376152394</v>
      </c>
      <c r="H94" s="2">
        <f t="shared" si="32"/>
        <v>100.09316191540898</v>
      </c>
    </row>
    <row r="95" spans="1:10" x14ac:dyDescent="0.2">
      <c r="B95">
        <v>1452</v>
      </c>
      <c r="C95">
        <v>1403</v>
      </c>
      <c r="D95" s="2">
        <f t="shared" si="30"/>
        <v>1427.5</v>
      </c>
      <c r="E95" s="2">
        <f t="shared" si="31"/>
        <v>1395</v>
      </c>
      <c r="F95" s="3">
        <f t="shared" si="33"/>
        <v>3.1608896031014074E-8</v>
      </c>
      <c r="G95" s="2">
        <f t="shared" si="34"/>
        <v>-7.5001906720190492</v>
      </c>
      <c r="H95" s="2">
        <f t="shared" si="32"/>
        <v>103.96869759642259</v>
      </c>
    </row>
    <row r="96" spans="1:10" x14ac:dyDescent="0.2">
      <c r="B96">
        <v>1421</v>
      </c>
      <c r="C96">
        <v>1464</v>
      </c>
      <c r="D96" s="2">
        <f t="shared" si="30"/>
        <v>1442.5</v>
      </c>
      <c r="E96" s="2">
        <f t="shared" si="31"/>
        <v>1410</v>
      </c>
      <c r="F96" s="3">
        <f t="shared" si="33"/>
        <v>9.9947329250066497E-9</v>
      </c>
      <c r="G96" s="2">
        <f t="shared" si="34"/>
        <v>-8.0002288064228591</v>
      </c>
      <c r="H96" s="2">
        <f t="shared" si="32"/>
        <v>105.08664058133036</v>
      </c>
    </row>
    <row r="97" spans="1:10" x14ac:dyDescent="0.2">
      <c r="B97">
        <v>1369</v>
      </c>
      <c r="C97">
        <v>1339</v>
      </c>
      <c r="D97" s="2">
        <f t="shared" si="30"/>
        <v>1354</v>
      </c>
      <c r="E97" s="2">
        <f t="shared" si="31"/>
        <v>1321.5</v>
      </c>
      <c r="F97" s="3">
        <f t="shared" si="33"/>
        <v>3.1603345508871026E-9</v>
      </c>
      <c r="G97" s="2">
        <f t="shared" si="34"/>
        <v>-8.500266940826668</v>
      </c>
      <c r="H97" s="2">
        <f t="shared" si="32"/>
        <v>98.490776970374512</v>
      </c>
    </row>
    <row r="98" spans="1:10" x14ac:dyDescent="0.2">
      <c r="B98">
        <v>1303</v>
      </c>
      <c r="C98">
        <v>1354</v>
      </c>
      <c r="D98" s="2">
        <f t="shared" si="30"/>
        <v>1328.5</v>
      </c>
      <c r="E98" s="2">
        <f t="shared" si="31"/>
        <v>1296</v>
      </c>
      <c r="F98" s="3">
        <f t="shared" si="33"/>
        <v>9.992977849905017E-10</v>
      </c>
      <c r="G98" s="2">
        <f t="shared" si="34"/>
        <v>-9.0003050752304787</v>
      </c>
      <c r="H98" s="2">
        <f t="shared" si="32"/>
        <v>96.590273896031306</v>
      </c>
    </row>
    <row r="99" spans="1:10" x14ac:dyDescent="0.2">
      <c r="A99"/>
      <c r="B99">
        <v>1407</v>
      </c>
      <c r="C99">
        <v>1383</v>
      </c>
      <c r="D99" s="2">
        <f t="shared" si="30"/>
        <v>1395</v>
      </c>
      <c r="E99" s="2"/>
      <c r="F99" s="3"/>
      <c r="G99" s="2"/>
      <c r="H99" s="2"/>
    </row>
    <row r="100" spans="1:10" x14ac:dyDescent="0.2">
      <c r="D100" t="s">
        <v>101</v>
      </c>
      <c r="E100" t="s">
        <v>102</v>
      </c>
      <c r="F100" t="s">
        <v>103</v>
      </c>
      <c r="G100" t="s">
        <v>104</v>
      </c>
      <c r="H100" s="7" t="s">
        <v>105</v>
      </c>
    </row>
    <row r="101" spans="1:10" x14ac:dyDescent="0.2">
      <c r="A101" s="16" t="s">
        <v>113</v>
      </c>
      <c r="B101">
        <v>1354</v>
      </c>
      <c r="C101">
        <v>1389</v>
      </c>
      <c r="D101" s="2">
        <f t="shared" ref="D101:D112" si="35">AVERAGE(B101:C101)</f>
        <v>1371.5</v>
      </c>
      <c r="E101" s="2">
        <f>AVERAGE(D101,D112)-$D$102</f>
        <v>1334.75</v>
      </c>
      <c r="H101" s="2">
        <f>E101*100/$E$101</f>
        <v>100</v>
      </c>
      <c r="J101" s="7"/>
    </row>
    <row r="102" spans="1:10" x14ac:dyDescent="0.2">
      <c r="A102" s="25" t="s">
        <v>860</v>
      </c>
      <c r="B102">
        <v>27</v>
      </c>
      <c r="C102">
        <v>27</v>
      </c>
      <c r="D102" s="2">
        <f t="shared" si="35"/>
        <v>27</v>
      </c>
      <c r="E102" s="2">
        <f t="shared" ref="E102:E111" si="36">D102-$D$102</f>
        <v>0</v>
      </c>
      <c r="H102" s="2"/>
    </row>
    <row r="103" spans="1:10" x14ac:dyDescent="0.2">
      <c r="A103" s="9"/>
      <c r="B103">
        <v>447</v>
      </c>
      <c r="C103">
        <v>424</v>
      </c>
      <c r="D103" s="2">
        <f t="shared" si="35"/>
        <v>435.5</v>
      </c>
      <c r="E103" s="2">
        <f t="shared" si="36"/>
        <v>408.5</v>
      </c>
      <c r="F103" s="3">
        <v>1.0000000000000001E-5</v>
      </c>
      <c r="G103" s="2">
        <f>LOG(F103)</f>
        <v>-5</v>
      </c>
      <c r="H103" s="2">
        <f t="shared" ref="H103:H111" si="37">E103*100/$E$101</f>
        <v>30.604982206405694</v>
      </c>
    </row>
    <row r="104" spans="1:10" x14ac:dyDescent="0.2">
      <c r="A104" s="17"/>
      <c r="B104">
        <v>754</v>
      </c>
      <c r="C104">
        <v>764</v>
      </c>
      <c r="D104" s="2">
        <f t="shared" si="35"/>
        <v>759</v>
      </c>
      <c r="E104" s="2">
        <f t="shared" si="36"/>
        <v>732</v>
      </c>
      <c r="F104" s="3">
        <f t="shared" ref="F104:F111" si="38">F103*0.3162</f>
        <v>3.162E-6</v>
      </c>
      <c r="G104" s="2">
        <f t="shared" ref="G104:G111" si="39">LOG(F104)</f>
        <v>-5.5000381344038098</v>
      </c>
      <c r="H104" s="2">
        <f t="shared" si="37"/>
        <v>54.841730661172505</v>
      </c>
    </row>
    <row r="105" spans="1:10" x14ac:dyDescent="0.2">
      <c r="A105"/>
      <c r="B105">
        <v>1108</v>
      </c>
      <c r="C105">
        <v>1030</v>
      </c>
      <c r="D105" s="2">
        <f t="shared" si="35"/>
        <v>1069</v>
      </c>
      <c r="E105" s="2">
        <f t="shared" si="36"/>
        <v>1042</v>
      </c>
      <c r="F105" s="3">
        <f t="shared" si="38"/>
        <v>9.9982439999999994E-7</v>
      </c>
      <c r="G105" s="2">
        <f t="shared" si="39"/>
        <v>-6.0000762688076197</v>
      </c>
      <c r="H105" s="2">
        <f t="shared" si="37"/>
        <v>78.067053755384904</v>
      </c>
    </row>
    <row r="106" spans="1:10" x14ac:dyDescent="0.2">
      <c r="B106">
        <v>1314</v>
      </c>
      <c r="C106">
        <v>1247</v>
      </c>
      <c r="D106" s="2">
        <f t="shared" si="35"/>
        <v>1280.5</v>
      </c>
      <c r="E106" s="2">
        <f t="shared" si="36"/>
        <v>1253.5</v>
      </c>
      <c r="F106" s="3">
        <f t="shared" si="38"/>
        <v>3.1614447527999998E-7</v>
      </c>
      <c r="G106" s="2">
        <f t="shared" si="39"/>
        <v>-6.5001144032114295</v>
      </c>
      <c r="H106" s="2">
        <f t="shared" si="37"/>
        <v>93.912717737404009</v>
      </c>
    </row>
    <row r="107" spans="1:10" x14ac:dyDescent="0.2">
      <c r="B107">
        <v>1245</v>
      </c>
      <c r="C107">
        <v>1326</v>
      </c>
      <c r="D107" s="2">
        <f t="shared" si="35"/>
        <v>1285.5</v>
      </c>
      <c r="E107" s="2">
        <f t="shared" si="36"/>
        <v>1258.5</v>
      </c>
      <c r="F107" s="3">
        <f t="shared" si="38"/>
        <v>9.9964883083535985E-8</v>
      </c>
      <c r="G107" s="2">
        <f t="shared" si="39"/>
        <v>-7.0001525376152394</v>
      </c>
      <c r="H107" s="2">
        <f t="shared" si="37"/>
        <v>94.287319722794535</v>
      </c>
    </row>
    <row r="108" spans="1:10" x14ac:dyDescent="0.2">
      <c r="B108">
        <v>1423</v>
      </c>
      <c r="C108">
        <v>1389</v>
      </c>
      <c r="D108" s="2">
        <f t="shared" si="35"/>
        <v>1406</v>
      </c>
      <c r="E108" s="2">
        <f t="shared" si="36"/>
        <v>1379</v>
      </c>
      <c r="F108" s="3">
        <f t="shared" si="38"/>
        <v>3.1608896031014074E-8</v>
      </c>
      <c r="G108" s="2">
        <f t="shared" si="39"/>
        <v>-7.5001906720190492</v>
      </c>
      <c r="H108" s="2">
        <f t="shared" si="37"/>
        <v>103.31522757070613</v>
      </c>
    </row>
    <row r="109" spans="1:10" x14ac:dyDescent="0.2">
      <c r="B109">
        <v>1400</v>
      </c>
      <c r="C109">
        <v>1375</v>
      </c>
      <c r="D109" s="2">
        <f t="shared" si="35"/>
        <v>1387.5</v>
      </c>
      <c r="E109" s="2">
        <f t="shared" si="36"/>
        <v>1360.5</v>
      </c>
      <c r="F109" s="3">
        <f t="shared" si="38"/>
        <v>9.9947329250066497E-9</v>
      </c>
      <c r="G109" s="2">
        <f t="shared" si="39"/>
        <v>-8.0002288064228591</v>
      </c>
      <c r="H109" s="2">
        <f t="shared" si="37"/>
        <v>101.92920022476119</v>
      </c>
    </row>
    <row r="110" spans="1:10" x14ac:dyDescent="0.2">
      <c r="B110">
        <v>1338</v>
      </c>
      <c r="C110">
        <v>1357</v>
      </c>
      <c r="D110" s="2">
        <f t="shared" si="35"/>
        <v>1347.5</v>
      </c>
      <c r="E110" s="2">
        <f t="shared" si="36"/>
        <v>1320.5</v>
      </c>
      <c r="F110" s="3">
        <f t="shared" si="38"/>
        <v>3.1603345508871026E-9</v>
      </c>
      <c r="G110" s="2">
        <f t="shared" si="39"/>
        <v>-8.500266940826668</v>
      </c>
      <c r="H110" s="2">
        <f t="shared" si="37"/>
        <v>98.932384341637004</v>
      </c>
    </row>
    <row r="111" spans="1:10" x14ac:dyDescent="0.2">
      <c r="B111">
        <v>1359</v>
      </c>
      <c r="C111">
        <v>1405</v>
      </c>
      <c r="D111" s="2">
        <f t="shared" si="35"/>
        <v>1382</v>
      </c>
      <c r="E111" s="2">
        <f t="shared" si="36"/>
        <v>1355</v>
      </c>
      <c r="F111" s="3">
        <f t="shared" si="38"/>
        <v>9.992977849905017E-10</v>
      </c>
      <c r="G111" s="2">
        <f t="shared" si="39"/>
        <v>-9.0003050752304787</v>
      </c>
      <c r="H111" s="2">
        <f t="shared" si="37"/>
        <v>101.51713804083161</v>
      </c>
    </row>
    <row r="112" spans="1:10" x14ac:dyDescent="0.2">
      <c r="B112">
        <v>1374</v>
      </c>
      <c r="C112">
        <v>1330</v>
      </c>
      <c r="D112" s="2">
        <f t="shared" si="35"/>
        <v>1352</v>
      </c>
      <c r="E112" s="2"/>
      <c r="F112" s="3"/>
      <c r="G112" s="2"/>
      <c r="H112" s="2"/>
    </row>
    <row r="113" spans="1:10" x14ac:dyDescent="0.2">
      <c r="A113" s="17"/>
      <c r="D113" s="7" t="s">
        <v>101</v>
      </c>
      <c r="E113" s="7" t="s">
        <v>102</v>
      </c>
      <c r="F113" s="7" t="s">
        <v>103</v>
      </c>
      <c r="G113" s="7" t="s">
        <v>104</v>
      </c>
      <c r="H113" s="7" t="s">
        <v>105</v>
      </c>
      <c r="I113" s="7"/>
    </row>
    <row r="114" spans="1:10" x14ac:dyDescent="0.2">
      <c r="A114" s="17" t="s">
        <v>115</v>
      </c>
      <c r="D114" s="2" t="e">
        <f t="shared" ref="D114:D125" si="40">AVERAGE(B114:C114)</f>
        <v>#DIV/0!</v>
      </c>
      <c r="E114" s="13" t="e">
        <f>AVERAGE(D114,D125)-$D$115</f>
        <v>#DIV/0!</v>
      </c>
      <c r="F114" s="7"/>
      <c r="G114" s="7"/>
      <c r="H114" s="13" t="e">
        <f>E114*100/$E$114</f>
        <v>#DIV/0!</v>
      </c>
      <c r="I114" s="7"/>
      <c r="J114" s="7"/>
    </row>
    <row r="115" spans="1:10" x14ac:dyDescent="0.2">
      <c r="D115" s="2" t="e">
        <f t="shared" si="40"/>
        <v>#DIV/0!</v>
      </c>
      <c r="E115" s="13" t="e">
        <f>D115-$D$115</f>
        <v>#DIV/0!</v>
      </c>
      <c r="F115" s="7"/>
      <c r="G115" s="7"/>
      <c r="H115" s="13"/>
      <c r="I115" s="7"/>
    </row>
    <row r="116" spans="1:10" x14ac:dyDescent="0.2">
      <c r="A116" s="9"/>
      <c r="D116" s="2" t="e">
        <f t="shared" si="40"/>
        <v>#DIV/0!</v>
      </c>
      <c r="E116" s="13" t="e">
        <f>D116-$D$115</f>
        <v>#DIV/0!</v>
      </c>
      <c r="F116" s="14">
        <v>1.0000000000000001E-5</v>
      </c>
      <c r="G116" s="13">
        <f>LOG(F116)</f>
        <v>-5</v>
      </c>
      <c r="H116" s="13" t="e">
        <f>E116*100/$E$114</f>
        <v>#DIV/0!</v>
      </c>
      <c r="I116" s="7"/>
    </row>
    <row r="117" spans="1:10" x14ac:dyDescent="0.2">
      <c r="A117" s="17"/>
      <c r="D117" s="2" t="e">
        <f t="shared" si="40"/>
        <v>#DIV/0!</v>
      </c>
      <c r="E117" s="13" t="e">
        <f t="shared" ref="E117:E124" si="41">D117-$D$115</f>
        <v>#DIV/0!</v>
      </c>
      <c r="F117" s="14">
        <f>F116*0.3162</f>
        <v>3.162E-6</v>
      </c>
      <c r="G117" s="13">
        <f t="shared" ref="G117:G124" si="42">LOG(F117)</f>
        <v>-5.5000381344038098</v>
      </c>
      <c r="H117" s="13" t="e">
        <f t="shared" ref="H117:H124" si="43">E117*100/$E$114</f>
        <v>#DIV/0!</v>
      </c>
      <c r="I117" s="7"/>
    </row>
    <row r="118" spans="1:10" x14ac:dyDescent="0.2">
      <c r="A118" s="18"/>
      <c r="D118" s="2" t="e">
        <f t="shared" si="40"/>
        <v>#DIV/0!</v>
      </c>
      <c r="E118" s="13" t="e">
        <f t="shared" si="41"/>
        <v>#DIV/0!</v>
      </c>
      <c r="F118" s="14">
        <f t="shared" ref="F118:F124" si="44">F117*0.3162</f>
        <v>9.9982439999999994E-7</v>
      </c>
      <c r="G118" s="13">
        <f t="shared" si="42"/>
        <v>-6.0000762688076197</v>
      </c>
      <c r="H118" s="13" t="e">
        <f t="shared" si="43"/>
        <v>#DIV/0!</v>
      </c>
      <c r="I118" s="7"/>
    </row>
    <row r="119" spans="1:10" x14ac:dyDescent="0.2">
      <c r="A119" s="17"/>
      <c r="D119" s="2" t="e">
        <f t="shared" si="40"/>
        <v>#DIV/0!</v>
      </c>
      <c r="E119" s="13" t="e">
        <f t="shared" si="41"/>
        <v>#DIV/0!</v>
      </c>
      <c r="F119" s="14">
        <f t="shared" si="44"/>
        <v>3.1614447527999998E-7</v>
      </c>
      <c r="G119" s="13">
        <f t="shared" si="42"/>
        <v>-6.5001144032114295</v>
      </c>
      <c r="H119" s="13" t="e">
        <f t="shared" si="43"/>
        <v>#DIV/0!</v>
      </c>
      <c r="I119" s="7"/>
    </row>
    <row r="120" spans="1:10" x14ac:dyDescent="0.2">
      <c r="A120"/>
      <c r="D120" s="2" t="e">
        <f t="shared" si="40"/>
        <v>#DIV/0!</v>
      </c>
      <c r="E120" s="13" t="e">
        <f t="shared" si="41"/>
        <v>#DIV/0!</v>
      </c>
      <c r="F120" s="14">
        <f t="shared" si="44"/>
        <v>9.9964883083535985E-8</v>
      </c>
      <c r="G120" s="13">
        <f t="shared" si="42"/>
        <v>-7.0001525376152394</v>
      </c>
      <c r="H120" s="13" t="e">
        <f t="shared" si="43"/>
        <v>#DIV/0!</v>
      </c>
      <c r="I120" s="7"/>
    </row>
    <row r="121" spans="1:10" x14ac:dyDescent="0.2">
      <c r="A121" s="17"/>
      <c r="D121" s="2" t="e">
        <f t="shared" si="40"/>
        <v>#DIV/0!</v>
      </c>
      <c r="E121" s="13" t="e">
        <f t="shared" si="41"/>
        <v>#DIV/0!</v>
      </c>
      <c r="F121" s="14">
        <f t="shared" si="44"/>
        <v>3.1608896031014074E-8</v>
      </c>
      <c r="G121" s="13">
        <f t="shared" si="42"/>
        <v>-7.5001906720190492</v>
      </c>
      <c r="H121" s="13" t="e">
        <f t="shared" si="43"/>
        <v>#DIV/0!</v>
      </c>
      <c r="I121" s="7"/>
    </row>
    <row r="122" spans="1:10" x14ac:dyDescent="0.2">
      <c r="A122" s="17"/>
      <c r="D122" s="2" t="e">
        <f t="shared" si="40"/>
        <v>#DIV/0!</v>
      </c>
      <c r="E122" s="13" t="e">
        <f t="shared" si="41"/>
        <v>#DIV/0!</v>
      </c>
      <c r="F122" s="14">
        <f t="shared" si="44"/>
        <v>9.9947329250066497E-9</v>
      </c>
      <c r="G122" s="13">
        <f t="shared" si="42"/>
        <v>-8.0002288064228591</v>
      </c>
      <c r="H122" s="13" t="e">
        <f t="shared" si="43"/>
        <v>#DIV/0!</v>
      </c>
      <c r="I122" s="7"/>
    </row>
    <row r="123" spans="1:10" x14ac:dyDescent="0.2">
      <c r="A123" s="17"/>
      <c r="D123" s="2" t="e">
        <f t="shared" si="40"/>
        <v>#DIV/0!</v>
      </c>
      <c r="E123" s="13" t="e">
        <f t="shared" si="41"/>
        <v>#DIV/0!</v>
      </c>
      <c r="F123" s="14">
        <f t="shared" si="44"/>
        <v>3.1603345508871026E-9</v>
      </c>
      <c r="G123" s="13">
        <f t="shared" si="42"/>
        <v>-8.500266940826668</v>
      </c>
      <c r="H123" s="13" t="e">
        <f t="shared" si="43"/>
        <v>#DIV/0!</v>
      </c>
      <c r="I123" s="7"/>
    </row>
    <row r="124" spans="1:10" x14ac:dyDescent="0.2">
      <c r="A124" s="17"/>
      <c r="D124" s="2" t="e">
        <f t="shared" si="40"/>
        <v>#DIV/0!</v>
      </c>
      <c r="E124" s="13" t="e">
        <f t="shared" si="41"/>
        <v>#DIV/0!</v>
      </c>
      <c r="F124" s="14">
        <f t="shared" si="44"/>
        <v>9.992977849905017E-10</v>
      </c>
      <c r="G124" s="13">
        <f t="shared" si="42"/>
        <v>-9.0003050752304787</v>
      </c>
      <c r="H124" s="13" t="e">
        <f t="shared" si="43"/>
        <v>#DIV/0!</v>
      </c>
      <c r="I124" s="7"/>
    </row>
    <row r="125" spans="1:10" x14ac:dyDescent="0.2">
      <c r="A125" s="17"/>
      <c r="D125" s="2" t="e">
        <f t="shared" si="40"/>
        <v>#DIV/0!</v>
      </c>
      <c r="E125" s="13"/>
      <c r="F125" s="14"/>
      <c r="G125" s="13"/>
      <c r="H125" s="13"/>
      <c r="I125" s="7"/>
    </row>
    <row r="126" spans="1:10" x14ac:dyDescent="0.2">
      <c r="A126" s="17"/>
      <c r="D126" s="7" t="s">
        <v>101</v>
      </c>
      <c r="E126" s="7" t="s">
        <v>102</v>
      </c>
      <c r="F126" s="7" t="s">
        <v>103</v>
      </c>
      <c r="G126" s="7" t="s">
        <v>104</v>
      </c>
      <c r="H126" s="7" t="s">
        <v>105</v>
      </c>
      <c r="I126" s="7"/>
    </row>
    <row r="127" spans="1:10" x14ac:dyDescent="0.2">
      <c r="A127" s="17" t="s">
        <v>116</v>
      </c>
      <c r="D127" s="2" t="e">
        <f t="shared" ref="D127:D138" si="45">AVERAGE(B127:C127)</f>
        <v>#DIV/0!</v>
      </c>
      <c r="E127" s="13" t="e">
        <f>AVERAGE(D127,D138)-$D$128</f>
        <v>#DIV/0!</v>
      </c>
      <c r="F127" s="7"/>
      <c r="G127" s="7"/>
      <c r="H127" s="13" t="e">
        <f>E127*100/$E$127</f>
        <v>#DIV/0!</v>
      </c>
      <c r="I127" s="7"/>
      <c r="J127" s="7"/>
    </row>
    <row r="128" spans="1:10" x14ac:dyDescent="0.2">
      <c r="A128" s="22"/>
      <c r="D128" s="2" t="e">
        <f t="shared" si="45"/>
        <v>#DIV/0!</v>
      </c>
      <c r="E128" s="13" t="e">
        <f>D128-$D$128</f>
        <v>#DIV/0!</v>
      </c>
      <c r="F128" s="7"/>
      <c r="G128" s="7"/>
      <c r="H128" s="13"/>
      <c r="I128" s="7"/>
    </row>
    <row r="129" spans="1:10" x14ac:dyDescent="0.2">
      <c r="A129" s="9"/>
      <c r="D129" s="2" t="e">
        <f t="shared" si="45"/>
        <v>#DIV/0!</v>
      </c>
      <c r="E129" s="13" t="e">
        <f>D129-$D$128</f>
        <v>#DIV/0!</v>
      </c>
      <c r="F129" s="14">
        <v>1.0000000000000001E-5</v>
      </c>
      <c r="G129" s="13">
        <f>LOG(F129)</f>
        <v>-5</v>
      </c>
      <c r="H129" s="13" t="e">
        <f>E129*100/$E$127</f>
        <v>#DIV/0!</v>
      </c>
      <c r="I129" s="7"/>
    </row>
    <row r="130" spans="1:10" x14ac:dyDescent="0.2">
      <c r="A130" s="17"/>
      <c r="D130" s="2" t="e">
        <f t="shared" si="45"/>
        <v>#DIV/0!</v>
      </c>
      <c r="E130" s="13" t="e">
        <f t="shared" ref="E130:E137" si="46">D130-$D$128</f>
        <v>#DIV/0!</v>
      </c>
      <c r="F130" s="14">
        <f t="shared" ref="F130:F137" si="47">F129*0.3162</f>
        <v>3.162E-6</v>
      </c>
      <c r="G130" s="13">
        <f t="shared" ref="G130:G137" si="48">LOG(F130)</f>
        <v>-5.5000381344038098</v>
      </c>
      <c r="H130" s="13" t="e">
        <f t="shared" ref="H130:H137" si="49">E130*100/$E$127</f>
        <v>#DIV/0!</v>
      </c>
      <c r="I130" s="7"/>
    </row>
    <row r="131" spans="1:10" x14ac:dyDescent="0.2">
      <c r="A131" s="17"/>
      <c r="D131" s="2" t="e">
        <f t="shared" si="45"/>
        <v>#DIV/0!</v>
      </c>
      <c r="E131" s="13" t="e">
        <f t="shared" si="46"/>
        <v>#DIV/0!</v>
      </c>
      <c r="F131" s="14">
        <f t="shared" si="47"/>
        <v>9.9982439999999994E-7</v>
      </c>
      <c r="G131" s="13">
        <f t="shared" si="48"/>
        <v>-6.0000762688076197</v>
      </c>
      <c r="H131" s="13" t="e">
        <f t="shared" si="49"/>
        <v>#DIV/0!</v>
      </c>
      <c r="I131" s="7"/>
    </row>
    <row r="132" spans="1:10" x14ac:dyDescent="0.2">
      <c r="A132" s="17"/>
      <c r="D132" s="2" t="e">
        <f t="shared" si="45"/>
        <v>#DIV/0!</v>
      </c>
      <c r="E132" s="13" t="e">
        <f t="shared" si="46"/>
        <v>#DIV/0!</v>
      </c>
      <c r="F132" s="14">
        <f t="shared" si="47"/>
        <v>3.1614447527999998E-7</v>
      </c>
      <c r="G132" s="13">
        <f t="shared" si="48"/>
        <v>-6.5001144032114295</v>
      </c>
      <c r="H132" s="13" t="e">
        <f t="shared" si="49"/>
        <v>#DIV/0!</v>
      </c>
      <c r="I132" s="7"/>
    </row>
    <row r="133" spans="1:10" x14ac:dyDescent="0.2">
      <c r="A133" s="17"/>
      <c r="D133" s="2" t="e">
        <f t="shared" si="45"/>
        <v>#DIV/0!</v>
      </c>
      <c r="E133" s="13" t="e">
        <f t="shared" si="46"/>
        <v>#DIV/0!</v>
      </c>
      <c r="F133" s="14">
        <f t="shared" si="47"/>
        <v>9.9964883083535985E-8</v>
      </c>
      <c r="G133" s="13">
        <f t="shared" si="48"/>
        <v>-7.0001525376152394</v>
      </c>
      <c r="H133" s="13" t="e">
        <f t="shared" si="49"/>
        <v>#DIV/0!</v>
      </c>
      <c r="I133" s="7"/>
    </row>
    <row r="134" spans="1:10" x14ac:dyDescent="0.2">
      <c r="A134" s="17"/>
      <c r="D134" s="2" t="e">
        <f t="shared" si="45"/>
        <v>#DIV/0!</v>
      </c>
      <c r="E134" s="13" t="e">
        <f t="shared" si="46"/>
        <v>#DIV/0!</v>
      </c>
      <c r="F134" s="14">
        <f t="shared" si="47"/>
        <v>3.1608896031014074E-8</v>
      </c>
      <c r="G134" s="13">
        <f t="shared" si="48"/>
        <v>-7.5001906720190492</v>
      </c>
      <c r="H134" s="13" t="e">
        <f t="shared" si="49"/>
        <v>#DIV/0!</v>
      </c>
      <c r="I134" s="7"/>
    </row>
    <row r="135" spans="1:10" x14ac:dyDescent="0.2">
      <c r="A135" s="17"/>
      <c r="D135" s="2" t="e">
        <f t="shared" si="45"/>
        <v>#DIV/0!</v>
      </c>
      <c r="E135" s="13" t="e">
        <f t="shared" si="46"/>
        <v>#DIV/0!</v>
      </c>
      <c r="F135" s="14">
        <f t="shared" si="47"/>
        <v>9.9947329250066497E-9</v>
      </c>
      <c r="G135" s="13">
        <f t="shared" si="48"/>
        <v>-8.0002288064228591</v>
      </c>
      <c r="H135" s="13" t="e">
        <f t="shared" si="49"/>
        <v>#DIV/0!</v>
      </c>
      <c r="I135" s="7"/>
    </row>
    <row r="136" spans="1:10" x14ac:dyDescent="0.2">
      <c r="A136" s="17"/>
      <c r="D136" s="2" t="e">
        <f t="shared" si="45"/>
        <v>#DIV/0!</v>
      </c>
      <c r="E136" s="13" t="e">
        <f t="shared" si="46"/>
        <v>#DIV/0!</v>
      </c>
      <c r="F136" s="14">
        <f t="shared" si="47"/>
        <v>3.1603345508871026E-9</v>
      </c>
      <c r="G136" s="13">
        <f t="shared" si="48"/>
        <v>-8.500266940826668</v>
      </c>
      <c r="H136" s="13" t="e">
        <f t="shared" si="49"/>
        <v>#DIV/0!</v>
      </c>
      <c r="I136" s="7"/>
    </row>
    <row r="137" spans="1:10" x14ac:dyDescent="0.2">
      <c r="A137"/>
      <c r="D137" s="2" t="e">
        <f t="shared" si="45"/>
        <v>#DIV/0!</v>
      </c>
      <c r="E137" s="13" t="e">
        <f t="shared" si="46"/>
        <v>#DIV/0!</v>
      </c>
      <c r="F137" s="14">
        <f t="shared" si="47"/>
        <v>9.992977849905017E-10</v>
      </c>
      <c r="G137" s="13">
        <f t="shared" si="48"/>
        <v>-9.0003050752304787</v>
      </c>
      <c r="H137" s="13" t="e">
        <f t="shared" si="49"/>
        <v>#DIV/0!</v>
      </c>
      <c r="I137" s="7"/>
    </row>
    <row r="138" spans="1:10" x14ac:dyDescent="0.2">
      <c r="A138" s="17"/>
      <c r="D138" s="2" t="e">
        <f t="shared" si="45"/>
        <v>#DIV/0!</v>
      </c>
      <c r="E138" s="13"/>
      <c r="F138" s="14"/>
      <c r="G138" s="13"/>
      <c r="H138" s="13"/>
      <c r="I138" s="7"/>
    </row>
    <row r="139" spans="1:10" x14ac:dyDescent="0.2">
      <c r="A139" s="17"/>
      <c r="D139" s="7" t="s">
        <v>101</v>
      </c>
      <c r="E139" s="7" t="s">
        <v>102</v>
      </c>
      <c r="F139" s="7" t="s">
        <v>103</v>
      </c>
      <c r="G139" s="7" t="s">
        <v>104</v>
      </c>
      <c r="H139" s="7" t="s">
        <v>105</v>
      </c>
      <c r="I139" s="7"/>
    </row>
    <row r="140" spans="1:10" x14ac:dyDescent="0.2">
      <c r="A140" s="17" t="s">
        <v>117</v>
      </c>
      <c r="D140" s="2" t="e">
        <f t="shared" ref="D140:D151" si="50">AVERAGE(B140:C140)</f>
        <v>#DIV/0!</v>
      </c>
      <c r="E140" s="13" t="e">
        <f>AVERAGE(D140,D151)-$D$141</f>
        <v>#DIV/0!</v>
      </c>
      <c r="F140" s="7"/>
      <c r="G140" s="7"/>
      <c r="H140" s="13" t="e">
        <f>E140*100/$E$140</f>
        <v>#DIV/0!</v>
      </c>
      <c r="I140" s="7"/>
      <c r="J140" s="7"/>
    </row>
    <row r="141" spans="1:10" x14ac:dyDescent="0.2">
      <c r="A141" s="22"/>
      <c r="D141" s="2" t="e">
        <f t="shared" si="50"/>
        <v>#DIV/0!</v>
      </c>
      <c r="E141" s="13" t="e">
        <f>D141-$D$141</f>
        <v>#DIV/0!</v>
      </c>
      <c r="F141" s="7"/>
      <c r="G141" s="7"/>
      <c r="H141" s="13"/>
      <c r="I141" s="7"/>
    </row>
    <row r="142" spans="1:10" x14ac:dyDescent="0.2">
      <c r="A142" s="9"/>
      <c r="D142" s="2" t="e">
        <f t="shared" si="50"/>
        <v>#DIV/0!</v>
      </c>
      <c r="E142" s="13" t="e">
        <f>D142-$D$141</f>
        <v>#DIV/0!</v>
      </c>
      <c r="F142" s="14">
        <v>1.0000000000000001E-5</v>
      </c>
      <c r="G142" s="13">
        <f>LOG(F142)</f>
        <v>-5</v>
      </c>
      <c r="H142" s="13" t="e">
        <f>E142*100/$E$140</f>
        <v>#DIV/0!</v>
      </c>
      <c r="I142" s="7"/>
    </row>
    <row r="143" spans="1:10" x14ac:dyDescent="0.2">
      <c r="A143" s="17"/>
      <c r="D143" s="2" t="e">
        <f t="shared" si="50"/>
        <v>#DIV/0!</v>
      </c>
      <c r="E143" s="13" t="e">
        <f t="shared" ref="E143:E150" si="51">D143-$D$141</f>
        <v>#DIV/0!</v>
      </c>
      <c r="F143" s="14">
        <f t="shared" ref="F143:F150" si="52">F142*0.3162</f>
        <v>3.162E-6</v>
      </c>
      <c r="G143" s="13">
        <f t="shared" ref="G143:G150" si="53">LOG(F143)</f>
        <v>-5.5000381344038098</v>
      </c>
      <c r="H143" s="13" t="e">
        <f t="shared" ref="H143:H150" si="54">E143*100/$E$140</f>
        <v>#DIV/0!</v>
      </c>
      <c r="I143" s="7"/>
    </row>
    <row r="144" spans="1:10" ht="15" x14ac:dyDescent="0.2">
      <c r="A144" s="24"/>
      <c r="D144" s="2" t="e">
        <f t="shared" si="50"/>
        <v>#DIV/0!</v>
      </c>
      <c r="E144" s="13" t="e">
        <f t="shared" si="51"/>
        <v>#DIV/0!</v>
      </c>
      <c r="F144" s="14">
        <f t="shared" si="52"/>
        <v>9.9982439999999994E-7</v>
      </c>
      <c r="G144" s="13">
        <f t="shared" si="53"/>
        <v>-6.0000762688076197</v>
      </c>
      <c r="H144" s="13" t="e">
        <f t="shared" si="54"/>
        <v>#DIV/0!</v>
      </c>
      <c r="I144" s="7"/>
    </row>
    <row r="145" spans="1:10" x14ac:dyDescent="0.2">
      <c r="A145" s="17"/>
      <c r="D145" s="2" t="e">
        <f t="shared" si="50"/>
        <v>#DIV/0!</v>
      </c>
      <c r="E145" s="13" t="e">
        <f t="shared" si="51"/>
        <v>#DIV/0!</v>
      </c>
      <c r="F145" s="14">
        <f t="shared" si="52"/>
        <v>3.1614447527999998E-7</v>
      </c>
      <c r="G145" s="13">
        <f t="shared" si="53"/>
        <v>-6.5001144032114295</v>
      </c>
      <c r="H145" s="13" t="e">
        <f t="shared" si="54"/>
        <v>#DIV/0!</v>
      </c>
      <c r="I145" s="7"/>
    </row>
    <row r="146" spans="1:10" x14ac:dyDescent="0.2">
      <c r="A146" s="17"/>
      <c r="D146" s="2" t="e">
        <f t="shared" si="50"/>
        <v>#DIV/0!</v>
      </c>
      <c r="E146" s="13" t="e">
        <f t="shared" si="51"/>
        <v>#DIV/0!</v>
      </c>
      <c r="F146" s="14">
        <f t="shared" si="52"/>
        <v>9.9964883083535985E-8</v>
      </c>
      <c r="G146" s="13">
        <f t="shared" si="53"/>
        <v>-7.0001525376152394</v>
      </c>
      <c r="H146" s="13" t="e">
        <f t="shared" si="54"/>
        <v>#DIV/0!</v>
      </c>
      <c r="I146" s="7"/>
    </row>
    <row r="147" spans="1:10" x14ac:dyDescent="0.2">
      <c r="A147" s="17"/>
      <c r="D147" s="2" t="e">
        <f t="shared" si="50"/>
        <v>#DIV/0!</v>
      </c>
      <c r="E147" s="13" t="e">
        <f t="shared" si="51"/>
        <v>#DIV/0!</v>
      </c>
      <c r="F147" s="14">
        <f t="shared" si="52"/>
        <v>3.1608896031014074E-8</v>
      </c>
      <c r="G147" s="13">
        <f t="shared" si="53"/>
        <v>-7.5001906720190492</v>
      </c>
      <c r="H147" s="13" t="e">
        <f t="shared" si="54"/>
        <v>#DIV/0!</v>
      </c>
      <c r="I147" s="7"/>
    </row>
    <row r="148" spans="1:10" x14ac:dyDescent="0.2">
      <c r="A148"/>
      <c r="D148" s="2" t="e">
        <f t="shared" si="50"/>
        <v>#DIV/0!</v>
      </c>
      <c r="E148" s="13" t="e">
        <f t="shared" si="51"/>
        <v>#DIV/0!</v>
      </c>
      <c r="F148" s="14">
        <f t="shared" si="52"/>
        <v>9.9947329250066497E-9</v>
      </c>
      <c r="G148" s="13">
        <f t="shared" si="53"/>
        <v>-8.0002288064228591</v>
      </c>
      <c r="H148" s="13" t="e">
        <f t="shared" si="54"/>
        <v>#DIV/0!</v>
      </c>
      <c r="I148" s="7"/>
    </row>
    <row r="149" spans="1:10" x14ac:dyDescent="0.2">
      <c r="A149"/>
      <c r="D149" s="2" t="e">
        <f t="shared" si="50"/>
        <v>#DIV/0!</v>
      </c>
      <c r="E149" s="13" t="e">
        <f t="shared" si="51"/>
        <v>#DIV/0!</v>
      </c>
      <c r="F149" s="14">
        <f t="shared" si="52"/>
        <v>3.1603345508871026E-9</v>
      </c>
      <c r="G149" s="13">
        <f t="shared" si="53"/>
        <v>-8.500266940826668</v>
      </c>
      <c r="H149" s="13" t="e">
        <f t="shared" si="54"/>
        <v>#DIV/0!</v>
      </c>
      <c r="I149" s="7"/>
    </row>
    <row r="150" spans="1:10" x14ac:dyDescent="0.2">
      <c r="A150"/>
      <c r="D150" s="2" t="e">
        <f t="shared" si="50"/>
        <v>#DIV/0!</v>
      </c>
      <c r="E150" s="13" t="e">
        <f t="shared" si="51"/>
        <v>#DIV/0!</v>
      </c>
      <c r="F150" s="14">
        <f t="shared" si="52"/>
        <v>9.992977849905017E-10</v>
      </c>
      <c r="G150" s="13">
        <f t="shared" si="53"/>
        <v>-9.0003050752304787</v>
      </c>
      <c r="H150" s="13" t="e">
        <f t="shared" si="54"/>
        <v>#DIV/0!</v>
      </c>
      <c r="I150" s="7"/>
    </row>
    <row r="151" spans="1:10" x14ac:dyDescent="0.2">
      <c r="A151" s="17"/>
      <c r="D151" s="2" t="e">
        <f t="shared" si="50"/>
        <v>#DIV/0!</v>
      </c>
      <c r="E151" s="13"/>
      <c r="F151" s="14"/>
      <c r="G151" s="13"/>
      <c r="H151" s="13"/>
      <c r="I151" s="7"/>
    </row>
    <row r="152" spans="1:10" x14ac:dyDescent="0.2">
      <c r="A152" s="17"/>
      <c r="D152" s="7" t="s">
        <v>101</v>
      </c>
      <c r="E152" s="7" t="s">
        <v>102</v>
      </c>
      <c r="F152" s="7" t="s">
        <v>103</v>
      </c>
      <c r="G152" s="7" t="s">
        <v>104</v>
      </c>
      <c r="H152" s="7" t="s">
        <v>105</v>
      </c>
      <c r="I152" s="7"/>
    </row>
    <row r="153" spans="1:10" x14ac:dyDescent="0.2">
      <c r="A153" s="17" t="s">
        <v>118</v>
      </c>
      <c r="D153" s="2" t="e">
        <f t="shared" ref="D153:D163" si="55">AVERAGE(B153:C153)</f>
        <v>#DIV/0!</v>
      </c>
      <c r="E153" s="13" t="e">
        <f>AVERAGE(D153,D164)-$D$154</f>
        <v>#DIV/0!</v>
      </c>
      <c r="F153" s="7"/>
      <c r="G153" s="7"/>
      <c r="H153" s="13" t="e">
        <f>E153*100/$E$153</f>
        <v>#DIV/0!</v>
      </c>
      <c r="I153" s="7"/>
      <c r="J153" s="7"/>
    </row>
    <row r="154" spans="1:10" x14ac:dyDescent="0.2">
      <c r="A154" s="22"/>
      <c r="D154" s="2" t="e">
        <f t="shared" si="55"/>
        <v>#DIV/0!</v>
      </c>
      <c r="E154" s="13" t="e">
        <f>D154-$D$154</f>
        <v>#DIV/0!</v>
      </c>
      <c r="F154" s="7"/>
      <c r="G154" s="7"/>
      <c r="H154" s="13"/>
      <c r="I154" s="7"/>
    </row>
    <row r="155" spans="1:10" x14ac:dyDescent="0.2">
      <c r="A155" s="9"/>
      <c r="D155" s="2" t="e">
        <f t="shared" si="55"/>
        <v>#DIV/0!</v>
      </c>
      <c r="E155" s="13" t="e">
        <f>D155-$D$154</f>
        <v>#DIV/0!</v>
      </c>
      <c r="F155" s="14">
        <v>1.0000000000000001E-5</v>
      </c>
      <c r="G155" s="13">
        <f>LOG(F155)</f>
        <v>-5</v>
      </c>
      <c r="H155" s="13" t="e">
        <f>E155*100/$E$153</f>
        <v>#DIV/0!</v>
      </c>
      <c r="I155" s="7"/>
    </row>
    <row r="156" spans="1:10" x14ac:dyDescent="0.2">
      <c r="A156" s="25"/>
      <c r="D156" s="2" t="e">
        <f t="shared" si="55"/>
        <v>#DIV/0!</v>
      </c>
      <c r="E156" s="13" t="e">
        <f t="shared" ref="E156:E163" si="56">D156-$D$154</f>
        <v>#DIV/0!</v>
      </c>
      <c r="F156" s="14">
        <f t="shared" ref="F156:F163" si="57">F155*0.3162</f>
        <v>3.162E-6</v>
      </c>
      <c r="G156" s="13">
        <f t="shared" ref="G156:G163" si="58">LOG(F156)</f>
        <v>-5.5000381344038098</v>
      </c>
      <c r="H156" s="13" t="e">
        <f t="shared" ref="H156:H163" si="59">E156*100/$E$153</f>
        <v>#DIV/0!</v>
      </c>
      <c r="I156" s="7"/>
    </row>
    <row r="157" spans="1:10" x14ac:dyDescent="0.2">
      <c r="A157" s="18"/>
      <c r="D157" s="2" t="e">
        <f t="shared" si="55"/>
        <v>#DIV/0!</v>
      </c>
      <c r="E157" s="13" t="e">
        <f t="shared" si="56"/>
        <v>#DIV/0!</v>
      </c>
      <c r="F157" s="14">
        <f t="shared" si="57"/>
        <v>9.9982439999999994E-7</v>
      </c>
      <c r="G157" s="13">
        <f t="shared" si="58"/>
        <v>-6.0000762688076197</v>
      </c>
      <c r="H157" s="13" t="e">
        <f t="shared" si="59"/>
        <v>#DIV/0!</v>
      </c>
      <c r="I157" s="7"/>
    </row>
    <row r="158" spans="1:10" x14ac:dyDescent="0.2">
      <c r="A158" s="17"/>
      <c r="D158" s="2" t="e">
        <f t="shared" si="55"/>
        <v>#DIV/0!</v>
      </c>
      <c r="E158" s="13" t="e">
        <f t="shared" si="56"/>
        <v>#DIV/0!</v>
      </c>
      <c r="F158" s="14">
        <f t="shared" si="57"/>
        <v>3.1614447527999998E-7</v>
      </c>
      <c r="G158" s="13">
        <f t="shared" si="58"/>
        <v>-6.5001144032114295</v>
      </c>
      <c r="H158" s="13" t="e">
        <f t="shared" si="59"/>
        <v>#DIV/0!</v>
      </c>
      <c r="I158" s="7"/>
    </row>
    <row r="159" spans="1:10" x14ac:dyDescent="0.2">
      <c r="A159" s="17"/>
      <c r="D159" s="2" t="e">
        <f t="shared" si="55"/>
        <v>#DIV/0!</v>
      </c>
      <c r="E159" s="13" t="e">
        <f t="shared" si="56"/>
        <v>#DIV/0!</v>
      </c>
      <c r="F159" s="14">
        <f t="shared" si="57"/>
        <v>9.9964883083535985E-8</v>
      </c>
      <c r="G159" s="13">
        <f t="shared" si="58"/>
        <v>-7.0001525376152394</v>
      </c>
      <c r="H159" s="13" t="e">
        <f t="shared" si="59"/>
        <v>#DIV/0!</v>
      </c>
      <c r="I159" s="7"/>
    </row>
    <row r="160" spans="1:10" x14ac:dyDescent="0.2">
      <c r="A160" s="17"/>
      <c r="D160" s="2" t="e">
        <f t="shared" si="55"/>
        <v>#DIV/0!</v>
      </c>
      <c r="E160" s="13" t="e">
        <f t="shared" si="56"/>
        <v>#DIV/0!</v>
      </c>
      <c r="F160" s="14">
        <f t="shared" si="57"/>
        <v>3.1608896031014074E-8</v>
      </c>
      <c r="G160" s="13">
        <f t="shared" si="58"/>
        <v>-7.5001906720190492</v>
      </c>
      <c r="H160" s="13" t="e">
        <f t="shared" si="59"/>
        <v>#DIV/0!</v>
      </c>
      <c r="I160" s="7"/>
    </row>
    <row r="161" spans="1:9" x14ac:dyDescent="0.2">
      <c r="A161" s="17"/>
      <c r="D161" s="2" t="e">
        <f t="shared" si="55"/>
        <v>#DIV/0!</v>
      </c>
      <c r="E161" s="13" t="e">
        <f t="shared" si="56"/>
        <v>#DIV/0!</v>
      </c>
      <c r="F161" s="14">
        <f t="shared" si="57"/>
        <v>9.9947329250066497E-9</v>
      </c>
      <c r="G161" s="13">
        <f t="shared" si="58"/>
        <v>-8.0002288064228591</v>
      </c>
      <c r="H161" s="13" t="e">
        <f t="shared" si="59"/>
        <v>#DIV/0!</v>
      </c>
      <c r="I161" s="7"/>
    </row>
    <row r="162" spans="1:9" x14ac:dyDescent="0.2">
      <c r="A162"/>
      <c r="D162" s="2" t="e">
        <f t="shared" si="55"/>
        <v>#DIV/0!</v>
      </c>
      <c r="E162" s="13" t="e">
        <f t="shared" si="56"/>
        <v>#DIV/0!</v>
      </c>
      <c r="F162" s="14">
        <f t="shared" si="57"/>
        <v>3.1603345508871026E-9</v>
      </c>
      <c r="G162" s="13">
        <f t="shared" si="58"/>
        <v>-8.500266940826668</v>
      </c>
      <c r="H162" s="13" t="e">
        <f t="shared" si="59"/>
        <v>#DIV/0!</v>
      </c>
      <c r="I162" s="7"/>
    </row>
    <row r="163" spans="1:9" x14ac:dyDescent="0.2">
      <c r="A163" s="17"/>
      <c r="D163" s="2" t="e">
        <f t="shared" si="55"/>
        <v>#DIV/0!</v>
      </c>
      <c r="E163" s="13" t="e">
        <f t="shared" si="56"/>
        <v>#DIV/0!</v>
      </c>
      <c r="F163" s="14">
        <f t="shared" si="57"/>
        <v>9.992977849905017E-10</v>
      </c>
      <c r="G163" s="13">
        <f t="shared" si="58"/>
        <v>-9.0003050752304787</v>
      </c>
      <c r="H163" s="13" t="e">
        <f t="shared" si="59"/>
        <v>#DIV/0!</v>
      </c>
      <c r="I163" s="7"/>
    </row>
    <row r="164" spans="1:9" x14ac:dyDescent="0.2">
      <c r="A164" s="17"/>
      <c r="D164" s="2" t="e">
        <f>AVERAGE(B164:C164)</f>
        <v>#DIV/0!</v>
      </c>
      <c r="E164" s="13"/>
      <c r="F164" s="14"/>
      <c r="G164" s="13"/>
      <c r="H164" s="13"/>
      <c r="I164" s="7"/>
    </row>
    <row r="165" spans="1:9" x14ac:dyDescent="0.2">
      <c r="A165" s="17"/>
      <c r="D165" s="7" t="s">
        <v>101</v>
      </c>
      <c r="E165" s="7" t="s">
        <v>102</v>
      </c>
      <c r="F165" s="7" t="s">
        <v>103</v>
      </c>
      <c r="G165" s="7" t="s">
        <v>104</v>
      </c>
      <c r="H165" s="7" t="s">
        <v>105</v>
      </c>
      <c r="I165" s="12"/>
    </row>
    <row r="166" spans="1:9" x14ac:dyDescent="0.2">
      <c r="A166" s="17" t="s">
        <v>125</v>
      </c>
      <c r="D166" s="2" t="e">
        <f t="shared" ref="D166:D172" si="60">AVERAGE(B166:C166)</f>
        <v>#DIV/0!</v>
      </c>
      <c r="E166" s="13" t="e">
        <f>AVERAGE(D166,D177)-$D$167</f>
        <v>#DIV/0!</v>
      </c>
      <c r="F166" s="7"/>
      <c r="G166" s="7"/>
      <c r="H166" s="13" t="e">
        <f>E166*100/$E$166</f>
        <v>#DIV/0!</v>
      </c>
    </row>
    <row r="167" spans="1:9" x14ac:dyDescent="0.2">
      <c r="A167" s="18"/>
      <c r="D167" s="2" t="e">
        <f t="shared" si="60"/>
        <v>#DIV/0!</v>
      </c>
      <c r="E167" s="13" t="e">
        <f>D167-$D$167</f>
        <v>#DIV/0!</v>
      </c>
      <c r="F167" s="7"/>
      <c r="G167" s="7"/>
      <c r="H167" s="13"/>
    </row>
    <row r="168" spans="1:9" x14ac:dyDescent="0.2">
      <c r="A168" s="17"/>
      <c r="D168" s="2" t="e">
        <f t="shared" si="60"/>
        <v>#DIV/0!</v>
      </c>
      <c r="E168" s="13" t="e">
        <f>D168-$D$167</f>
        <v>#DIV/0!</v>
      </c>
      <c r="F168" s="14">
        <v>1.0000000000000001E-5</v>
      </c>
      <c r="G168" s="13">
        <f>LOG(F168)</f>
        <v>-5</v>
      </c>
      <c r="H168" s="13" t="e">
        <f>E168*100/$E$166</f>
        <v>#DIV/0!</v>
      </c>
    </row>
    <row r="169" spans="1:9" x14ac:dyDescent="0.2">
      <c r="A169" s="20"/>
      <c r="D169" s="2" t="e">
        <f t="shared" si="60"/>
        <v>#DIV/0!</v>
      </c>
      <c r="E169" s="13" t="e">
        <f t="shared" ref="E169:E176" si="61">D169-$D$167</f>
        <v>#DIV/0!</v>
      </c>
      <c r="F169" s="14">
        <f t="shared" ref="F169:F176" si="62">F168*0.3162</f>
        <v>3.162E-6</v>
      </c>
      <c r="G169" s="13">
        <f t="shared" ref="G169:G176" si="63">LOG(F169)</f>
        <v>-5.5000381344038098</v>
      </c>
      <c r="H169" s="13" t="e">
        <f t="shared" ref="H169:H176" si="64">E169*100/$E$166</f>
        <v>#DIV/0!</v>
      </c>
    </row>
    <row r="170" spans="1:9" x14ac:dyDescent="0.2">
      <c r="A170" s="18"/>
      <c r="D170" s="2" t="e">
        <f t="shared" si="60"/>
        <v>#DIV/0!</v>
      </c>
      <c r="E170" s="13" t="e">
        <f t="shared" si="61"/>
        <v>#DIV/0!</v>
      </c>
      <c r="F170" s="14">
        <f t="shared" si="62"/>
        <v>9.9982439999999994E-7</v>
      </c>
      <c r="G170" s="13">
        <f t="shared" si="63"/>
        <v>-6.0000762688076197</v>
      </c>
      <c r="H170" s="13" t="e">
        <f t="shared" si="64"/>
        <v>#DIV/0!</v>
      </c>
    </row>
    <row r="171" spans="1:9" x14ac:dyDescent="0.2">
      <c r="A171" s="17"/>
      <c r="D171" s="2" t="e">
        <f t="shared" si="60"/>
        <v>#DIV/0!</v>
      </c>
      <c r="E171" s="13" t="e">
        <f t="shared" si="61"/>
        <v>#DIV/0!</v>
      </c>
      <c r="F171" s="14">
        <f t="shared" si="62"/>
        <v>3.1614447527999998E-7</v>
      </c>
      <c r="G171" s="13">
        <f t="shared" si="63"/>
        <v>-6.5001144032114295</v>
      </c>
      <c r="H171" s="13" t="e">
        <f t="shared" si="64"/>
        <v>#DIV/0!</v>
      </c>
    </row>
    <row r="172" spans="1:9" x14ac:dyDescent="0.2">
      <c r="A172"/>
      <c r="D172" s="2" t="e">
        <f t="shared" si="60"/>
        <v>#DIV/0!</v>
      </c>
      <c r="E172" s="13" t="e">
        <f t="shared" si="61"/>
        <v>#DIV/0!</v>
      </c>
      <c r="F172" s="14">
        <f t="shared" si="62"/>
        <v>9.9964883083535985E-8</v>
      </c>
      <c r="G172" s="13">
        <f t="shared" si="63"/>
        <v>-7.0001525376152394</v>
      </c>
      <c r="H172" s="13" t="e">
        <f t="shared" si="64"/>
        <v>#DIV/0!</v>
      </c>
    </row>
    <row r="173" spans="1:9" x14ac:dyDescent="0.2">
      <c r="A173" s="17"/>
      <c r="D173" s="13" t="e">
        <f>AVERAGE(B173:C173)</f>
        <v>#DIV/0!</v>
      </c>
      <c r="E173" s="13" t="e">
        <f t="shared" si="61"/>
        <v>#DIV/0!</v>
      </c>
      <c r="F173" s="14">
        <f t="shared" si="62"/>
        <v>3.1608896031014074E-8</v>
      </c>
      <c r="G173" s="13">
        <f t="shared" si="63"/>
        <v>-7.5001906720190492</v>
      </c>
      <c r="H173" s="13" t="e">
        <f t="shared" si="64"/>
        <v>#DIV/0!</v>
      </c>
    </row>
    <row r="174" spans="1:9" x14ac:dyDescent="0.2">
      <c r="A174" s="17"/>
      <c r="D174" s="13" t="e">
        <f>AVERAGE(B174:C174)</f>
        <v>#DIV/0!</v>
      </c>
      <c r="E174" s="13" t="e">
        <f t="shared" si="61"/>
        <v>#DIV/0!</v>
      </c>
      <c r="F174" s="14">
        <f t="shared" si="62"/>
        <v>9.9947329250066497E-9</v>
      </c>
      <c r="G174" s="13">
        <f t="shared" si="63"/>
        <v>-8.0002288064228591</v>
      </c>
      <c r="H174" s="13" t="e">
        <f t="shared" si="64"/>
        <v>#DIV/0!</v>
      </c>
    </row>
    <row r="175" spans="1:9" x14ac:dyDescent="0.2">
      <c r="A175" s="17"/>
      <c r="D175" s="13" t="e">
        <f>AVERAGE(B175:C175)</f>
        <v>#DIV/0!</v>
      </c>
      <c r="E175" s="13" t="e">
        <f t="shared" si="61"/>
        <v>#DIV/0!</v>
      </c>
      <c r="F175" s="14">
        <f t="shared" si="62"/>
        <v>3.1603345508871026E-9</v>
      </c>
      <c r="G175" s="13">
        <f t="shared" si="63"/>
        <v>-8.500266940826668</v>
      </c>
      <c r="H175" s="13" t="e">
        <f t="shared" si="64"/>
        <v>#DIV/0!</v>
      </c>
    </row>
    <row r="176" spans="1:9" x14ac:dyDescent="0.2">
      <c r="A176" s="17"/>
      <c r="D176" s="13" t="e">
        <f>AVERAGE(B176:C176)</f>
        <v>#DIV/0!</v>
      </c>
      <c r="E176" s="13" t="e">
        <f t="shared" si="61"/>
        <v>#DIV/0!</v>
      </c>
      <c r="F176" s="14">
        <f t="shared" si="62"/>
        <v>9.992977849905017E-10</v>
      </c>
      <c r="G176" s="13">
        <f t="shared" si="63"/>
        <v>-9.0003050752304787</v>
      </c>
      <c r="H176" s="13" t="e">
        <f t="shared" si="64"/>
        <v>#DIV/0!</v>
      </c>
    </row>
    <row r="177" spans="1:8" x14ac:dyDescent="0.2">
      <c r="A177" s="17"/>
      <c r="D177" s="13" t="e">
        <f>AVERAGE(B177:C177)</f>
        <v>#DIV/0!</v>
      </c>
      <c r="E177" s="13"/>
      <c r="F177" s="14"/>
      <c r="G177" s="13"/>
      <c r="H177" s="13"/>
    </row>
    <row r="178" spans="1:8" x14ac:dyDescent="0.2">
      <c r="A178" s="17"/>
      <c r="D178" s="7" t="s">
        <v>101</v>
      </c>
      <c r="E178" s="7" t="s">
        <v>102</v>
      </c>
      <c r="F178" s="7" t="s">
        <v>103</v>
      </c>
      <c r="G178" s="7" t="s">
        <v>104</v>
      </c>
      <c r="H178" s="7" t="s">
        <v>105</v>
      </c>
    </row>
    <row r="179" spans="1:8" x14ac:dyDescent="0.2">
      <c r="A179" s="17" t="s">
        <v>126</v>
      </c>
      <c r="D179" s="13" t="e">
        <f>AVERAGE(B179:C179)</f>
        <v>#DIV/0!</v>
      </c>
      <c r="E179" s="13" t="e">
        <f>AVERAGE(D179,D190)-$D$180</f>
        <v>#DIV/0!</v>
      </c>
      <c r="F179" s="7"/>
      <c r="G179" s="7"/>
      <c r="H179" s="13" t="e">
        <f>E179*100/$E$179</f>
        <v>#DIV/0!</v>
      </c>
    </row>
    <row r="180" spans="1:8" x14ac:dyDescent="0.2">
      <c r="A180" s="18"/>
      <c r="D180" s="13" t="e">
        <f t="shared" ref="D180:D189" si="65">AVERAGE(B180:C180)</f>
        <v>#DIV/0!</v>
      </c>
      <c r="E180" s="13" t="e">
        <f>D180-$D$180</f>
        <v>#DIV/0!</v>
      </c>
      <c r="F180" s="7"/>
      <c r="G180" s="7"/>
      <c r="H180" s="13"/>
    </row>
    <row r="181" spans="1:8" x14ac:dyDescent="0.2">
      <c r="A181" s="17" t="s">
        <v>119</v>
      </c>
      <c r="D181" s="13" t="e">
        <f t="shared" si="65"/>
        <v>#DIV/0!</v>
      </c>
      <c r="E181" s="13" t="e">
        <f>D181-$D$180</f>
        <v>#DIV/0!</v>
      </c>
      <c r="F181" s="14">
        <v>1.0000000000000001E-5</v>
      </c>
      <c r="G181" s="13">
        <f>LOG(F181)</f>
        <v>-5</v>
      </c>
      <c r="H181" s="13" t="e">
        <f>E181*100/$E$179</f>
        <v>#DIV/0!</v>
      </c>
    </row>
    <row r="182" spans="1:8" x14ac:dyDescent="0.2">
      <c r="A182" s="20"/>
      <c r="D182" s="13" t="e">
        <f t="shared" si="65"/>
        <v>#DIV/0!</v>
      </c>
      <c r="E182" s="13" t="e">
        <f t="shared" ref="E182:E189" si="66">D182-$D$180</f>
        <v>#DIV/0!</v>
      </c>
      <c r="F182" s="14">
        <f t="shared" ref="F182:F189" si="67">F181*0.3162</f>
        <v>3.162E-6</v>
      </c>
      <c r="G182" s="13">
        <f t="shared" ref="G182:G189" si="68">LOG(F182)</f>
        <v>-5.5000381344038098</v>
      </c>
      <c r="H182" s="13" t="e">
        <f t="shared" ref="H182:H189" si="69">E182*100/$E$179</f>
        <v>#DIV/0!</v>
      </c>
    </row>
    <row r="183" spans="1:8" x14ac:dyDescent="0.2">
      <c r="A183" s="18"/>
      <c r="D183" s="13" t="e">
        <f t="shared" si="65"/>
        <v>#DIV/0!</v>
      </c>
      <c r="E183" s="13" t="e">
        <f t="shared" si="66"/>
        <v>#DIV/0!</v>
      </c>
      <c r="F183" s="14">
        <f t="shared" si="67"/>
        <v>9.9982439999999994E-7</v>
      </c>
      <c r="G183" s="13">
        <f t="shared" si="68"/>
        <v>-6.0000762688076197</v>
      </c>
      <c r="H183" s="13" t="e">
        <f t="shared" si="69"/>
        <v>#DIV/0!</v>
      </c>
    </row>
    <row r="184" spans="1:8" x14ac:dyDescent="0.2">
      <c r="A184" s="17"/>
      <c r="D184" s="13" t="e">
        <f t="shared" si="65"/>
        <v>#DIV/0!</v>
      </c>
      <c r="E184" s="13" t="e">
        <f t="shared" si="66"/>
        <v>#DIV/0!</v>
      </c>
      <c r="F184" s="14">
        <f t="shared" si="67"/>
        <v>3.1614447527999998E-7</v>
      </c>
      <c r="G184" s="13">
        <f t="shared" si="68"/>
        <v>-6.5001144032114295</v>
      </c>
      <c r="H184" s="13" t="e">
        <f t="shared" si="69"/>
        <v>#DIV/0!</v>
      </c>
    </row>
    <row r="185" spans="1:8" x14ac:dyDescent="0.2">
      <c r="A185" s="17"/>
      <c r="D185" s="13" t="e">
        <f t="shared" si="65"/>
        <v>#DIV/0!</v>
      </c>
      <c r="E185" s="13" t="e">
        <f t="shared" si="66"/>
        <v>#DIV/0!</v>
      </c>
      <c r="F185" s="14">
        <f t="shared" si="67"/>
        <v>9.9964883083535985E-8</v>
      </c>
      <c r="G185" s="13">
        <f t="shared" si="68"/>
        <v>-7.0001525376152394</v>
      </c>
      <c r="H185" s="13" t="e">
        <f t="shared" si="69"/>
        <v>#DIV/0!</v>
      </c>
    </row>
    <row r="186" spans="1:8" x14ac:dyDescent="0.2">
      <c r="A186" s="17"/>
      <c r="D186" s="13" t="e">
        <f t="shared" si="65"/>
        <v>#DIV/0!</v>
      </c>
      <c r="E186" s="13" t="e">
        <f t="shared" si="66"/>
        <v>#DIV/0!</v>
      </c>
      <c r="F186" s="14">
        <f t="shared" si="67"/>
        <v>3.1608896031014074E-8</v>
      </c>
      <c r="G186" s="13">
        <f t="shared" si="68"/>
        <v>-7.5001906720190492</v>
      </c>
      <c r="H186" s="13" t="e">
        <f t="shared" si="69"/>
        <v>#DIV/0!</v>
      </c>
    </row>
    <row r="187" spans="1:8" x14ac:dyDescent="0.2">
      <c r="A187" s="17"/>
      <c r="D187" s="13" t="e">
        <f t="shared" si="65"/>
        <v>#DIV/0!</v>
      </c>
      <c r="E187" s="13" t="e">
        <f t="shared" si="66"/>
        <v>#DIV/0!</v>
      </c>
      <c r="F187" s="14">
        <f t="shared" si="67"/>
        <v>9.9947329250066497E-9</v>
      </c>
      <c r="G187" s="13">
        <f t="shared" si="68"/>
        <v>-8.0002288064228591</v>
      </c>
      <c r="H187" s="13" t="e">
        <f t="shared" si="69"/>
        <v>#DIV/0!</v>
      </c>
    </row>
    <row r="188" spans="1:8" x14ac:dyDescent="0.2">
      <c r="A188" s="17"/>
      <c r="D188" s="13" t="e">
        <f t="shared" si="65"/>
        <v>#DIV/0!</v>
      </c>
      <c r="E188" s="13" t="e">
        <f t="shared" si="66"/>
        <v>#DIV/0!</v>
      </c>
      <c r="F188" s="14">
        <f t="shared" si="67"/>
        <v>3.1603345508871026E-9</v>
      </c>
      <c r="G188" s="13">
        <f t="shared" si="68"/>
        <v>-8.500266940826668</v>
      </c>
      <c r="H188" s="13" t="e">
        <f t="shared" si="69"/>
        <v>#DIV/0!</v>
      </c>
    </row>
    <row r="189" spans="1:8" x14ac:dyDescent="0.2">
      <c r="A189" s="17"/>
      <c r="D189" s="13" t="e">
        <f t="shared" si="65"/>
        <v>#DIV/0!</v>
      </c>
      <c r="E189" s="13" t="e">
        <f t="shared" si="66"/>
        <v>#DIV/0!</v>
      </c>
      <c r="F189" s="14">
        <f t="shared" si="67"/>
        <v>9.992977849905017E-10</v>
      </c>
      <c r="G189" s="13">
        <f t="shared" si="68"/>
        <v>-9.0003050752304787</v>
      </c>
      <c r="H189" s="13" t="e">
        <f t="shared" si="69"/>
        <v>#DIV/0!</v>
      </c>
    </row>
    <row r="190" spans="1:8" x14ac:dyDescent="0.2">
      <c r="A190" s="17"/>
      <c r="D190" s="13" t="e">
        <f>AVERAGE(B190:C190)</f>
        <v>#DIV/0!</v>
      </c>
      <c r="E190" s="13"/>
      <c r="F190" s="14"/>
      <c r="G190" s="13"/>
      <c r="H190" s="13"/>
    </row>
    <row r="191" spans="1:8" x14ac:dyDescent="0.2">
      <c r="H191" s="4"/>
    </row>
    <row r="192" spans="1:8" x14ac:dyDescent="0.2">
      <c r="D192" s="2"/>
      <c r="E192" s="2"/>
      <c r="H192" s="2"/>
    </row>
    <row r="193" spans="1:8" x14ac:dyDescent="0.2">
      <c r="A193" s="17"/>
      <c r="D193" s="2"/>
      <c r="E193" s="2"/>
      <c r="H193" s="2"/>
    </row>
    <row r="194" spans="1:8" x14ac:dyDescent="0.2">
      <c r="D194" s="2"/>
      <c r="E194" s="2"/>
      <c r="F194" s="3"/>
      <c r="G194" s="2"/>
      <c r="H194" s="2"/>
    </row>
    <row r="195" spans="1:8" x14ac:dyDescent="0.2">
      <c r="D195" s="2"/>
      <c r="E195" s="2"/>
      <c r="F195" s="3"/>
      <c r="G195" s="2"/>
      <c r="H195" s="2"/>
    </row>
    <row r="196" spans="1:8" x14ac:dyDescent="0.2">
      <c r="D196" s="2"/>
      <c r="E196" s="2"/>
      <c r="F196" s="3"/>
      <c r="G196" s="2"/>
      <c r="H196" s="2"/>
    </row>
    <row r="197" spans="1:8" x14ac:dyDescent="0.2">
      <c r="D197" s="2"/>
      <c r="E197" s="2"/>
      <c r="F197" s="3"/>
      <c r="G197" s="2"/>
      <c r="H197" s="2"/>
    </row>
    <row r="198" spans="1:8" x14ac:dyDescent="0.2">
      <c r="D198" s="2"/>
      <c r="E198" s="2"/>
      <c r="F198" s="3"/>
      <c r="G198" s="2"/>
      <c r="H198" s="2"/>
    </row>
    <row r="199" spans="1:8" x14ac:dyDescent="0.2">
      <c r="D199" s="2"/>
      <c r="E199" s="2"/>
      <c r="F199" s="3"/>
      <c r="G199" s="2"/>
      <c r="H199" s="2"/>
    </row>
    <row r="200" spans="1:8" x14ac:dyDescent="0.2">
      <c r="D200" s="2"/>
      <c r="E200" s="2"/>
      <c r="F200" s="3"/>
      <c r="G200" s="2"/>
      <c r="H200" s="2"/>
    </row>
    <row r="201" spans="1:8" x14ac:dyDescent="0.2">
      <c r="D201" s="2"/>
      <c r="E201" s="2"/>
      <c r="F201" s="3"/>
      <c r="G201" s="2"/>
      <c r="H201" s="2"/>
    </row>
    <row r="202" spans="1:8" x14ac:dyDescent="0.2">
      <c r="D202" s="2"/>
      <c r="E202" s="2"/>
      <c r="F202" s="3"/>
      <c r="G202" s="2"/>
      <c r="H202" s="2"/>
    </row>
    <row r="203" spans="1:8" x14ac:dyDescent="0.2">
      <c r="D203" s="2"/>
      <c r="E203" s="2"/>
      <c r="F203" s="3"/>
      <c r="G203" s="2"/>
      <c r="H203" s="2"/>
    </row>
    <row r="204" spans="1:8" x14ac:dyDescent="0.2">
      <c r="H204" s="4"/>
    </row>
    <row r="205" spans="1:8" x14ac:dyDescent="0.2">
      <c r="D205" s="2"/>
      <c r="E205" s="2"/>
      <c r="H205" s="2"/>
    </row>
    <row r="206" spans="1:8" x14ac:dyDescent="0.2">
      <c r="A206" s="17"/>
      <c r="D206" s="2"/>
      <c r="E206" s="2"/>
      <c r="H206" s="2"/>
    </row>
    <row r="207" spans="1:8" x14ac:dyDescent="0.2">
      <c r="D207" s="2"/>
      <c r="E207" s="2"/>
      <c r="F207" s="3"/>
      <c r="G207" s="2"/>
      <c r="H207" s="2"/>
    </row>
    <row r="208" spans="1:8" x14ac:dyDescent="0.2">
      <c r="D208" s="2"/>
      <c r="E208" s="2"/>
      <c r="F208" s="3"/>
      <c r="G208" s="2"/>
      <c r="H208" s="2"/>
    </row>
    <row r="209" spans="4:8" x14ac:dyDescent="0.2">
      <c r="D209" s="2"/>
      <c r="E209" s="2"/>
      <c r="F209" s="3"/>
      <c r="G209" s="2"/>
      <c r="H209" s="2"/>
    </row>
    <row r="210" spans="4:8" x14ac:dyDescent="0.2">
      <c r="D210" s="2"/>
      <c r="E210" s="2"/>
      <c r="F210" s="3"/>
      <c r="G210" s="2"/>
      <c r="H210" s="2"/>
    </row>
    <row r="211" spans="4:8" x14ac:dyDescent="0.2">
      <c r="D211" s="2"/>
      <c r="E211" s="2"/>
      <c r="F211" s="3"/>
      <c r="G211" s="2"/>
      <c r="H211" s="2"/>
    </row>
    <row r="212" spans="4:8" x14ac:dyDescent="0.2">
      <c r="D212" s="2"/>
      <c r="E212" s="2"/>
      <c r="F212" s="3"/>
      <c r="G212" s="2"/>
      <c r="H212" s="2"/>
    </row>
    <row r="213" spans="4:8" x14ac:dyDescent="0.2">
      <c r="D213" s="2"/>
      <c r="E213" s="2"/>
      <c r="F213" s="3"/>
      <c r="G213" s="2"/>
      <c r="H213" s="2"/>
    </row>
    <row r="214" spans="4:8" x14ac:dyDescent="0.2">
      <c r="D214" s="2"/>
      <c r="E214" s="2"/>
      <c r="F214" s="3"/>
      <c r="G214" s="2"/>
      <c r="H214" s="2"/>
    </row>
    <row r="215" spans="4:8" x14ac:dyDescent="0.2">
      <c r="D215" s="2"/>
      <c r="E215" s="2"/>
      <c r="F215" s="3"/>
      <c r="G215" s="2"/>
      <c r="H215" s="2"/>
    </row>
    <row r="216" spans="4:8" x14ac:dyDescent="0.2">
      <c r="D216" s="2"/>
      <c r="E216" s="2"/>
      <c r="F216" s="3"/>
      <c r="G216" s="2"/>
      <c r="H216" s="2"/>
    </row>
  </sheetData>
  <phoneticPr fontId="0" type="noConversion"/>
  <printOptions gridLines="1" gridLinesSet="0"/>
  <pageMargins left="0.75" right="0.75" top="1" bottom="1" header="0.5" footer="0.5"/>
  <pageSetup scale="90" fitToHeight="2" orientation="portrait" r:id="rId1"/>
  <headerFooter scaleWithDoc="0" alignWithMargins="0"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6"/>
  <sheetViews>
    <sheetView topLeftCell="A73" zoomScale="90" zoomScaleNormal="90" workbookViewId="0">
      <selection activeCell="H103" sqref="H103:H111"/>
    </sheetView>
  </sheetViews>
  <sheetFormatPr defaultRowHeight="12.75" x14ac:dyDescent="0.2"/>
  <cols>
    <col min="1" max="1" width="24.5703125" style="16" customWidth="1"/>
    <col min="2" max="2" width="11" customWidth="1"/>
  </cols>
  <sheetData>
    <row r="1" spans="1:12" x14ac:dyDescent="0.2">
      <c r="A1" s="18" t="s">
        <v>96</v>
      </c>
      <c r="B1" s="5">
        <v>45238</v>
      </c>
      <c r="D1">
        <v>45</v>
      </c>
      <c r="E1" t="s">
        <v>97</v>
      </c>
      <c r="G1">
        <f>H1*20</f>
        <v>33520</v>
      </c>
      <c r="H1">
        <v>1676</v>
      </c>
    </row>
    <row r="2" spans="1:12" x14ac:dyDescent="0.2">
      <c r="A2" s="18" t="s">
        <v>449</v>
      </c>
      <c r="D2">
        <f>D1*2200*0.53</f>
        <v>52470</v>
      </c>
      <c r="E2" t="s">
        <v>98</v>
      </c>
      <c r="G2">
        <f>H2*20</f>
        <v>33020</v>
      </c>
      <c r="H2">
        <v>1651</v>
      </c>
    </row>
    <row r="3" spans="1:12" x14ac:dyDescent="0.2">
      <c r="D3">
        <v>1</v>
      </c>
      <c r="E3" t="s">
        <v>99</v>
      </c>
      <c r="G3">
        <f>H3*20</f>
        <v>33720</v>
      </c>
      <c r="H3">
        <v>1686</v>
      </c>
    </row>
    <row r="4" spans="1:12" x14ac:dyDescent="0.2">
      <c r="A4" s="16" t="s">
        <v>120</v>
      </c>
      <c r="D4">
        <f>AVERAGE(G1:G4)</f>
        <v>33420</v>
      </c>
      <c r="E4" t="s">
        <v>100</v>
      </c>
    </row>
    <row r="5" spans="1:12" x14ac:dyDescent="0.2">
      <c r="A5" s="17"/>
      <c r="D5" s="2">
        <f>D4*1000/(D3*D2)</f>
        <v>636.9353916523728</v>
      </c>
      <c r="E5" s="1" t="s">
        <v>114</v>
      </c>
    </row>
    <row r="6" spans="1:12" x14ac:dyDescent="0.2">
      <c r="A6" s="17" t="s">
        <v>871</v>
      </c>
      <c r="E6" s="1"/>
    </row>
    <row r="7" spans="1:12" x14ac:dyDescent="0.2">
      <c r="A7" s="28"/>
      <c r="E7" s="1"/>
    </row>
    <row r="8" spans="1:12" x14ac:dyDescent="0.2">
      <c r="E8" s="1"/>
    </row>
    <row r="9" spans="1:12" x14ac:dyDescent="0.2">
      <c r="D9" t="s">
        <v>101</v>
      </c>
      <c r="E9" t="s">
        <v>102</v>
      </c>
      <c r="F9" t="s">
        <v>103</v>
      </c>
      <c r="G9" t="s">
        <v>104</v>
      </c>
      <c r="H9" s="7" t="s">
        <v>105</v>
      </c>
    </row>
    <row r="10" spans="1:12" x14ac:dyDescent="0.2">
      <c r="A10" s="17" t="s">
        <v>106</v>
      </c>
      <c r="B10">
        <v>7420</v>
      </c>
      <c r="C10">
        <v>7257</v>
      </c>
      <c r="D10" s="2">
        <f>AVERAGE(B10:C10)</f>
        <v>7338.5</v>
      </c>
      <c r="E10" s="2">
        <f>AVERAGE(D10,D21)-$D$11</f>
        <v>7106.5</v>
      </c>
      <c r="H10" s="2">
        <f>E10*100/$E$10</f>
        <v>100</v>
      </c>
      <c r="I10" s="6"/>
      <c r="K10" s="7"/>
    </row>
    <row r="11" spans="1:12" x14ac:dyDescent="0.2">
      <c r="A11" s="29" t="s">
        <v>874</v>
      </c>
      <c r="B11">
        <v>23</v>
      </c>
      <c r="C11">
        <v>33</v>
      </c>
      <c r="D11" s="2">
        <f t="shared" ref="D11:D20" si="0">AVERAGE(B11:C11)</f>
        <v>28</v>
      </c>
      <c r="E11" s="2">
        <f t="shared" ref="E11:E20" si="1">D11-$D$11</f>
        <v>0</v>
      </c>
      <c r="H11" s="2"/>
      <c r="J11" s="7"/>
      <c r="L11" s="8"/>
    </row>
    <row r="12" spans="1:12" x14ac:dyDescent="0.2">
      <c r="A12" s="9"/>
      <c r="B12">
        <v>242</v>
      </c>
      <c r="C12">
        <v>231</v>
      </c>
      <c r="D12" s="2">
        <f t="shared" si="0"/>
        <v>236.5</v>
      </c>
      <c r="E12" s="2">
        <f t="shared" si="1"/>
        <v>208.5</v>
      </c>
      <c r="F12" s="3">
        <v>1E-8</v>
      </c>
      <c r="G12" s="2">
        <f>LOG(F12)</f>
        <v>-8</v>
      </c>
      <c r="H12" s="2">
        <f>E12*100/$E$10</f>
        <v>2.9339337226482796</v>
      </c>
      <c r="L12" s="9"/>
    </row>
    <row r="13" spans="1:12" x14ac:dyDescent="0.2">
      <c r="A13" s="17"/>
      <c r="B13">
        <v>656</v>
      </c>
      <c r="C13">
        <v>717</v>
      </c>
      <c r="D13" s="2">
        <f t="shared" si="0"/>
        <v>686.5</v>
      </c>
      <c r="E13" s="2">
        <f t="shared" si="1"/>
        <v>658.5</v>
      </c>
      <c r="F13" s="3">
        <f>F12*0.3162</f>
        <v>3.162E-9</v>
      </c>
      <c r="G13" s="2">
        <f t="shared" ref="G13:G20" si="2">LOG(F13)</f>
        <v>-8.500038134403809</v>
      </c>
      <c r="H13" s="2">
        <f t="shared" ref="H13:H20" si="3">E13*100/$E$10</f>
        <v>9.266164778723704</v>
      </c>
      <c r="K13" s="7"/>
      <c r="L13" s="9"/>
    </row>
    <row r="14" spans="1:12" x14ac:dyDescent="0.2">
      <c r="A14" s="18"/>
      <c r="B14">
        <v>2845</v>
      </c>
      <c r="C14">
        <v>3165</v>
      </c>
      <c r="D14" s="2">
        <f t="shared" si="0"/>
        <v>3005</v>
      </c>
      <c r="E14" s="2">
        <f t="shared" si="1"/>
        <v>2977</v>
      </c>
      <c r="F14" s="3">
        <f t="shared" ref="F14:F20" si="4">F13*0.3162</f>
        <v>9.9982439999999992E-10</v>
      </c>
      <c r="G14" s="2">
        <f t="shared" si="2"/>
        <v>-9.0000762688076197</v>
      </c>
      <c r="H14" s="2">
        <f t="shared" si="3"/>
        <v>41.891226342081197</v>
      </c>
      <c r="L14" s="10"/>
    </row>
    <row r="15" spans="1:12" x14ac:dyDescent="0.2">
      <c r="B15">
        <v>6786</v>
      </c>
      <c r="C15">
        <v>6468</v>
      </c>
      <c r="D15" s="2">
        <f t="shared" si="0"/>
        <v>6627</v>
      </c>
      <c r="E15" s="2">
        <f t="shared" si="1"/>
        <v>6599</v>
      </c>
      <c r="F15" s="3">
        <f t="shared" si="4"/>
        <v>3.1614447527999995E-10</v>
      </c>
      <c r="G15" s="2">
        <f t="shared" si="2"/>
        <v>-9.5001144032114286</v>
      </c>
      <c r="H15" s="2">
        <f t="shared" si="3"/>
        <v>92.858650531203821</v>
      </c>
      <c r="L15" s="9"/>
    </row>
    <row r="16" spans="1:12" x14ac:dyDescent="0.2">
      <c r="B16">
        <v>7288</v>
      </c>
      <c r="C16">
        <v>7387</v>
      </c>
      <c r="D16" s="2">
        <f t="shared" si="0"/>
        <v>7337.5</v>
      </c>
      <c r="E16" s="2">
        <f t="shared" si="1"/>
        <v>7309.5</v>
      </c>
      <c r="F16" s="3">
        <f t="shared" si="4"/>
        <v>9.9964883083535979E-11</v>
      </c>
      <c r="G16" s="2">
        <f t="shared" si="2"/>
        <v>-10.000152537615239</v>
      </c>
      <c r="H16" s="2">
        <f t="shared" si="3"/>
        <v>102.85653978751847</v>
      </c>
      <c r="L16" s="9"/>
    </row>
    <row r="17" spans="1:12" x14ac:dyDescent="0.2">
      <c r="A17" s="25"/>
      <c r="B17">
        <v>7712</v>
      </c>
      <c r="C17">
        <v>7455</v>
      </c>
      <c r="D17" s="2">
        <f t="shared" si="0"/>
        <v>7583.5</v>
      </c>
      <c r="E17" s="2">
        <f t="shared" si="1"/>
        <v>7555.5</v>
      </c>
      <c r="F17" s="3">
        <f t="shared" si="4"/>
        <v>3.1608896031014074E-11</v>
      </c>
      <c r="G17" s="2">
        <f t="shared" si="2"/>
        <v>-10.500190672019048</v>
      </c>
      <c r="H17" s="2">
        <f t="shared" si="3"/>
        <v>106.31815943150637</v>
      </c>
      <c r="L17" s="8"/>
    </row>
    <row r="18" spans="1:12" x14ac:dyDescent="0.2">
      <c r="A18" s="25"/>
      <c r="B18">
        <v>7723</v>
      </c>
      <c r="C18">
        <v>6962</v>
      </c>
      <c r="D18" s="2">
        <f t="shared" si="0"/>
        <v>7342.5</v>
      </c>
      <c r="E18" s="2">
        <f t="shared" si="1"/>
        <v>7314.5</v>
      </c>
      <c r="F18" s="3">
        <f t="shared" si="4"/>
        <v>9.99473292500665E-12</v>
      </c>
      <c r="G18" s="2">
        <f t="shared" si="2"/>
        <v>-11.000228806422859</v>
      </c>
      <c r="H18" s="2">
        <f t="shared" si="3"/>
        <v>102.92689791036375</v>
      </c>
      <c r="L18" s="9"/>
    </row>
    <row r="19" spans="1:12" x14ac:dyDescent="0.2">
      <c r="A19" s="25"/>
      <c r="B19">
        <v>7543</v>
      </c>
      <c r="C19">
        <v>6869</v>
      </c>
      <c r="D19" s="2">
        <f t="shared" si="0"/>
        <v>7206</v>
      </c>
      <c r="E19" s="2">
        <f t="shared" si="1"/>
        <v>7178</v>
      </c>
      <c r="F19" s="3">
        <f t="shared" si="4"/>
        <v>3.1603345508871027E-12</v>
      </c>
      <c r="G19" s="2">
        <f t="shared" si="2"/>
        <v>-11.500266940826668</v>
      </c>
      <c r="H19" s="2">
        <f t="shared" si="3"/>
        <v>101.00612115668754</v>
      </c>
      <c r="L19" s="9"/>
    </row>
    <row r="20" spans="1:12" x14ac:dyDescent="0.2">
      <c r="B20">
        <v>7245</v>
      </c>
      <c r="C20">
        <v>7058</v>
      </c>
      <c r="D20" s="2">
        <f t="shared" si="0"/>
        <v>7151.5</v>
      </c>
      <c r="E20" s="2">
        <f t="shared" si="1"/>
        <v>7123.5</v>
      </c>
      <c r="F20" s="3">
        <f t="shared" si="4"/>
        <v>9.9929778499050177E-13</v>
      </c>
      <c r="G20" s="2">
        <f t="shared" si="2"/>
        <v>-12.000305075230479</v>
      </c>
      <c r="H20" s="2">
        <f t="shared" si="3"/>
        <v>100.23921761767396</v>
      </c>
      <c r="L20" s="9"/>
    </row>
    <row r="21" spans="1:12" x14ac:dyDescent="0.2">
      <c r="B21">
        <v>6909</v>
      </c>
      <c r="C21">
        <v>6952</v>
      </c>
      <c r="D21" s="2">
        <f>AVERAGE(B21:C21)</f>
        <v>6930.5</v>
      </c>
      <c r="E21" s="2"/>
      <c r="F21" s="3"/>
      <c r="G21" s="2"/>
      <c r="H21" s="2"/>
    </row>
    <row r="22" spans="1:12" x14ac:dyDescent="0.2">
      <c r="D22" t="s">
        <v>101</v>
      </c>
      <c r="E22" t="s">
        <v>102</v>
      </c>
      <c r="F22" t="s">
        <v>103</v>
      </c>
      <c r="G22" t="s">
        <v>104</v>
      </c>
      <c r="H22" s="7" t="s">
        <v>105</v>
      </c>
      <c r="L22" s="9"/>
    </row>
    <row r="23" spans="1:12" x14ac:dyDescent="0.2">
      <c r="A23" s="16" t="s">
        <v>107</v>
      </c>
      <c r="B23">
        <v>7390</v>
      </c>
      <c r="C23">
        <v>7178</v>
      </c>
      <c r="D23" s="2">
        <f>AVERAGE(B23:C23)</f>
        <v>7284</v>
      </c>
      <c r="E23" s="2">
        <f>AVERAGE(D23,D34)-$D$24</f>
        <v>7142.5</v>
      </c>
      <c r="H23" s="2">
        <f>E23*100/$E$23</f>
        <v>100</v>
      </c>
      <c r="L23" s="9"/>
    </row>
    <row r="24" spans="1:12" ht="25.5" x14ac:dyDescent="0.2">
      <c r="A24" s="29" t="s">
        <v>856</v>
      </c>
      <c r="B24">
        <v>42</v>
      </c>
      <c r="C24">
        <v>24</v>
      </c>
      <c r="D24" s="2">
        <f t="shared" ref="D24:D34" si="5">AVERAGE(B24:C24)</f>
        <v>33</v>
      </c>
      <c r="E24" s="2">
        <f t="shared" ref="E24:E33" si="6">D24-$D$24</f>
        <v>0</v>
      </c>
      <c r="H24" s="2"/>
      <c r="L24" s="9"/>
    </row>
    <row r="25" spans="1:12" x14ac:dyDescent="0.2">
      <c r="A25" s="9"/>
      <c r="B25">
        <v>728</v>
      </c>
      <c r="C25">
        <v>762</v>
      </c>
      <c r="D25" s="2">
        <f t="shared" si="5"/>
        <v>745</v>
      </c>
      <c r="E25" s="2">
        <f t="shared" si="6"/>
        <v>712</v>
      </c>
      <c r="F25" s="3">
        <v>1.0000000000000001E-5</v>
      </c>
      <c r="G25" s="2">
        <f>LOG(F25)</f>
        <v>-5</v>
      </c>
      <c r="H25" s="2">
        <f t="shared" ref="H25:H33" si="7">E25*100/$E$23</f>
        <v>9.9684984249212469</v>
      </c>
      <c r="L25" s="9"/>
    </row>
    <row r="26" spans="1:12" x14ac:dyDescent="0.2">
      <c r="A26" s="17"/>
      <c r="B26">
        <v>1618</v>
      </c>
      <c r="C26">
        <v>1656</v>
      </c>
      <c r="D26" s="2">
        <f t="shared" si="5"/>
        <v>1637</v>
      </c>
      <c r="E26" s="2">
        <f t="shared" si="6"/>
        <v>1604</v>
      </c>
      <c r="F26" s="3">
        <f t="shared" ref="F26:F33" si="8">F25*0.3162</f>
        <v>3.162E-6</v>
      </c>
      <c r="G26" s="2">
        <f t="shared" ref="G26:G33" si="9">LOG(F26)</f>
        <v>-5.5000381344038098</v>
      </c>
      <c r="H26" s="2">
        <f t="shared" si="7"/>
        <v>22.457122856142806</v>
      </c>
      <c r="L26" s="10"/>
    </row>
    <row r="27" spans="1:12" x14ac:dyDescent="0.2">
      <c r="A27" s="18"/>
      <c r="B27">
        <v>3495</v>
      </c>
      <c r="C27">
        <v>3356</v>
      </c>
      <c r="D27" s="2">
        <f t="shared" si="5"/>
        <v>3425.5</v>
      </c>
      <c r="E27" s="2">
        <f t="shared" si="6"/>
        <v>3392.5</v>
      </c>
      <c r="F27" s="3">
        <f t="shared" si="8"/>
        <v>9.9982439999999994E-7</v>
      </c>
      <c r="G27" s="2">
        <f t="shared" si="9"/>
        <v>-6.0000762688076197</v>
      </c>
      <c r="H27" s="2">
        <f t="shared" si="7"/>
        <v>47.497374868743435</v>
      </c>
      <c r="L27" s="9"/>
    </row>
    <row r="28" spans="1:12" ht="15" x14ac:dyDescent="0.2">
      <c r="A28" s="24"/>
      <c r="B28">
        <v>5613</v>
      </c>
      <c r="C28">
        <v>5571</v>
      </c>
      <c r="D28" s="2">
        <f t="shared" si="5"/>
        <v>5592</v>
      </c>
      <c r="E28" s="2">
        <f t="shared" si="6"/>
        <v>5559</v>
      </c>
      <c r="F28" s="3">
        <f t="shared" si="8"/>
        <v>3.1614447527999998E-7</v>
      </c>
      <c r="G28" s="2">
        <f t="shared" si="9"/>
        <v>-6.5001144032114295</v>
      </c>
      <c r="H28" s="2">
        <f t="shared" si="7"/>
        <v>77.829891494574724</v>
      </c>
    </row>
    <row r="29" spans="1:12" x14ac:dyDescent="0.2">
      <c r="B29">
        <v>7116</v>
      </c>
      <c r="C29">
        <v>6787</v>
      </c>
      <c r="D29" s="2">
        <f t="shared" si="5"/>
        <v>6951.5</v>
      </c>
      <c r="E29" s="2">
        <f t="shared" si="6"/>
        <v>6918.5</v>
      </c>
      <c r="F29" s="3">
        <f t="shared" si="8"/>
        <v>9.9964883083535985E-8</v>
      </c>
      <c r="G29" s="2">
        <f t="shared" si="9"/>
        <v>-7.0001525376152394</v>
      </c>
      <c r="H29" s="2">
        <f t="shared" si="7"/>
        <v>96.863843192159607</v>
      </c>
    </row>
    <row r="30" spans="1:12" x14ac:dyDescent="0.2">
      <c r="A30" s="25"/>
      <c r="B30">
        <v>7511</v>
      </c>
      <c r="C30">
        <v>7495</v>
      </c>
      <c r="D30" s="2">
        <f t="shared" si="5"/>
        <v>7503</v>
      </c>
      <c r="E30" s="2">
        <f t="shared" si="6"/>
        <v>7470</v>
      </c>
      <c r="F30" s="3">
        <f t="shared" si="8"/>
        <v>3.1608896031014074E-8</v>
      </c>
      <c r="G30" s="2">
        <f t="shared" si="9"/>
        <v>-7.5001906720190492</v>
      </c>
      <c r="H30" s="2">
        <f t="shared" si="7"/>
        <v>104.58522926146307</v>
      </c>
    </row>
    <row r="31" spans="1:12" x14ac:dyDescent="0.2">
      <c r="B31">
        <v>7441</v>
      </c>
      <c r="C31">
        <v>7313</v>
      </c>
      <c r="D31" s="2">
        <f t="shared" si="5"/>
        <v>7377</v>
      </c>
      <c r="E31" s="2">
        <f t="shared" si="6"/>
        <v>7344</v>
      </c>
      <c r="F31" s="3">
        <f t="shared" si="8"/>
        <v>9.9947329250066497E-9</v>
      </c>
      <c r="G31" s="2">
        <f t="shared" si="9"/>
        <v>-8.0002288064228591</v>
      </c>
      <c r="H31" s="2">
        <f t="shared" si="7"/>
        <v>102.82114105705286</v>
      </c>
    </row>
    <row r="32" spans="1:12" x14ac:dyDescent="0.2">
      <c r="B32">
        <v>7428</v>
      </c>
      <c r="C32">
        <v>7416</v>
      </c>
      <c r="D32" s="2">
        <f t="shared" si="5"/>
        <v>7422</v>
      </c>
      <c r="E32" s="2">
        <f t="shared" si="6"/>
        <v>7389</v>
      </c>
      <c r="F32" s="3">
        <f t="shared" si="8"/>
        <v>3.1603345508871026E-9</v>
      </c>
      <c r="G32" s="2">
        <f t="shared" si="9"/>
        <v>-8.500266940826668</v>
      </c>
      <c r="H32" s="2">
        <f t="shared" si="7"/>
        <v>103.45117255862793</v>
      </c>
    </row>
    <row r="33" spans="1:10" x14ac:dyDescent="0.2">
      <c r="B33">
        <v>7713</v>
      </c>
      <c r="C33">
        <v>7384</v>
      </c>
      <c r="D33" s="2">
        <f t="shared" si="5"/>
        <v>7548.5</v>
      </c>
      <c r="E33" s="2">
        <f t="shared" si="6"/>
        <v>7515.5</v>
      </c>
      <c r="F33" s="3">
        <f t="shared" si="8"/>
        <v>9.992977849905017E-10</v>
      </c>
      <c r="G33" s="2">
        <f t="shared" si="9"/>
        <v>-9.0003050752304787</v>
      </c>
      <c r="H33" s="2">
        <f t="shared" si="7"/>
        <v>105.22226111305565</v>
      </c>
    </row>
    <row r="34" spans="1:10" x14ac:dyDescent="0.2">
      <c r="B34">
        <v>7124</v>
      </c>
      <c r="C34">
        <v>7010</v>
      </c>
      <c r="D34" s="2">
        <f t="shared" si="5"/>
        <v>7067</v>
      </c>
      <c r="E34" s="2"/>
      <c r="F34" s="3"/>
      <c r="G34" s="2"/>
      <c r="H34" s="2"/>
    </row>
    <row r="35" spans="1:10" x14ac:dyDescent="0.2">
      <c r="D35" t="s">
        <v>101</v>
      </c>
      <c r="E35" t="s">
        <v>102</v>
      </c>
      <c r="F35" t="s">
        <v>103</v>
      </c>
      <c r="G35" t="s">
        <v>104</v>
      </c>
      <c r="H35" s="7" t="s">
        <v>105</v>
      </c>
    </row>
    <row r="36" spans="1:10" x14ac:dyDescent="0.2">
      <c r="A36" s="16" t="s">
        <v>108</v>
      </c>
      <c r="B36">
        <v>7443</v>
      </c>
      <c r="C36">
        <v>7426</v>
      </c>
      <c r="D36" s="2">
        <f>AVERAGE(B36:C36)</f>
        <v>7434.5</v>
      </c>
      <c r="E36" s="2">
        <f>AVERAGE(D36,D47)-$D$37</f>
        <v>7385.25</v>
      </c>
      <c r="H36" s="2">
        <f>E36*100/$E$36</f>
        <v>100</v>
      </c>
    </row>
    <row r="37" spans="1:10" x14ac:dyDescent="0.2">
      <c r="A37" s="29" t="s">
        <v>858</v>
      </c>
      <c r="B37">
        <v>31</v>
      </c>
      <c r="C37">
        <v>33</v>
      </c>
      <c r="D37" s="2">
        <f t="shared" ref="D37:D47" si="10">AVERAGE(B37:C37)</f>
        <v>32</v>
      </c>
      <c r="E37" s="2">
        <f t="shared" ref="E37:E46" si="11">D37-$D$37</f>
        <v>0</v>
      </c>
      <c r="H37" s="2"/>
      <c r="J37" s="11"/>
    </row>
    <row r="38" spans="1:10" x14ac:dyDescent="0.2">
      <c r="B38">
        <v>1500</v>
      </c>
      <c r="C38">
        <v>1432</v>
      </c>
      <c r="D38" s="2">
        <f t="shared" si="10"/>
        <v>1466</v>
      </c>
      <c r="E38" s="2">
        <f t="shared" si="11"/>
        <v>1434</v>
      </c>
      <c r="F38" s="3">
        <v>1.0000000000000001E-5</v>
      </c>
      <c r="G38" s="2">
        <f>LOG(F38)</f>
        <v>-5</v>
      </c>
      <c r="H38" s="2">
        <f t="shared" ref="H38:H46" si="12">E38*100/$E$36</f>
        <v>19.417081344571951</v>
      </c>
    </row>
    <row r="39" spans="1:10" x14ac:dyDescent="0.2">
      <c r="A39" s="17"/>
      <c r="B39">
        <v>3241</v>
      </c>
      <c r="C39">
        <v>3212</v>
      </c>
      <c r="D39" s="2">
        <f t="shared" si="10"/>
        <v>3226.5</v>
      </c>
      <c r="E39" s="2">
        <f t="shared" si="11"/>
        <v>3194.5</v>
      </c>
      <c r="F39" s="3">
        <f t="shared" ref="F39:F46" si="13">F38*0.3162</f>
        <v>3.162E-6</v>
      </c>
      <c r="G39" s="2">
        <f t="shared" ref="G39:G46" si="14">LOG(F39)</f>
        <v>-5.5000381344038098</v>
      </c>
      <c r="H39" s="2">
        <f t="shared" si="12"/>
        <v>43.255136928336889</v>
      </c>
    </row>
    <row r="40" spans="1:10" x14ac:dyDescent="0.2">
      <c r="A40" s="9"/>
      <c r="B40">
        <v>5202</v>
      </c>
      <c r="C40">
        <v>5167</v>
      </c>
      <c r="D40" s="2">
        <f t="shared" si="10"/>
        <v>5184.5</v>
      </c>
      <c r="E40" s="2">
        <f t="shared" si="11"/>
        <v>5152.5</v>
      </c>
      <c r="F40" s="3">
        <f t="shared" si="13"/>
        <v>9.9982439999999994E-7</v>
      </c>
      <c r="G40" s="2">
        <f t="shared" si="14"/>
        <v>-6.0000762688076197</v>
      </c>
      <c r="H40" s="2">
        <f t="shared" si="12"/>
        <v>69.767441860465112</v>
      </c>
    </row>
    <row r="41" spans="1:10" x14ac:dyDescent="0.2">
      <c r="B41">
        <v>6831</v>
      </c>
      <c r="C41">
        <v>6893</v>
      </c>
      <c r="D41" s="2">
        <f t="shared" si="10"/>
        <v>6862</v>
      </c>
      <c r="E41" s="2">
        <f t="shared" si="11"/>
        <v>6830</v>
      </c>
      <c r="F41" s="3">
        <f t="shared" si="13"/>
        <v>3.1614447527999998E-7</v>
      </c>
      <c r="G41" s="2">
        <f t="shared" si="14"/>
        <v>-6.5001144032114295</v>
      </c>
      <c r="H41" s="2">
        <f t="shared" si="12"/>
        <v>92.481635692765991</v>
      </c>
    </row>
    <row r="42" spans="1:10" x14ac:dyDescent="0.2">
      <c r="B42">
        <v>7683</v>
      </c>
      <c r="C42">
        <v>7872</v>
      </c>
      <c r="D42" s="2">
        <f t="shared" si="10"/>
        <v>7777.5</v>
      </c>
      <c r="E42" s="2">
        <f t="shared" si="11"/>
        <v>7745.5</v>
      </c>
      <c r="F42" s="3">
        <f t="shared" si="13"/>
        <v>9.9964883083535985E-8</v>
      </c>
      <c r="G42" s="2">
        <f t="shared" si="14"/>
        <v>-7.0001525376152394</v>
      </c>
      <c r="H42" s="2">
        <f t="shared" si="12"/>
        <v>104.87796621644495</v>
      </c>
    </row>
    <row r="43" spans="1:10" x14ac:dyDescent="0.2">
      <c r="A43" s="25"/>
      <c r="B43">
        <v>7740</v>
      </c>
      <c r="C43">
        <v>7629</v>
      </c>
      <c r="D43" s="2">
        <f t="shared" si="10"/>
        <v>7684.5</v>
      </c>
      <c r="E43" s="2">
        <f t="shared" si="11"/>
        <v>7652.5</v>
      </c>
      <c r="F43" s="3">
        <f t="shared" si="13"/>
        <v>3.1608896031014074E-8</v>
      </c>
      <c r="G43" s="2">
        <f t="shared" si="14"/>
        <v>-7.5001906720190492</v>
      </c>
      <c r="H43" s="2">
        <f t="shared" si="12"/>
        <v>103.618699434684</v>
      </c>
    </row>
    <row r="44" spans="1:10" x14ac:dyDescent="0.2">
      <c r="B44">
        <v>7630</v>
      </c>
      <c r="C44">
        <v>7516</v>
      </c>
      <c r="D44" s="2">
        <f t="shared" si="10"/>
        <v>7573</v>
      </c>
      <c r="E44" s="2">
        <f t="shared" si="11"/>
        <v>7541</v>
      </c>
      <c r="F44" s="3">
        <f t="shared" si="13"/>
        <v>9.9947329250066497E-9</v>
      </c>
      <c r="G44" s="2">
        <f t="shared" si="14"/>
        <v>-8.0002288064228591</v>
      </c>
      <c r="H44" s="2">
        <f t="shared" si="12"/>
        <v>102.10893334687384</v>
      </c>
    </row>
    <row r="45" spans="1:10" x14ac:dyDescent="0.2">
      <c r="A45" s="25"/>
      <c r="B45">
        <v>7512</v>
      </c>
      <c r="C45">
        <v>7540</v>
      </c>
      <c r="D45" s="2">
        <f t="shared" si="10"/>
        <v>7526</v>
      </c>
      <c r="E45" s="2">
        <f t="shared" si="11"/>
        <v>7494</v>
      </c>
      <c r="F45" s="3">
        <f t="shared" si="13"/>
        <v>3.1603345508871026E-9</v>
      </c>
      <c r="G45" s="2">
        <f t="shared" si="14"/>
        <v>-8.500266940826668</v>
      </c>
      <c r="H45" s="2">
        <f t="shared" si="12"/>
        <v>101.47252970447852</v>
      </c>
    </row>
    <row r="46" spans="1:10" x14ac:dyDescent="0.2">
      <c r="B46">
        <v>7643</v>
      </c>
      <c r="C46">
        <v>7528</v>
      </c>
      <c r="D46" s="2">
        <f t="shared" si="10"/>
        <v>7585.5</v>
      </c>
      <c r="E46" s="2">
        <f t="shared" si="11"/>
        <v>7553.5</v>
      </c>
      <c r="F46" s="3">
        <f t="shared" si="13"/>
        <v>9.992977849905017E-10</v>
      </c>
      <c r="G46" s="2">
        <f t="shared" si="14"/>
        <v>-9.0003050752304787</v>
      </c>
      <c r="H46" s="2">
        <f t="shared" si="12"/>
        <v>102.27818963474493</v>
      </c>
    </row>
    <row r="47" spans="1:10" x14ac:dyDescent="0.2">
      <c r="B47">
        <v>7323</v>
      </c>
      <c r="C47">
        <v>7477</v>
      </c>
      <c r="D47" s="2">
        <f t="shared" si="10"/>
        <v>7400</v>
      </c>
      <c r="E47" s="2"/>
      <c r="F47" s="3"/>
      <c r="G47" s="2"/>
      <c r="H47" s="2"/>
    </row>
    <row r="48" spans="1:10" x14ac:dyDescent="0.2">
      <c r="D48" t="s">
        <v>101</v>
      </c>
      <c r="E48" t="s">
        <v>102</v>
      </c>
      <c r="F48" t="s">
        <v>103</v>
      </c>
      <c r="G48" t="s">
        <v>104</v>
      </c>
      <c r="H48" s="7" t="s">
        <v>105</v>
      </c>
    </row>
    <row r="49" spans="1:10" x14ac:dyDescent="0.2">
      <c r="A49" s="16" t="s">
        <v>109</v>
      </c>
      <c r="B49">
        <v>7277</v>
      </c>
      <c r="C49">
        <v>6697</v>
      </c>
      <c r="D49" s="2">
        <f>AVERAGE(B49:C49)</f>
        <v>6987</v>
      </c>
      <c r="E49" s="2">
        <f>AVERAGE(D49,D60)-$D$50</f>
        <v>7342.25</v>
      </c>
      <c r="H49" s="2">
        <f>E49*100/$E$49</f>
        <v>100</v>
      </c>
    </row>
    <row r="50" spans="1:10" x14ac:dyDescent="0.2">
      <c r="A50" s="16" t="s">
        <v>848</v>
      </c>
      <c r="B50">
        <v>15</v>
      </c>
      <c r="C50">
        <v>12</v>
      </c>
      <c r="D50" s="2">
        <f t="shared" ref="D50:D59" si="15">AVERAGE(B50:C50)</f>
        <v>13.5</v>
      </c>
      <c r="E50" s="2">
        <f t="shared" ref="E50:E59" si="16">D50-$D$50</f>
        <v>0</v>
      </c>
      <c r="H50" s="2"/>
      <c r="J50" s="11"/>
    </row>
    <row r="51" spans="1:10" x14ac:dyDescent="0.2">
      <c r="A51" s="9"/>
      <c r="B51">
        <v>60</v>
      </c>
      <c r="C51">
        <v>52</v>
      </c>
      <c r="D51" s="2">
        <f t="shared" si="15"/>
        <v>56</v>
      </c>
      <c r="E51" s="2">
        <f t="shared" si="16"/>
        <v>42.5</v>
      </c>
      <c r="F51" s="3">
        <v>9.9999999999999995E-8</v>
      </c>
      <c r="G51" s="2">
        <f>LOG(F51)</f>
        <v>-7</v>
      </c>
      <c r="H51" s="2">
        <f t="shared" ref="H51:H59" si="17">E51*100/$E$49</f>
        <v>0.57884163573836356</v>
      </c>
    </row>
    <row r="52" spans="1:10" x14ac:dyDescent="0.2">
      <c r="A52" s="17"/>
      <c r="B52">
        <v>172</v>
      </c>
      <c r="C52">
        <v>158</v>
      </c>
      <c r="D52" s="2">
        <f t="shared" si="15"/>
        <v>165</v>
      </c>
      <c r="E52" s="2">
        <f t="shared" si="16"/>
        <v>151.5</v>
      </c>
      <c r="F52" s="3">
        <f t="shared" ref="F52:F59" si="18">F51*0.3162</f>
        <v>3.1619999999999995E-8</v>
      </c>
      <c r="G52" s="2">
        <f t="shared" ref="G52:G59" si="19">LOG(F52)</f>
        <v>-7.5000381344038098</v>
      </c>
      <c r="H52" s="2">
        <f t="shared" si="17"/>
        <v>2.0634001838673433</v>
      </c>
    </row>
    <row r="53" spans="1:10" x14ac:dyDescent="0.2">
      <c r="A53" s="9"/>
      <c r="B53">
        <v>518</v>
      </c>
      <c r="C53">
        <v>434</v>
      </c>
      <c r="D53" s="2">
        <f t="shared" si="15"/>
        <v>476</v>
      </c>
      <c r="E53" s="2">
        <f t="shared" si="16"/>
        <v>462.5</v>
      </c>
      <c r="F53" s="3">
        <f t="shared" si="18"/>
        <v>9.998243999999998E-9</v>
      </c>
      <c r="G53" s="2">
        <f t="shared" si="19"/>
        <v>-8.0000762688076197</v>
      </c>
      <c r="H53" s="2">
        <f t="shared" si="17"/>
        <v>6.2991589771527803</v>
      </c>
    </row>
    <row r="54" spans="1:10" x14ac:dyDescent="0.2">
      <c r="B54">
        <v>1768</v>
      </c>
      <c r="C54">
        <v>1521</v>
      </c>
      <c r="D54" s="2">
        <f t="shared" si="15"/>
        <v>1644.5</v>
      </c>
      <c r="E54" s="2">
        <f t="shared" si="16"/>
        <v>1631</v>
      </c>
      <c r="F54" s="3">
        <f t="shared" si="18"/>
        <v>3.161444752799999E-9</v>
      </c>
      <c r="G54" s="2">
        <f t="shared" si="19"/>
        <v>-8.5001144032114286</v>
      </c>
      <c r="H54" s="2">
        <f t="shared" si="17"/>
        <v>22.213899009159316</v>
      </c>
    </row>
    <row r="55" spans="1:10" x14ac:dyDescent="0.2">
      <c r="A55" s="25"/>
      <c r="B55">
        <v>3843</v>
      </c>
      <c r="C55">
        <v>3646</v>
      </c>
      <c r="D55" s="2">
        <f t="shared" si="15"/>
        <v>3744.5</v>
      </c>
      <c r="E55" s="2">
        <f t="shared" si="16"/>
        <v>3731</v>
      </c>
      <c r="F55" s="3">
        <f t="shared" si="18"/>
        <v>9.9964883083535969E-10</v>
      </c>
      <c r="G55" s="2">
        <f t="shared" si="19"/>
        <v>-9.0001525376152394</v>
      </c>
      <c r="H55" s="2">
        <f t="shared" si="17"/>
        <v>50.8154857162314</v>
      </c>
    </row>
    <row r="56" spans="1:10" x14ac:dyDescent="0.2">
      <c r="A56" s="25"/>
      <c r="B56">
        <v>6233</v>
      </c>
      <c r="C56">
        <v>6170</v>
      </c>
      <c r="D56" s="2">
        <f t="shared" si="15"/>
        <v>6201.5</v>
      </c>
      <c r="E56" s="2">
        <f t="shared" si="16"/>
        <v>6188</v>
      </c>
      <c r="F56" s="3">
        <f t="shared" si="18"/>
        <v>3.1608896031014073E-10</v>
      </c>
      <c r="G56" s="2">
        <f t="shared" si="19"/>
        <v>-9.5001906720190483</v>
      </c>
      <c r="H56" s="2">
        <f t="shared" si="17"/>
        <v>84.279342163505731</v>
      </c>
    </row>
    <row r="57" spans="1:10" x14ac:dyDescent="0.2">
      <c r="B57">
        <v>7047</v>
      </c>
      <c r="C57">
        <v>6694</v>
      </c>
      <c r="D57" s="2">
        <f t="shared" si="15"/>
        <v>6870.5</v>
      </c>
      <c r="E57" s="2">
        <f t="shared" si="16"/>
        <v>6857</v>
      </c>
      <c r="F57" s="3">
        <f t="shared" si="18"/>
        <v>9.9947329250066487E-11</v>
      </c>
      <c r="G57" s="2">
        <f t="shared" si="19"/>
        <v>-10.000228806422859</v>
      </c>
      <c r="H57" s="2">
        <f t="shared" si="17"/>
        <v>93.390990500187272</v>
      </c>
    </row>
    <row r="58" spans="1:10" x14ac:dyDescent="0.2">
      <c r="B58">
        <v>7050</v>
      </c>
      <c r="C58">
        <v>7020</v>
      </c>
      <c r="D58" s="2">
        <f t="shared" si="15"/>
        <v>7035</v>
      </c>
      <c r="E58" s="2">
        <f t="shared" si="16"/>
        <v>7021.5</v>
      </c>
      <c r="F58" s="3">
        <f t="shared" si="18"/>
        <v>3.1603345508871023E-11</v>
      </c>
      <c r="G58" s="2">
        <f t="shared" si="19"/>
        <v>-10.500266940826668</v>
      </c>
      <c r="H58" s="2">
        <f t="shared" si="17"/>
        <v>95.631448125574579</v>
      </c>
    </row>
    <row r="59" spans="1:10" x14ac:dyDescent="0.2">
      <c r="A59"/>
      <c r="B59">
        <v>7146</v>
      </c>
      <c r="C59">
        <v>6911</v>
      </c>
      <c r="D59" s="2">
        <f t="shared" si="15"/>
        <v>7028.5</v>
      </c>
      <c r="E59" s="2">
        <f t="shared" si="16"/>
        <v>7015</v>
      </c>
      <c r="F59" s="3">
        <f t="shared" si="18"/>
        <v>9.9929778499050173E-12</v>
      </c>
      <c r="G59" s="2">
        <f t="shared" si="19"/>
        <v>-11.000305075230479</v>
      </c>
      <c r="H59" s="2">
        <f t="shared" si="17"/>
        <v>95.542919404814597</v>
      </c>
    </row>
    <row r="60" spans="1:10" x14ac:dyDescent="0.2">
      <c r="B60">
        <v>7594</v>
      </c>
      <c r="C60">
        <v>7855</v>
      </c>
      <c r="D60" s="2">
        <f>AVERAGE(B60:C60)</f>
        <v>7724.5</v>
      </c>
      <c r="E60" s="2"/>
      <c r="F60" s="3"/>
      <c r="G60" s="2"/>
      <c r="H60" s="2"/>
    </row>
    <row r="61" spans="1:10" x14ac:dyDescent="0.2">
      <c r="D61" t="s">
        <v>101</v>
      </c>
      <c r="E61" t="s">
        <v>102</v>
      </c>
      <c r="F61" t="s">
        <v>103</v>
      </c>
      <c r="G61" t="s">
        <v>104</v>
      </c>
      <c r="H61" s="7" t="s">
        <v>105</v>
      </c>
    </row>
    <row r="62" spans="1:10" x14ac:dyDescent="0.2">
      <c r="A62" s="16" t="s">
        <v>110</v>
      </c>
      <c r="B62">
        <v>7401</v>
      </c>
      <c r="C62">
        <v>7607</v>
      </c>
      <c r="D62" s="2">
        <f>AVERAGE(B62:C62)</f>
        <v>7504</v>
      </c>
      <c r="E62" s="2">
        <f>AVERAGE(D62,D73)-$D$63</f>
        <v>7526</v>
      </c>
      <c r="H62" s="2">
        <f>E62*100/$E$62</f>
        <v>100</v>
      </c>
    </row>
    <row r="63" spans="1:10" x14ac:dyDescent="0.2">
      <c r="A63" s="17" t="s">
        <v>859</v>
      </c>
      <c r="B63">
        <v>32</v>
      </c>
      <c r="C63">
        <v>50</v>
      </c>
      <c r="D63" s="2">
        <f t="shared" ref="D63:D73" si="20">AVERAGE(B63:C63)</f>
        <v>41</v>
      </c>
      <c r="E63" s="2">
        <f t="shared" ref="E63:E72" si="21">D63-$D$63</f>
        <v>0</v>
      </c>
      <c r="H63" s="2"/>
      <c r="J63" s="7"/>
    </row>
    <row r="64" spans="1:10" x14ac:dyDescent="0.2">
      <c r="A64" s="9"/>
      <c r="B64">
        <v>553</v>
      </c>
      <c r="C64">
        <v>423</v>
      </c>
      <c r="D64" s="2">
        <f t="shared" si="20"/>
        <v>488</v>
      </c>
      <c r="E64" s="2">
        <f t="shared" si="21"/>
        <v>447</v>
      </c>
      <c r="F64" s="3">
        <v>1.0000000000000001E-5</v>
      </c>
      <c r="G64" s="2">
        <f>LOG(F64)</f>
        <v>-5</v>
      </c>
      <c r="H64" s="2">
        <f t="shared" ref="H64:H72" si="22">E64*100/$E$62</f>
        <v>5.9394100451767207</v>
      </c>
    </row>
    <row r="65" spans="1:10" x14ac:dyDescent="0.2">
      <c r="A65" s="17"/>
      <c r="B65">
        <v>1723</v>
      </c>
      <c r="C65">
        <v>1622</v>
      </c>
      <c r="D65" s="2">
        <f t="shared" si="20"/>
        <v>1672.5</v>
      </c>
      <c r="E65" s="2">
        <f t="shared" si="21"/>
        <v>1631.5</v>
      </c>
      <c r="F65" s="3">
        <f t="shared" ref="F65:F72" si="23">F64*0.3162</f>
        <v>3.162E-6</v>
      </c>
      <c r="G65" s="2">
        <f t="shared" ref="G65:G72" si="24">LOG(F65)</f>
        <v>-5.5000381344038098</v>
      </c>
      <c r="H65" s="2">
        <f t="shared" si="22"/>
        <v>21.678182301355303</v>
      </c>
    </row>
    <row r="66" spans="1:10" ht="15" x14ac:dyDescent="0.2">
      <c r="A66" s="24"/>
      <c r="B66">
        <v>3658</v>
      </c>
      <c r="C66">
        <v>3389</v>
      </c>
      <c r="D66" s="2">
        <f t="shared" si="20"/>
        <v>3523.5</v>
      </c>
      <c r="E66" s="2">
        <f t="shared" si="21"/>
        <v>3482.5</v>
      </c>
      <c r="F66" s="3">
        <f t="shared" si="23"/>
        <v>9.9982439999999994E-7</v>
      </c>
      <c r="G66" s="2">
        <f t="shared" si="24"/>
        <v>-6.0000762688076197</v>
      </c>
      <c r="H66" s="2">
        <f t="shared" si="22"/>
        <v>46.272920542120652</v>
      </c>
    </row>
    <row r="67" spans="1:10" x14ac:dyDescent="0.2">
      <c r="B67">
        <v>6733</v>
      </c>
      <c r="C67">
        <v>6444</v>
      </c>
      <c r="D67" s="2">
        <f t="shared" si="20"/>
        <v>6588.5</v>
      </c>
      <c r="E67" s="2">
        <f t="shared" si="21"/>
        <v>6547.5</v>
      </c>
      <c r="F67" s="3">
        <f t="shared" si="23"/>
        <v>3.1614447527999998E-7</v>
      </c>
      <c r="G67" s="2">
        <f t="shared" si="24"/>
        <v>-6.5001144032114295</v>
      </c>
      <c r="H67" s="2">
        <f t="shared" si="22"/>
        <v>86.998405527504644</v>
      </c>
    </row>
    <row r="68" spans="1:10" x14ac:dyDescent="0.2">
      <c r="A68" s="25"/>
      <c r="B68">
        <v>7462</v>
      </c>
      <c r="C68">
        <v>7359</v>
      </c>
      <c r="D68" s="2">
        <f t="shared" si="20"/>
        <v>7410.5</v>
      </c>
      <c r="E68" s="2">
        <f t="shared" si="21"/>
        <v>7369.5</v>
      </c>
      <c r="F68" s="3">
        <f t="shared" si="23"/>
        <v>9.9964883083535985E-8</v>
      </c>
      <c r="G68" s="2">
        <f t="shared" si="24"/>
        <v>-7.0001525376152394</v>
      </c>
      <c r="H68" s="2">
        <f t="shared" si="22"/>
        <v>97.92054212064842</v>
      </c>
    </row>
    <row r="69" spans="1:10" x14ac:dyDescent="0.2">
      <c r="B69">
        <v>8275</v>
      </c>
      <c r="C69">
        <v>7549</v>
      </c>
      <c r="D69" s="2">
        <f t="shared" si="20"/>
        <v>7912</v>
      </c>
      <c r="E69" s="2">
        <f t="shared" si="21"/>
        <v>7871</v>
      </c>
      <c r="F69" s="3">
        <f t="shared" si="23"/>
        <v>3.1608896031014074E-8</v>
      </c>
      <c r="G69" s="2">
        <f t="shared" si="24"/>
        <v>-7.5001906720190492</v>
      </c>
      <c r="H69" s="2">
        <f t="shared" si="22"/>
        <v>104.58410842412968</v>
      </c>
    </row>
    <row r="70" spans="1:10" x14ac:dyDescent="0.2">
      <c r="B70">
        <v>8122</v>
      </c>
      <c r="C70">
        <v>7460</v>
      </c>
      <c r="D70" s="2">
        <f t="shared" si="20"/>
        <v>7791</v>
      </c>
      <c r="E70" s="2">
        <f t="shared" si="21"/>
        <v>7750</v>
      </c>
      <c r="F70" s="3">
        <f t="shared" si="23"/>
        <v>9.9947329250066497E-9</v>
      </c>
      <c r="G70" s="2">
        <f t="shared" si="24"/>
        <v>-8.0002288064228591</v>
      </c>
      <c r="H70" s="2">
        <f t="shared" si="22"/>
        <v>102.97634865798565</v>
      </c>
    </row>
    <row r="71" spans="1:10" x14ac:dyDescent="0.2">
      <c r="A71" s="25"/>
      <c r="B71">
        <v>7764</v>
      </c>
      <c r="C71">
        <v>7737</v>
      </c>
      <c r="D71" s="2">
        <f t="shared" si="20"/>
        <v>7750.5</v>
      </c>
      <c r="E71" s="2">
        <f t="shared" si="21"/>
        <v>7709.5</v>
      </c>
      <c r="F71" s="3">
        <f t="shared" si="23"/>
        <v>3.1603345508871026E-9</v>
      </c>
      <c r="G71" s="2">
        <f t="shared" si="24"/>
        <v>-8.500266940826668</v>
      </c>
      <c r="H71" s="2">
        <f t="shared" si="22"/>
        <v>102.43821419080521</v>
      </c>
    </row>
    <row r="72" spans="1:10" x14ac:dyDescent="0.2">
      <c r="B72">
        <v>7956</v>
      </c>
      <c r="C72">
        <v>7950</v>
      </c>
      <c r="D72" s="2">
        <f t="shared" si="20"/>
        <v>7953</v>
      </c>
      <c r="E72" s="2">
        <f t="shared" si="21"/>
        <v>7912</v>
      </c>
      <c r="F72" s="3">
        <f t="shared" si="23"/>
        <v>9.992977849905017E-10</v>
      </c>
      <c r="G72" s="2">
        <f t="shared" si="24"/>
        <v>-9.0003050752304787</v>
      </c>
      <c r="H72" s="2">
        <f t="shared" si="22"/>
        <v>105.12888652670742</v>
      </c>
    </row>
    <row r="73" spans="1:10" x14ac:dyDescent="0.2">
      <c r="B73">
        <v>7630</v>
      </c>
      <c r="C73">
        <v>7630</v>
      </c>
      <c r="D73" s="2">
        <f t="shared" si="20"/>
        <v>7630</v>
      </c>
      <c r="E73" s="2"/>
      <c r="F73" s="3"/>
      <c r="G73" s="2"/>
      <c r="H73" s="2"/>
    </row>
    <row r="74" spans="1:10" x14ac:dyDescent="0.2">
      <c r="D74" t="s">
        <v>101</v>
      </c>
      <c r="E74" t="s">
        <v>102</v>
      </c>
      <c r="F74" t="s">
        <v>103</v>
      </c>
      <c r="G74" t="s">
        <v>104</v>
      </c>
      <c r="H74" s="7" t="s">
        <v>105</v>
      </c>
    </row>
    <row r="75" spans="1:10" x14ac:dyDescent="0.2">
      <c r="A75" s="16" t="s">
        <v>111</v>
      </c>
      <c r="B75">
        <v>7306</v>
      </c>
      <c r="C75">
        <v>7314</v>
      </c>
      <c r="D75" s="2">
        <f>AVERAGE(B75:C75)</f>
        <v>7310</v>
      </c>
      <c r="E75" s="2">
        <f>AVERAGE(D75,D86)-$D$76</f>
        <v>7567.75</v>
      </c>
      <c r="H75" s="2">
        <f>E75*100/$E$75</f>
        <v>100</v>
      </c>
    </row>
    <row r="76" spans="1:10" x14ac:dyDescent="0.2">
      <c r="A76" s="25" t="s">
        <v>874</v>
      </c>
      <c r="B76">
        <v>24</v>
      </c>
      <c r="C76">
        <v>25</v>
      </c>
      <c r="D76" s="2">
        <f t="shared" ref="D76:D86" si="25">AVERAGE(B76:C76)</f>
        <v>24.5</v>
      </c>
      <c r="E76" s="2">
        <f t="shared" ref="E76:E86" si="26">D76-$D$76</f>
        <v>0</v>
      </c>
      <c r="H76" s="2"/>
      <c r="J76" s="7"/>
    </row>
    <row r="77" spans="1:10" x14ac:dyDescent="0.2">
      <c r="B77">
        <v>221</v>
      </c>
      <c r="C77">
        <v>226</v>
      </c>
      <c r="D77" s="2">
        <f t="shared" si="25"/>
        <v>223.5</v>
      </c>
      <c r="E77" s="2">
        <f t="shared" si="26"/>
        <v>199</v>
      </c>
      <c r="F77" s="3">
        <v>1E-8</v>
      </c>
      <c r="G77" s="2">
        <f>LOG(F77)</f>
        <v>-8</v>
      </c>
      <c r="H77" s="2">
        <f t="shared" ref="H77:H85" si="27">E77*100/$E$75</f>
        <v>2.6295794654950284</v>
      </c>
    </row>
    <row r="78" spans="1:10" x14ac:dyDescent="0.2">
      <c r="A78" s="17"/>
      <c r="B78">
        <v>945</v>
      </c>
      <c r="C78">
        <v>792</v>
      </c>
      <c r="D78" s="2">
        <f t="shared" si="25"/>
        <v>868.5</v>
      </c>
      <c r="E78" s="2">
        <f t="shared" si="26"/>
        <v>844</v>
      </c>
      <c r="F78" s="3">
        <f t="shared" ref="F78:F85" si="28">F77*0.3162</f>
        <v>3.162E-9</v>
      </c>
      <c r="G78" s="2">
        <f t="shared" ref="G78:G85" si="29">LOG(F78)</f>
        <v>-8.500038134403809</v>
      </c>
      <c r="H78" s="2">
        <f t="shared" si="27"/>
        <v>11.15258828581811</v>
      </c>
    </row>
    <row r="79" spans="1:10" x14ac:dyDescent="0.2">
      <c r="B79">
        <v>3950</v>
      </c>
      <c r="C79">
        <v>3130</v>
      </c>
      <c r="D79" s="2">
        <f t="shared" si="25"/>
        <v>3540</v>
      </c>
      <c r="E79" s="2">
        <f t="shared" si="26"/>
        <v>3515.5</v>
      </c>
      <c r="F79" s="3">
        <f t="shared" si="28"/>
        <v>9.9982439999999992E-10</v>
      </c>
      <c r="G79" s="2">
        <f t="shared" si="29"/>
        <v>-9.0000762688076197</v>
      </c>
      <c r="H79" s="2">
        <f t="shared" si="27"/>
        <v>46.453701562551615</v>
      </c>
    </row>
    <row r="80" spans="1:10" x14ac:dyDescent="0.2">
      <c r="B80">
        <v>7294</v>
      </c>
      <c r="C80">
        <v>6650</v>
      </c>
      <c r="D80" s="2">
        <f t="shared" si="25"/>
        <v>6972</v>
      </c>
      <c r="E80" s="2">
        <f t="shared" si="26"/>
        <v>6947.5</v>
      </c>
      <c r="F80" s="3">
        <f t="shared" si="28"/>
        <v>3.1614447527999995E-10</v>
      </c>
      <c r="G80" s="2">
        <f t="shared" si="29"/>
        <v>-9.5001144032114286</v>
      </c>
      <c r="H80" s="2">
        <f t="shared" si="27"/>
        <v>91.804036866968389</v>
      </c>
    </row>
    <row r="81" spans="1:10" x14ac:dyDescent="0.2">
      <c r="B81">
        <v>7910</v>
      </c>
      <c r="C81">
        <v>7522</v>
      </c>
      <c r="D81" s="2">
        <f t="shared" si="25"/>
        <v>7716</v>
      </c>
      <c r="E81" s="2">
        <f t="shared" si="26"/>
        <v>7691.5</v>
      </c>
      <c r="F81" s="3">
        <f t="shared" si="28"/>
        <v>9.9964883083535979E-11</v>
      </c>
      <c r="G81" s="2">
        <f t="shared" si="29"/>
        <v>-10.000152537615239</v>
      </c>
      <c r="H81" s="2">
        <f t="shared" si="27"/>
        <v>101.63522843645734</v>
      </c>
    </row>
    <row r="82" spans="1:10" x14ac:dyDescent="0.2">
      <c r="A82" s="25"/>
      <c r="B82">
        <v>8023</v>
      </c>
      <c r="C82">
        <v>7874</v>
      </c>
      <c r="D82" s="2">
        <f t="shared" si="25"/>
        <v>7948.5</v>
      </c>
      <c r="E82" s="2">
        <f t="shared" si="26"/>
        <v>7924</v>
      </c>
      <c r="F82" s="3">
        <f t="shared" si="28"/>
        <v>3.1608896031014074E-11</v>
      </c>
      <c r="G82" s="2">
        <f t="shared" si="29"/>
        <v>-10.500190672019048</v>
      </c>
      <c r="H82" s="2">
        <f t="shared" si="27"/>
        <v>104.70747580192263</v>
      </c>
    </row>
    <row r="83" spans="1:10" x14ac:dyDescent="0.2">
      <c r="B83">
        <v>8129</v>
      </c>
      <c r="C83">
        <v>7409</v>
      </c>
      <c r="D83" s="2">
        <f t="shared" si="25"/>
        <v>7769</v>
      </c>
      <c r="E83" s="2">
        <f t="shared" si="26"/>
        <v>7744.5</v>
      </c>
      <c r="F83" s="3">
        <f t="shared" si="28"/>
        <v>9.99473292500665E-12</v>
      </c>
      <c r="G83" s="2">
        <f t="shared" si="29"/>
        <v>-11.000228806422859</v>
      </c>
      <c r="H83" s="2">
        <f t="shared" si="27"/>
        <v>102.33556869611179</v>
      </c>
    </row>
    <row r="84" spans="1:10" x14ac:dyDescent="0.2">
      <c r="B84">
        <v>7774</v>
      </c>
      <c r="C84">
        <v>7557</v>
      </c>
      <c r="D84" s="2">
        <f t="shared" si="25"/>
        <v>7665.5</v>
      </c>
      <c r="E84" s="2">
        <f t="shared" si="26"/>
        <v>7641</v>
      </c>
      <c r="F84" s="3">
        <f t="shared" si="28"/>
        <v>3.1603345508871027E-12</v>
      </c>
      <c r="G84" s="2">
        <f t="shared" si="29"/>
        <v>-11.500266940826668</v>
      </c>
      <c r="H84" s="2">
        <f t="shared" si="27"/>
        <v>100.96792309471111</v>
      </c>
    </row>
    <row r="85" spans="1:10" x14ac:dyDescent="0.2">
      <c r="B85">
        <v>7892</v>
      </c>
      <c r="C85">
        <v>7755</v>
      </c>
      <c r="D85" s="2">
        <f t="shared" si="25"/>
        <v>7823.5</v>
      </c>
      <c r="E85" s="2">
        <f t="shared" si="26"/>
        <v>7799</v>
      </c>
      <c r="F85" s="3">
        <f t="shared" si="28"/>
        <v>9.9929778499050177E-13</v>
      </c>
      <c r="G85" s="2">
        <f t="shared" si="29"/>
        <v>-12.000305075230479</v>
      </c>
      <c r="H85" s="2">
        <f t="shared" si="27"/>
        <v>103.05572990651119</v>
      </c>
    </row>
    <row r="86" spans="1:10" x14ac:dyDescent="0.2">
      <c r="B86">
        <v>7972</v>
      </c>
      <c r="C86">
        <v>7777</v>
      </c>
      <c r="D86" s="2">
        <f t="shared" si="25"/>
        <v>7874.5</v>
      </c>
      <c r="E86" s="2">
        <f t="shared" si="26"/>
        <v>7850</v>
      </c>
      <c r="F86" s="3"/>
      <c r="G86" s="2"/>
      <c r="H86" s="2"/>
    </row>
    <row r="87" spans="1:10" x14ac:dyDescent="0.2">
      <c r="D87" t="s">
        <v>101</v>
      </c>
      <c r="E87" t="s">
        <v>102</v>
      </c>
      <c r="F87" t="s">
        <v>103</v>
      </c>
      <c r="G87" t="s">
        <v>104</v>
      </c>
      <c r="H87" s="7" t="s">
        <v>105</v>
      </c>
    </row>
    <row r="88" spans="1:10" x14ac:dyDescent="0.2">
      <c r="A88" s="16" t="s">
        <v>112</v>
      </c>
      <c r="B88">
        <v>7420</v>
      </c>
      <c r="C88">
        <v>7405</v>
      </c>
      <c r="D88" s="2">
        <f>AVERAGE(B88:C88)</f>
        <v>7412.5</v>
      </c>
      <c r="E88" s="2">
        <f>AVERAGE(D88,D99)-$D$89</f>
        <v>7806</v>
      </c>
      <c r="H88" s="2">
        <f>E88*100/$E$88</f>
        <v>100</v>
      </c>
    </row>
    <row r="89" spans="1:10" x14ac:dyDescent="0.2">
      <c r="A89" s="16" t="s">
        <v>848</v>
      </c>
      <c r="B89">
        <v>22</v>
      </c>
      <c r="C89">
        <v>20</v>
      </c>
      <c r="D89" s="2">
        <f t="shared" ref="D89:D99" si="30">AVERAGE(B89:C89)</f>
        <v>21</v>
      </c>
      <c r="E89" s="2">
        <f t="shared" ref="E89:E98" si="31">D89-$D$89</f>
        <v>0</v>
      </c>
      <c r="H89" s="2"/>
      <c r="J89" s="11"/>
    </row>
    <row r="90" spans="1:10" x14ac:dyDescent="0.2">
      <c r="A90" s="9"/>
      <c r="B90">
        <v>57</v>
      </c>
      <c r="C90">
        <v>64</v>
      </c>
      <c r="D90" s="2">
        <f t="shared" si="30"/>
        <v>60.5</v>
      </c>
      <c r="E90" s="2">
        <f t="shared" si="31"/>
        <v>39.5</v>
      </c>
      <c r="F90" s="3">
        <v>9.9999999999999995E-8</v>
      </c>
      <c r="G90" s="2">
        <f>LOG(F90)</f>
        <v>-7</v>
      </c>
      <c r="H90" s="2">
        <f t="shared" ref="H90:H98" si="32">E90*100/$E$88</f>
        <v>0.50602100947988726</v>
      </c>
    </row>
    <row r="91" spans="1:10" x14ac:dyDescent="0.2">
      <c r="A91" s="17"/>
      <c r="B91">
        <v>212</v>
      </c>
      <c r="C91">
        <v>179</v>
      </c>
      <c r="D91" s="2">
        <f t="shared" si="30"/>
        <v>195.5</v>
      </c>
      <c r="E91" s="2">
        <f t="shared" si="31"/>
        <v>174.5</v>
      </c>
      <c r="F91" s="3">
        <f t="shared" ref="F91:F98" si="33">F90*0.3162</f>
        <v>3.1619999999999995E-8</v>
      </c>
      <c r="G91" s="2">
        <f t="shared" ref="G91:G98" si="34">LOG(F91)</f>
        <v>-7.5000381344038098</v>
      </c>
      <c r="H91" s="2">
        <f t="shared" si="32"/>
        <v>2.2354599026389956</v>
      </c>
    </row>
    <row r="92" spans="1:10" x14ac:dyDescent="0.2">
      <c r="A92" s="25"/>
      <c r="B92">
        <v>499</v>
      </c>
      <c r="C92">
        <v>519</v>
      </c>
      <c r="D92" s="2">
        <f t="shared" si="30"/>
        <v>509</v>
      </c>
      <c r="E92" s="2">
        <f t="shared" si="31"/>
        <v>488</v>
      </c>
      <c r="F92" s="3">
        <f t="shared" si="33"/>
        <v>9.998243999999998E-9</v>
      </c>
      <c r="G92" s="2">
        <f t="shared" si="34"/>
        <v>-8.0000762688076197</v>
      </c>
      <c r="H92" s="2">
        <f t="shared" si="32"/>
        <v>6.2516013323084803</v>
      </c>
    </row>
    <row r="93" spans="1:10" x14ac:dyDescent="0.2">
      <c r="B93">
        <v>1848</v>
      </c>
      <c r="C93">
        <v>1772</v>
      </c>
      <c r="D93" s="2">
        <f t="shared" si="30"/>
        <v>1810</v>
      </c>
      <c r="E93" s="2">
        <f t="shared" si="31"/>
        <v>1789</v>
      </c>
      <c r="F93" s="3">
        <f t="shared" si="33"/>
        <v>3.161444752799999E-9</v>
      </c>
      <c r="G93" s="2">
        <f t="shared" si="34"/>
        <v>-8.5001144032114286</v>
      </c>
      <c r="H93" s="2">
        <f t="shared" si="32"/>
        <v>22.918267998975146</v>
      </c>
    </row>
    <row r="94" spans="1:10" x14ac:dyDescent="0.2">
      <c r="A94" s="25"/>
      <c r="B94">
        <v>4156</v>
      </c>
      <c r="C94">
        <v>4088</v>
      </c>
      <c r="D94" s="2">
        <f t="shared" si="30"/>
        <v>4122</v>
      </c>
      <c r="E94" s="2">
        <f t="shared" si="31"/>
        <v>4101</v>
      </c>
      <c r="F94" s="3">
        <f t="shared" si="33"/>
        <v>9.9964883083535969E-10</v>
      </c>
      <c r="G94" s="2">
        <f t="shared" si="34"/>
        <v>-9.0001525376152394</v>
      </c>
      <c r="H94" s="2">
        <f t="shared" si="32"/>
        <v>52.536510376633359</v>
      </c>
    </row>
    <row r="95" spans="1:10" x14ac:dyDescent="0.2">
      <c r="A95" s="25"/>
      <c r="B95">
        <v>6780</v>
      </c>
      <c r="C95">
        <v>6237</v>
      </c>
      <c r="D95" s="2">
        <f t="shared" si="30"/>
        <v>6508.5</v>
      </c>
      <c r="E95" s="2">
        <f t="shared" si="31"/>
        <v>6487.5</v>
      </c>
      <c r="F95" s="3">
        <f t="shared" si="33"/>
        <v>3.1608896031014073E-10</v>
      </c>
      <c r="G95" s="2">
        <f t="shared" si="34"/>
        <v>-9.5001906720190483</v>
      </c>
      <c r="H95" s="2">
        <f t="shared" si="32"/>
        <v>83.109146810146044</v>
      </c>
    </row>
    <row r="96" spans="1:10" x14ac:dyDescent="0.2">
      <c r="B96">
        <v>7428</v>
      </c>
      <c r="C96">
        <v>7443</v>
      </c>
      <c r="D96" s="2">
        <f t="shared" si="30"/>
        <v>7435.5</v>
      </c>
      <c r="E96" s="2">
        <f t="shared" si="31"/>
        <v>7414.5</v>
      </c>
      <c r="F96" s="3">
        <f t="shared" si="33"/>
        <v>9.9947329250066487E-11</v>
      </c>
      <c r="G96" s="2">
        <f t="shared" si="34"/>
        <v>-10.000228806422859</v>
      </c>
      <c r="H96" s="2">
        <f t="shared" si="32"/>
        <v>94.984627209838592</v>
      </c>
    </row>
    <row r="97" spans="1:10" x14ac:dyDescent="0.2">
      <c r="B97">
        <v>7657</v>
      </c>
      <c r="C97">
        <v>7864</v>
      </c>
      <c r="D97" s="2">
        <f t="shared" si="30"/>
        <v>7760.5</v>
      </c>
      <c r="E97" s="2">
        <f t="shared" si="31"/>
        <v>7739.5</v>
      </c>
      <c r="F97" s="3">
        <f t="shared" si="33"/>
        <v>3.1603345508871023E-11</v>
      </c>
      <c r="G97" s="2">
        <f t="shared" si="34"/>
        <v>-10.500266940826668</v>
      </c>
      <c r="H97" s="2">
        <f t="shared" si="32"/>
        <v>99.148091211888286</v>
      </c>
    </row>
    <row r="98" spans="1:10" x14ac:dyDescent="0.2">
      <c r="B98">
        <v>7684</v>
      </c>
      <c r="C98">
        <v>7895</v>
      </c>
      <c r="D98" s="2">
        <f t="shared" si="30"/>
        <v>7789.5</v>
      </c>
      <c r="E98" s="2">
        <f t="shared" si="31"/>
        <v>7768.5</v>
      </c>
      <c r="F98" s="3">
        <f t="shared" si="33"/>
        <v>9.9929778499050173E-12</v>
      </c>
      <c r="G98" s="2">
        <f t="shared" si="34"/>
        <v>-11.000305075230479</v>
      </c>
      <c r="H98" s="2">
        <f t="shared" si="32"/>
        <v>99.519600307455804</v>
      </c>
    </row>
    <row r="99" spans="1:10" x14ac:dyDescent="0.2">
      <c r="A99" s="25"/>
      <c r="B99">
        <v>8243</v>
      </c>
      <c r="C99">
        <v>8240</v>
      </c>
      <c r="D99" s="2">
        <f t="shared" si="30"/>
        <v>8241.5</v>
      </c>
      <c r="E99" s="2"/>
      <c r="F99" s="3"/>
      <c r="G99" s="2"/>
      <c r="H99" s="2"/>
    </row>
    <row r="100" spans="1:10" x14ac:dyDescent="0.2">
      <c r="D100" t="s">
        <v>101</v>
      </c>
      <c r="E100" t="s">
        <v>102</v>
      </c>
      <c r="F100" t="s">
        <v>103</v>
      </c>
      <c r="G100" t="s">
        <v>104</v>
      </c>
      <c r="H100" s="7" t="s">
        <v>105</v>
      </c>
    </row>
    <row r="101" spans="1:10" x14ac:dyDescent="0.2">
      <c r="A101" s="16" t="s">
        <v>113</v>
      </c>
      <c r="B101">
        <v>7384</v>
      </c>
      <c r="C101">
        <v>7016</v>
      </c>
      <c r="D101" s="2">
        <f>AVERAGE(B101:C101)</f>
        <v>7200</v>
      </c>
      <c r="E101" s="2">
        <f>AVERAGE(D101,D112)-$D$102</f>
        <v>7469.5</v>
      </c>
      <c r="H101" s="2">
        <f>E101*100/$E$101</f>
        <v>100</v>
      </c>
    </row>
    <row r="102" spans="1:10" x14ac:dyDescent="0.2">
      <c r="A102" s="17" t="s">
        <v>859</v>
      </c>
      <c r="B102">
        <v>24</v>
      </c>
      <c r="C102">
        <v>24</v>
      </c>
      <c r="D102" s="2">
        <f t="shared" ref="D102:D112" si="35">AVERAGE(B102:C102)</f>
        <v>24</v>
      </c>
      <c r="E102" s="2">
        <f t="shared" ref="E102:E111" si="36">D102-$D$102</f>
        <v>0</v>
      </c>
      <c r="H102" s="2"/>
      <c r="J102" s="7"/>
    </row>
    <row r="103" spans="1:10" x14ac:dyDescent="0.2">
      <c r="A103" s="9"/>
      <c r="B103">
        <v>472</v>
      </c>
      <c r="C103">
        <v>528</v>
      </c>
      <c r="D103" s="2">
        <f t="shared" si="35"/>
        <v>500</v>
      </c>
      <c r="E103" s="2">
        <f t="shared" si="36"/>
        <v>476</v>
      </c>
      <c r="F103" s="3">
        <v>1.0000000000000001E-5</v>
      </c>
      <c r="G103" s="2">
        <f>LOG(F103)</f>
        <v>-5</v>
      </c>
      <c r="H103" s="2">
        <f t="shared" ref="H103:H111" si="37">E103*100/$E$101</f>
        <v>6.3725818327866657</v>
      </c>
    </row>
    <row r="104" spans="1:10" x14ac:dyDescent="0.2">
      <c r="A104" s="17"/>
      <c r="B104">
        <v>1609</v>
      </c>
      <c r="C104">
        <v>1867</v>
      </c>
      <c r="D104" s="2">
        <f t="shared" si="35"/>
        <v>1738</v>
      </c>
      <c r="E104" s="2">
        <f t="shared" si="36"/>
        <v>1714</v>
      </c>
      <c r="F104" s="3">
        <f t="shared" ref="F104:F111" si="38">F103*0.3162</f>
        <v>3.162E-6</v>
      </c>
      <c r="G104" s="2">
        <f t="shared" ref="G104:G111" si="39">LOG(F104)</f>
        <v>-5.5000381344038098</v>
      </c>
      <c r="H104" s="2">
        <f t="shared" si="37"/>
        <v>22.946649708815851</v>
      </c>
    </row>
    <row r="105" spans="1:10" x14ac:dyDescent="0.2">
      <c r="A105" s="25"/>
      <c r="B105">
        <v>3746</v>
      </c>
      <c r="C105">
        <v>3742</v>
      </c>
      <c r="D105" s="2">
        <f t="shared" si="35"/>
        <v>3744</v>
      </c>
      <c r="E105" s="2">
        <f t="shared" si="36"/>
        <v>3720</v>
      </c>
      <c r="F105" s="3">
        <f t="shared" si="38"/>
        <v>9.9982439999999994E-7</v>
      </c>
      <c r="G105" s="2">
        <f t="shared" si="39"/>
        <v>-6.0000762688076197</v>
      </c>
      <c r="H105" s="2">
        <f t="shared" si="37"/>
        <v>49.802530289845372</v>
      </c>
    </row>
    <row r="106" spans="1:10" x14ac:dyDescent="0.2">
      <c r="B106">
        <v>6552</v>
      </c>
      <c r="C106">
        <v>6507</v>
      </c>
      <c r="D106" s="2">
        <f t="shared" si="35"/>
        <v>6529.5</v>
      </c>
      <c r="E106" s="2">
        <f t="shared" si="36"/>
        <v>6505.5</v>
      </c>
      <c r="F106" s="3">
        <f t="shared" si="38"/>
        <v>3.1614447527999998E-7</v>
      </c>
      <c r="G106" s="2">
        <f t="shared" si="39"/>
        <v>-6.5001144032114295</v>
      </c>
      <c r="H106" s="2">
        <f t="shared" si="37"/>
        <v>87.094183010911038</v>
      </c>
    </row>
    <row r="107" spans="1:10" x14ac:dyDescent="0.2">
      <c r="B107">
        <v>7532</v>
      </c>
      <c r="C107">
        <v>7249</v>
      </c>
      <c r="D107" s="2">
        <f t="shared" si="35"/>
        <v>7390.5</v>
      </c>
      <c r="E107" s="2">
        <f t="shared" si="36"/>
        <v>7366.5</v>
      </c>
      <c r="F107" s="3">
        <f t="shared" si="38"/>
        <v>9.9964883083535985E-8</v>
      </c>
      <c r="G107" s="2">
        <f t="shared" si="39"/>
        <v>-7.0001525376152394</v>
      </c>
      <c r="H107" s="2">
        <f t="shared" si="37"/>
        <v>98.621058973157503</v>
      </c>
    </row>
    <row r="108" spans="1:10" x14ac:dyDescent="0.2">
      <c r="B108">
        <v>7745</v>
      </c>
      <c r="C108">
        <v>7497</v>
      </c>
      <c r="D108" s="2">
        <f t="shared" si="35"/>
        <v>7621</v>
      </c>
      <c r="E108" s="2">
        <f t="shared" si="36"/>
        <v>7597</v>
      </c>
      <c r="F108" s="3">
        <f t="shared" si="38"/>
        <v>3.1608896031014074E-8</v>
      </c>
      <c r="G108" s="2">
        <f t="shared" si="39"/>
        <v>-7.5001906720190492</v>
      </c>
      <c r="H108" s="2">
        <f t="shared" si="37"/>
        <v>101.70694156235358</v>
      </c>
    </row>
    <row r="109" spans="1:10" x14ac:dyDescent="0.2">
      <c r="B109">
        <v>7550</v>
      </c>
      <c r="C109">
        <v>7603</v>
      </c>
      <c r="D109" s="2">
        <f t="shared" si="35"/>
        <v>7576.5</v>
      </c>
      <c r="E109" s="2">
        <f t="shared" si="36"/>
        <v>7552.5</v>
      </c>
      <c r="F109" s="3">
        <f t="shared" si="38"/>
        <v>9.9947329250066497E-9</v>
      </c>
      <c r="G109" s="2">
        <f t="shared" si="39"/>
        <v>-8.0002288064228591</v>
      </c>
      <c r="H109" s="2">
        <f t="shared" si="37"/>
        <v>101.11118548764978</v>
      </c>
    </row>
    <row r="110" spans="1:10" x14ac:dyDescent="0.2">
      <c r="B110">
        <v>7562</v>
      </c>
      <c r="C110">
        <v>7493</v>
      </c>
      <c r="D110" s="2">
        <f t="shared" si="35"/>
        <v>7527.5</v>
      </c>
      <c r="E110" s="2">
        <f t="shared" si="36"/>
        <v>7503.5</v>
      </c>
      <c r="F110" s="3">
        <f t="shared" si="38"/>
        <v>3.1603345508871026E-9</v>
      </c>
      <c r="G110" s="2">
        <f t="shared" si="39"/>
        <v>-8.500266940826668</v>
      </c>
      <c r="H110" s="2">
        <f t="shared" si="37"/>
        <v>100.45518441662762</v>
      </c>
    </row>
    <row r="111" spans="1:10" x14ac:dyDescent="0.2">
      <c r="A111" s="18"/>
      <c r="B111">
        <v>7617</v>
      </c>
      <c r="C111">
        <v>7731</v>
      </c>
      <c r="D111" s="2">
        <f t="shared" si="35"/>
        <v>7674</v>
      </c>
      <c r="E111" s="2">
        <f t="shared" si="36"/>
        <v>7650</v>
      </c>
      <c r="F111" s="3">
        <f t="shared" si="38"/>
        <v>9.992977849905017E-10</v>
      </c>
      <c r="G111" s="2">
        <f t="shared" si="39"/>
        <v>-9.0003050752304787</v>
      </c>
      <c r="H111" s="2">
        <f t="shared" si="37"/>
        <v>102.41649374121427</v>
      </c>
    </row>
    <row r="112" spans="1:10" x14ac:dyDescent="0.2">
      <c r="B112">
        <v>7877</v>
      </c>
      <c r="C112">
        <v>7697</v>
      </c>
      <c r="D112" s="2">
        <f t="shared" si="35"/>
        <v>7787</v>
      </c>
      <c r="E112" s="2"/>
      <c r="F112" s="3"/>
      <c r="G112" s="2"/>
      <c r="H112" s="2"/>
    </row>
    <row r="113" spans="1:10" x14ac:dyDescent="0.2">
      <c r="A113" s="17"/>
      <c r="D113" t="s">
        <v>101</v>
      </c>
      <c r="E113" t="s">
        <v>102</v>
      </c>
      <c r="F113" t="s">
        <v>103</v>
      </c>
      <c r="G113" t="s">
        <v>104</v>
      </c>
      <c r="H113" s="7" t="s">
        <v>105</v>
      </c>
    </row>
    <row r="114" spans="1:10" x14ac:dyDescent="0.2">
      <c r="A114" s="17" t="s">
        <v>115</v>
      </c>
      <c r="D114" s="2" t="e">
        <f>AVERAGE(B114:C114)</f>
        <v>#DIV/0!</v>
      </c>
      <c r="E114" s="2" t="e">
        <f>AVERAGE(D114,D125)-$D$115</f>
        <v>#DIV/0!</v>
      </c>
      <c r="H114" s="2" t="e">
        <f>E114*100/$E$114</f>
        <v>#DIV/0!</v>
      </c>
      <c r="J114" s="7"/>
    </row>
    <row r="115" spans="1:10" x14ac:dyDescent="0.2">
      <c r="A115" s="29"/>
      <c r="D115" s="2" t="e">
        <f t="shared" ref="D115:D124" si="40">AVERAGE(B115:C115)</f>
        <v>#DIV/0!</v>
      </c>
      <c r="E115" s="2" t="e">
        <f>D115-$D$115</f>
        <v>#DIV/0!</v>
      </c>
      <c r="H115" s="2"/>
    </row>
    <row r="116" spans="1:10" x14ac:dyDescent="0.2">
      <c r="A116"/>
      <c r="D116" s="2" t="e">
        <f t="shared" si="40"/>
        <v>#DIV/0!</v>
      </c>
      <c r="E116" s="2" t="e">
        <f>D116-$D$115</f>
        <v>#DIV/0!</v>
      </c>
      <c r="F116" s="3">
        <v>1.0000000000000001E-5</v>
      </c>
      <c r="G116" s="2">
        <f>LOG(F116)</f>
        <v>-5</v>
      </c>
      <c r="H116" s="2" t="e">
        <f>E116*100/$E$114</f>
        <v>#DIV/0!</v>
      </c>
    </row>
    <row r="117" spans="1:10" x14ac:dyDescent="0.2">
      <c r="A117" s="17"/>
      <c r="D117" s="2" t="e">
        <f t="shared" si="40"/>
        <v>#DIV/0!</v>
      </c>
      <c r="E117" s="2" t="e">
        <f t="shared" ref="E117:E124" si="41">D117-$D$115</f>
        <v>#DIV/0!</v>
      </c>
      <c r="F117" s="3">
        <f>F116*0.3162</f>
        <v>3.162E-6</v>
      </c>
      <c r="G117" s="2">
        <f t="shared" ref="G117:G124" si="42">LOG(F117)</f>
        <v>-5.5000381344038098</v>
      </c>
      <c r="H117" s="2" t="e">
        <f t="shared" ref="H117:H124" si="43">E117*100/$E$114</f>
        <v>#DIV/0!</v>
      </c>
    </row>
    <row r="118" spans="1:10" x14ac:dyDescent="0.2">
      <c r="A118" s="18"/>
      <c r="D118" s="2" t="e">
        <f t="shared" si="40"/>
        <v>#DIV/0!</v>
      </c>
      <c r="E118" s="2" t="e">
        <f t="shared" si="41"/>
        <v>#DIV/0!</v>
      </c>
      <c r="F118" s="3">
        <f t="shared" ref="F118:F124" si="44">F117*0.3162</f>
        <v>9.9982439999999994E-7</v>
      </c>
      <c r="G118" s="2">
        <f t="shared" si="42"/>
        <v>-6.0000762688076197</v>
      </c>
      <c r="H118" s="2" t="e">
        <f t="shared" si="43"/>
        <v>#DIV/0!</v>
      </c>
    </row>
    <row r="119" spans="1:10" x14ac:dyDescent="0.2">
      <c r="A119" s="17"/>
      <c r="D119" s="2" t="e">
        <f t="shared" si="40"/>
        <v>#DIV/0!</v>
      </c>
      <c r="E119" s="2" t="e">
        <f t="shared" si="41"/>
        <v>#DIV/0!</v>
      </c>
      <c r="F119" s="3">
        <f t="shared" si="44"/>
        <v>3.1614447527999998E-7</v>
      </c>
      <c r="G119" s="2">
        <f t="shared" si="42"/>
        <v>-6.5001144032114295</v>
      </c>
      <c r="H119" s="2" t="e">
        <f t="shared" si="43"/>
        <v>#DIV/0!</v>
      </c>
    </row>
    <row r="120" spans="1:10" x14ac:dyDescent="0.2">
      <c r="A120" s="25"/>
      <c r="D120" s="2" t="e">
        <f t="shared" si="40"/>
        <v>#DIV/0!</v>
      </c>
      <c r="E120" s="2" t="e">
        <f t="shared" si="41"/>
        <v>#DIV/0!</v>
      </c>
      <c r="F120" s="3">
        <f t="shared" si="44"/>
        <v>9.9964883083535985E-8</v>
      </c>
      <c r="G120" s="2">
        <f t="shared" si="42"/>
        <v>-7.0001525376152394</v>
      </c>
      <c r="H120" s="2" t="e">
        <f t="shared" si="43"/>
        <v>#DIV/0!</v>
      </c>
    </row>
    <row r="121" spans="1:10" x14ac:dyDescent="0.2">
      <c r="A121" s="17"/>
      <c r="D121" s="2" t="e">
        <f t="shared" si="40"/>
        <v>#DIV/0!</v>
      </c>
      <c r="E121" s="2" t="e">
        <f t="shared" si="41"/>
        <v>#DIV/0!</v>
      </c>
      <c r="F121" s="3">
        <f t="shared" si="44"/>
        <v>3.1608896031014074E-8</v>
      </c>
      <c r="G121" s="2">
        <f t="shared" si="42"/>
        <v>-7.5001906720190492</v>
      </c>
      <c r="H121" s="2" t="e">
        <f t="shared" si="43"/>
        <v>#DIV/0!</v>
      </c>
    </row>
    <row r="122" spans="1:10" x14ac:dyDescent="0.2">
      <c r="A122" s="17"/>
      <c r="D122" s="2" t="e">
        <f t="shared" si="40"/>
        <v>#DIV/0!</v>
      </c>
      <c r="E122" s="2" t="e">
        <f t="shared" si="41"/>
        <v>#DIV/0!</v>
      </c>
      <c r="F122" s="3">
        <f t="shared" si="44"/>
        <v>9.9947329250066497E-9</v>
      </c>
      <c r="G122" s="2">
        <f t="shared" si="42"/>
        <v>-8.0002288064228591</v>
      </c>
      <c r="H122" s="2" t="e">
        <f t="shared" si="43"/>
        <v>#DIV/0!</v>
      </c>
    </row>
    <row r="123" spans="1:10" x14ac:dyDescent="0.2">
      <c r="A123" s="17"/>
      <c r="D123" s="2" t="e">
        <f t="shared" si="40"/>
        <v>#DIV/0!</v>
      </c>
      <c r="E123" s="2" t="e">
        <f t="shared" si="41"/>
        <v>#DIV/0!</v>
      </c>
      <c r="F123" s="3">
        <f t="shared" si="44"/>
        <v>3.1603345508871026E-9</v>
      </c>
      <c r="G123" s="2">
        <f t="shared" si="42"/>
        <v>-8.500266940826668</v>
      </c>
      <c r="H123" s="2" t="e">
        <f t="shared" si="43"/>
        <v>#DIV/0!</v>
      </c>
    </row>
    <row r="124" spans="1:10" x14ac:dyDescent="0.2">
      <c r="A124" s="17"/>
      <c r="D124" s="2" t="e">
        <f t="shared" si="40"/>
        <v>#DIV/0!</v>
      </c>
      <c r="E124" s="2" t="e">
        <f t="shared" si="41"/>
        <v>#DIV/0!</v>
      </c>
      <c r="F124" s="3">
        <f t="shared" si="44"/>
        <v>9.992977849905017E-10</v>
      </c>
      <c r="G124" s="2">
        <f t="shared" si="42"/>
        <v>-9.0003050752304787</v>
      </c>
      <c r="H124" s="2" t="e">
        <f t="shared" si="43"/>
        <v>#DIV/0!</v>
      </c>
    </row>
    <row r="125" spans="1:10" x14ac:dyDescent="0.2">
      <c r="A125" s="17"/>
      <c r="D125" s="2" t="e">
        <f>AVERAGE(B125:C125)</f>
        <v>#DIV/0!</v>
      </c>
      <c r="E125" s="2"/>
      <c r="F125" s="3"/>
      <c r="G125" s="2"/>
      <c r="H125" s="2"/>
    </row>
    <row r="126" spans="1:10" x14ac:dyDescent="0.2">
      <c r="A126" s="17"/>
      <c r="D126" t="s">
        <v>101</v>
      </c>
      <c r="E126" t="s">
        <v>102</v>
      </c>
      <c r="F126" t="s">
        <v>103</v>
      </c>
      <c r="G126" t="s">
        <v>104</v>
      </c>
      <c r="H126" s="7" t="s">
        <v>105</v>
      </c>
    </row>
    <row r="127" spans="1:10" x14ac:dyDescent="0.2">
      <c r="A127" s="17" t="s">
        <v>116</v>
      </c>
      <c r="D127" s="2" t="e">
        <f>AVERAGE(B127:C127)</f>
        <v>#DIV/0!</v>
      </c>
      <c r="E127" s="2" t="e">
        <f>AVERAGE(D127,D138)-$D$128</f>
        <v>#DIV/0!</v>
      </c>
      <c r="H127" s="2" t="e">
        <f>E127*100/$E$127</f>
        <v>#DIV/0!</v>
      </c>
      <c r="J127" s="7"/>
    </row>
    <row r="128" spans="1:10" x14ac:dyDescent="0.2">
      <c r="A128" s="29"/>
      <c r="D128" s="2" t="e">
        <f t="shared" ref="D128:D138" si="45">AVERAGE(B128:C128)</f>
        <v>#DIV/0!</v>
      </c>
      <c r="E128" s="2" t="e">
        <f>D128-$D$128</f>
        <v>#DIV/0!</v>
      </c>
      <c r="H128" s="2"/>
    </row>
    <row r="129" spans="1:10" x14ac:dyDescent="0.2">
      <c r="A129"/>
      <c r="D129" s="2" t="e">
        <f t="shared" si="45"/>
        <v>#DIV/0!</v>
      </c>
      <c r="E129" s="2" t="e">
        <f>D129-$D$128</f>
        <v>#DIV/0!</v>
      </c>
      <c r="F129" s="3">
        <v>1.0000000000000001E-5</v>
      </c>
      <c r="G129" s="2">
        <f>LOG(F129)</f>
        <v>-5</v>
      </c>
      <c r="H129" s="2" t="e">
        <f>E129*100/$E$127</f>
        <v>#DIV/0!</v>
      </c>
    </row>
    <row r="130" spans="1:10" x14ac:dyDescent="0.2">
      <c r="A130" s="17"/>
      <c r="D130" s="2" t="e">
        <f t="shared" si="45"/>
        <v>#DIV/0!</v>
      </c>
      <c r="E130" s="2" t="e">
        <f t="shared" ref="E130:E137" si="46">D130-$D$128</f>
        <v>#DIV/0!</v>
      </c>
      <c r="F130" s="3">
        <f t="shared" ref="F130:F137" si="47">F129*0.3162</f>
        <v>3.162E-6</v>
      </c>
      <c r="G130" s="2">
        <f t="shared" ref="G130:G137" si="48">LOG(F130)</f>
        <v>-5.5000381344038098</v>
      </c>
      <c r="H130" s="2" t="e">
        <f t="shared" ref="H130:H137" si="49">E130*100/$E$127</f>
        <v>#DIV/0!</v>
      </c>
    </row>
    <row r="131" spans="1:10" x14ac:dyDescent="0.2">
      <c r="A131" s="17"/>
      <c r="D131" s="2" t="e">
        <f t="shared" si="45"/>
        <v>#DIV/0!</v>
      </c>
      <c r="E131" s="2" t="e">
        <f t="shared" si="46"/>
        <v>#DIV/0!</v>
      </c>
      <c r="F131" s="3">
        <f t="shared" si="47"/>
        <v>9.9982439999999994E-7</v>
      </c>
      <c r="G131" s="2">
        <f t="shared" si="48"/>
        <v>-6.0000762688076197</v>
      </c>
      <c r="H131" s="2" t="e">
        <f t="shared" si="49"/>
        <v>#DIV/0!</v>
      </c>
    </row>
    <row r="132" spans="1:10" x14ac:dyDescent="0.2">
      <c r="A132" s="17"/>
      <c r="D132" s="2" t="e">
        <f t="shared" si="45"/>
        <v>#DIV/0!</v>
      </c>
      <c r="E132" s="2" t="e">
        <f t="shared" si="46"/>
        <v>#DIV/0!</v>
      </c>
      <c r="F132" s="3">
        <f t="shared" si="47"/>
        <v>3.1614447527999998E-7</v>
      </c>
      <c r="G132" s="2">
        <f t="shared" si="48"/>
        <v>-6.5001144032114295</v>
      </c>
      <c r="H132" s="2" t="e">
        <f t="shared" si="49"/>
        <v>#DIV/0!</v>
      </c>
    </row>
    <row r="133" spans="1:10" x14ac:dyDescent="0.2">
      <c r="A133" s="17"/>
      <c r="D133" s="2" t="e">
        <f t="shared" si="45"/>
        <v>#DIV/0!</v>
      </c>
      <c r="E133" s="2" t="e">
        <f t="shared" si="46"/>
        <v>#DIV/0!</v>
      </c>
      <c r="F133" s="3">
        <f t="shared" si="47"/>
        <v>9.9964883083535985E-8</v>
      </c>
      <c r="G133" s="2">
        <f t="shared" si="48"/>
        <v>-7.0001525376152394</v>
      </c>
      <c r="H133" s="2" t="e">
        <f t="shared" si="49"/>
        <v>#DIV/0!</v>
      </c>
    </row>
    <row r="134" spans="1:10" x14ac:dyDescent="0.2">
      <c r="A134" s="17"/>
      <c r="D134" s="2" t="e">
        <f t="shared" si="45"/>
        <v>#DIV/0!</v>
      </c>
      <c r="E134" s="2" t="e">
        <f t="shared" si="46"/>
        <v>#DIV/0!</v>
      </c>
      <c r="F134" s="3">
        <f t="shared" si="47"/>
        <v>3.1608896031014074E-8</v>
      </c>
      <c r="G134" s="2">
        <f t="shared" si="48"/>
        <v>-7.5001906720190492</v>
      </c>
      <c r="H134" s="2" t="e">
        <f t="shared" si="49"/>
        <v>#DIV/0!</v>
      </c>
    </row>
    <row r="135" spans="1:10" x14ac:dyDescent="0.2">
      <c r="A135" s="17"/>
      <c r="D135" s="2" t="e">
        <f t="shared" si="45"/>
        <v>#DIV/0!</v>
      </c>
      <c r="E135" s="2" t="e">
        <f t="shared" si="46"/>
        <v>#DIV/0!</v>
      </c>
      <c r="F135" s="3">
        <f t="shared" si="47"/>
        <v>9.9947329250066497E-9</v>
      </c>
      <c r="G135" s="2">
        <f t="shared" si="48"/>
        <v>-8.0002288064228591</v>
      </c>
      <c r="H135" s="2" t="e">
        <f t="shared" si="49"/>
        <v>#DIV/0!</v>
      </c>
    </row>
    <row r="136" spans="1:10" x14ac:dyDescent="0.2">
      <c r="A136" s="17"/>
      <c r="D136" s="2" t="e">
        <f t="shared" si="45"/>
        <v>#DIV/0!</v>
      </c>
      <c r="E136" s="2" t="e">
        <f t="shared" si="46"/>
        <v>#DIV/0!</v>
      </c>
      <c r="F136" s="3">
        <f t="shared" si="47"/>
        <v>3.1603345508871026E-9</v>
      </c>
      <c r="G136" s="2">
        <f t="shared" si="48"/>
        <v>-8.500266940826668</v>
      </c>
      <c r="H136" s="2" t="e">
        <f t="shared" si="49"/>
        <v>#DIV/0!</v>
      </c>
    </row>
    <row r="137" spans="1:10" x14ac:dyDescent="0.2">
      <c r="A137" s="25"/>
      <c r="D137" s="2" t="e">
        <f t="shared" si="45"/>
        <v>#DIV/0!</v>
      </c>
      <c r="E137" s="2" t="e">
        <f t="shared" si="46"/>
        <v>#DIV/0!</v>
      </c>
      <c r="F137" s="3">
        <f t="shared" si="47"/>
        <v>9.992977849905017E-10</v>
      </c>
      <c r="G137" s="2">
        <f t="shared" si="48"/>
        <v>-9.0003050752304787</v>
      </c>
      <c r="H137" s="2" t="e">
        <f t="shared" si="49"/>
        <v>#DIV/0!</v>
      </c>
    </row>
    <row r="138" spans="1:10" x14ac:dyDescent="0.2">
      <c r="A138" s="17"/>
      <c r="D138" s="2" t="e">
        <f t="shared" si="45"/>
        <v>#DIV/0!</v>
      </c>
      <c r="E138" s="2"/>
      <c r="F138" s="3"/>
      <c r="G138" s="2"/>
      <c r="H138" s="2"/>
    </row>
    <row r="139" spans="1:10" x14ac:dyDescent="0.2">
      <c r="A139" s="17"/>
      <c r="D139" t="s">
        <v>101</v>
      </c>
      <c r="E139" t="s">
        <v>102</v>
      </c>
      <c r="F139" t="s">
        <v>103</v>
      </c>
      <c r="G139" t="s">
        <v>104</v>
      </c>
      <c r="H139" s="7" t="s">
        <v>105</v>
      </c>
    </row>
    <row r="140" spans="1:10" x14ac:dyDescent="0.2">
      <c r="A140" s="17" t="s">
        <v>117</v>
      </c>
      <c r="D140" s="2" t="e">
        <f>AVERAGE(B140:C140)</f>
        <v>#DIV/0!</v>
      </c>
      <c r="E140" s="2" t="e">
        <f>AVERAGE(D140,D151)-$D$141</f>
        <v>#DIV/0!</v>
      </c>
      <c r="H140" s="2" t="e">
        <f>E140*100/$E$140</f>
        <v>#DIV/0!</v>
      </c>
      <c r="J140" s="7"/>
    </row>
    <row r="141" spans="1:10" x14ac:dyDescent="0.2">
      <c r="A141" s="17"/>
      <c r="D141" s="2" t="e">
        <f t="shared" ref="D141:D151" si="50">AVERAGE(B141:C141)</f>
        <v>#DIV/0!</v>
      </c>
      <c r="E141" s="2" t="e">
        <f>D141-$D$141</f>
        <v>#DIV/0!</v>
      </c>
      <c r="H141" s="2"/>
    </row>
    <row r="142" spans="1:10" x14ac:dyDescent="0.2">
      <c r="A142" s="9"/>
      <c r="D142" s="2" t="e">
        <f t="shared" si="50"/>
        <v>#DIV/0!</v>
      </c>
      <c r="E142" s="2" t="e">
        <f>D142-$D$141</f>
        <v>#DIV/0!</v>
      </c>
      <c r="F142" s="3">
        <v>1.0000000000000001E-5</v>
      </c>
      <c r="G142" s="2">
        <f>LOG(F142)</f>
        <v>-5</v>
      </c>
      <c r="H142" s="2" t="e">
        <f>E142*100/$E$140</f>
        <v>#DIV/0!</v>
      </c>
    </row>
    <row r="143" spans="1:10" x14ac:dyDescent="0.2">
      <c r="A143" s="17"/>
      <c r="D143" s="2" t="e">
        <f t="shared" si="50"/>
        <v>#DIV/0!</v>
      </c>
      <c r="E143" s="2" t="e">
        <f t="shared" ref="E143:E150" si="51">D143-$D$141</f>
        <v>#DIV/0!</v>
      </c>
      <c r="F143" s="3">
        <f t="shared" ref="F143:F150" si="52">F142*0.3162</f>
        <v>3.162E-6</v>
      </c>
      <c r="G143" s="2">
        <f t="shared" ref="G143:G150" si="53">LOG(F143)</f>
        <v>-5.5000381344038098</v>
      </c>
      <c r="H143" s="2" t="e">
        <f t="shared" ref="H143:H150" si="54">E143*100/$E$140</f>
        <v>#DIV/0!</v>
      </c>
    </row>
    <row r="144" spans="1:10" ht="15" x14ac:dyDescent="0.2">
      <c r="A144" s="24"/>
      <c r="D144" s="2" t="e">
        <f t="shared" si="50"/>
        <v>#DIV/0!</v>
      </c>
      <c r="E144" s="2" t="e">
        <f t="shared" si="51"/>
        <v>#DIV/0!</v>
      </c>
      <c r="F144" s="3">
        <f t="shared" si="52"/>
        <v>9.9982439999999994E-7</v>
      </c>
      <c r="G144" s="2">
        <f t="shared" si="53"/>
        <v>-6.0000762688076197</v>
      </c>
      <c r="H144" s="2" t="e">
        <f t="shared" si="54"/>
        <v>#DIV/0!</v>
      </c>
    </row>
    <row r="145" spans="1:10" x14ac:dyDescent="0.2">
      <c r="A145" s="17"/>
      <c r="D145" s="2" t="e">
        <f t="shared" si="50"/>
        <v>#DIV/0!</v>
      </c>
      <c r="E145" s="2" t="e">
        <f t="shared" si="51"/>
        <v>#DIV/0!</v>
      </c>
      <c r="F145" s="3">
        <f t="shared" si="52"/>
        <v>3.1614447527999998E-7</v>
      </c>
      <c r="G145" s="2">
        <f t="shared" si="53"/>
        <v>-6.5001144032114295</v>
      </c>
      <c r="H145" s="2" t="e">
        <f t="shared" si="54"/>
        <v>#DIV/0!</v>
      </c>
    </row>
    <row r="146" spans="1:10" x14ac:dyDescent="0.2">
      <c r="A146" s="17"/>
      <c r="D146" s="2" t="e">
        <f t="shared" si="50"/>
        <v>#DIV/0!</v>
      </c>
      <c r="E146" s="2" t="e">
        <f t="shared" si="51"/>
        <v>#DIV/0!</v>
      </c>
      <c r="F146" s="3">
        <f t="shared" si="52"/>
        <v>9.9964883083535985E-8</v>
      </c>
      <c r="G146" s="2">
        <f t="shared" si="53"/>
        <v>-7.0001525376152394</v>
      </c>
      <c r="H146" s="2" t="e">
        <f t="shared" si="54"/>
        <v>#DIV/0!</v>
      </c>
    </row>
    <row r="147" spans="1:10" x14ac:dyDescent="0.2">
      <c r="A147" s="17"/>
      <c r="D147" s="2" t="e">
        <f t="shared" si="50"/>
        <v>#DIV/0!</v>
      </c>
      <c r="E147" s="2" t="e">
        <f t="shared" si="51"/>
        <v>#DIV/0!</v>
      </c>
      <c r="F147" s="3">
        <f t="shared" si="52"/>
        <v>3.1608896031014074E-8</v>
      </c>
      <c r="G147" s="2">
        <f t="shared" si="53"/>
        <v>-7.5001906720190492</v>
      </c>
      <c r="H147" s="2" t="e">
        <f t="shared" si="54"/>
        <v>#DIV/0!</v>
      </c>
    </row>
    <row r="148" spans="1:10" x14ac:dyDescent="0.2">
      <c r="A148" s="25"/>
      <c r="D148" s="2" t="e">
        <f t="shared" si="50"/>
        <v>#DIV/0!</v>
      </c>
      <c r="E148" s="2" t="e">
        <f t="shared" si="51"/>
        <v>#DIV/0!</v>
      </c>
      <c r="F148" s="3">
        <f t="shared" si="52"/>
        <v>9.9947329250066497E-9</v>
      </c>
      <c r="G148" s="2">
        <f t="shared" si="53"/>
        <v>-8.0002288064228591</v>
      </c>
      <c r="H148" s="2" t="e">
        <f t="shared" si="54"/>
        <v>#DIV/0!</v>
      </c>
    </row>
    <row r="149" spans="1:10" x14ac:dyDescent="0.2">
      <c r="A149" s="25"/>
      <c r="D149" s="2" t="e">
        <f t="shared" si="50"/>
        <v>#DIV/0!</v>
      </c>
      <c r="E149" s="2" t="e">
        <f t="shared" si="51"/>
        <v>#DIV/0!</v>
      </c>
      <c r="F149" s="3">
        <f t="shared" si="52"/>
        <v>3.1603345508871026E-9</v>
      </c>
      <c r="G149" s="2">
        <f t="shared" si="53"/>
        <v>-8.500266940826668</v>
      </c>
      <c r="H149" s="2" t="e">
        <f t="shared" si="54"/>
        <v>#DIV/0!</v>
      </c>
    </row>
    <row r="150" spans="1:10" x14ac:dyDescent="0.2">
      <c r="A150" s="25"/>
      <c r="D150" s="2" t="e">
        <f t="shared" si="50"/>
        <v>#DIV/0!</v>
      </c>
      <c r="E150" s="2" t="e">
        <f t="shared" si="51"/>
        <v>#DIV/0!</v>
      </c>
      <c r="F150" s="3">
        <f t="shared" si="52"/>
        <v>9.992977849905017E-10</v>
      </c>
      <c r="G150" s="2">
        <f t="shared" si="53"/>
        <v>-9.0003050752304787</v>
      </c>
      <c r="H150" s="2" t="e">
        <f t="shared" si="54"/>
        <v>#DIV/0!</v>
      </c>
    </row>
    <row r="151" spans="1:10" x14ac:dyDescent="0.2">
      <c r="A151" s="17"/>
      <c r="D151" s="2" t="e">
        <f t="shared" si="50"/>
        <v>#DIV/0!</v>
      </c>
      <c r="E151" s="2"/>
      <c r="F151" s="3"/>
      <c r="G151" s="2"/>
      <c r="H151" s="2"/>
    </row>
    <row r="152" spans="1:10" x14ac:dyDescent="0.2">
      <c r="A152" s="17"/>
      <c r="D152" t="s">
        <v>101</v>
      </c>
      <c r="E152" t="s">
        <v>102</v>
      </c>
      <c r="F152" t="s">
        <v>103</v>
      </c>
      <c r="G152" t="s">
        <v>104</v>
      </c>
      <c r="H152" s="7" t="s">
        <v>105</v>
      </c>
    </row>
    <row r="153" spans="1:10" x14ac:dyDescent="0.2">
      <c r="A153" s="17" t="s">
        <v>118</v>
      </c>
      <c r="D153" s="2" t="e">
        <f>AVERAGE(B153:C153)</f>
        <v>#DIV/0!</v>
      </c>
      <c r="E153" s="2" t="e">
        <f>AVERAGE(D153,D164)-$D$154</f>
        <v>#DIV/0!</v>
      </c>
      <c r="H153" s="2" t="e">
        <f>E153*100/$E$153</f>
        <v>#DIV/0!</v>
      </c>
      <c r="J153" s="7"/>
    </row>
    <row r="154" spans="1:10" x14ac:dyDescent="0.2">
      <c r="A154" s="25"/>
      <c r="D154" s="2" t="e">
        <f t="shared" ref="D154:D163" si="55">AVERAGE(B154:C154)</f>
        <v>#DIV/0!</v>
      </c>
      <c r="E154" s="2" t="e">
        <f>D154-$D$154</f>
        <v>#DIV/0!</v>
      </c>
      <c r="H154" s="2"/>
    </row>
    <row r="155" spans="1:10" x14ac:dyDescent="0.2">
      <c r="A155" s="9"/>
      <c r="D155" s="2" t="e">
        <f t="shared" si="55"/>
        <v>#DIV/0!</v>
      </c>
      <c r="E155" s="2" t="e">
        <f>D155-$D$154</f>
        <v>#DIV/0!</v>
      </c>
      <c r="F155" s="3">
        <v>1.0000000000000001E-5</v>
      </c>
      <c r="G155" s="2">
        <f>LOG(F155)</f>
        <v>-5</v>
      </c>
      <c r="H155" s="2" t="e">
        <f>E155*100/$E$153</f>
        <v>#DIV/0!</v>
      </c>
    </row>
    <row r="156" spans="1:10" x14ac:dyDescent="0.2">
      <c r="A156" s="25"/>
      <c r="D156" s="2" t="e">
        <f t="shared" si="55"/>
        <v>#DIV/0!</v>
      </c>
      <c r="E156" s="2" t="e">
        <f t="shared" ref="E156:E163" si="56">D156-$D$154</f>
        <v>#DIV/0!</v>
      </c>
      <c r="F156" s="3">
        <f t="shared" ref="F156:F163" si="57">F155*0.3162</f>
        <v>3.162E-6</v>
      </c>
      <c r="G156" s="2">
        <f t="shared" ref="G156:G163" si="58">LOG(F156)</f>
        <v>-5.5000381344038098</v>
      </c>
      <c r="H156" s="2" t="e">
        <f t="shared" ref="H156:H163" si="59">E156*100/$E$153</f>
        <v>#DIV/0!</v>
      </c>
    </row>
    <row r="157" spans="1:10" x14ac:dyDescent="0.2">
      <c r="A157" s="18"/>
      <c r="D157" s="2" t="e">
        <f t="shared" si="55"/>
        <v>#DIV/0!</v>
      </c>
      <c r="E157" s="2" t="e">
        <f t="shared" si="56"/>
        <v>#DIV/0!</v>
      </c>
      <c r="F157" s="3">
        <f t="shared" si="57"/>
        <v>9.9982439999999994E-7</v>
      </c>
      <c r="G157" s="2">
        <f t="shared" si="58"/>
        <v>-6.0000762688076197</v>
      </c>
      <c r="H157" s="2" t="e">
        <f t="shared" si="59"/>
        <v>#DIV/0!</v>
      </c>
    </row>
    <row r="158" spans="1:10" x14ac:dyDescent="0.2">
      <c r="A158" s="17"/>
      <c r="D158" s="2" t="e">
        <f t="shared" si="55"/>
        <v>#DIV/0!</v>
      </c>
      <c r="E158" s="2" t="e">
        <f t="shared" si="56"/>
        <v>#DIV/0!</v>
      </c>
      <c r="F158" s="3">
        <f t="shared" si="57"/>
        <v>3.1614447527999998E-7</v>
      </c>
      <c r="G158" s="2">
        <f t="shared" si="58"/>
        <v>-6.5001144032114295</v>
      </c>
      <c r="H158" s="2" t="e">
        <f t="shared" si="59"/>
        <v>#DIV/0!</v>
      </c>
    </row>
    <row r="159" spans="1:10" x14ac:dyDescent="0.2">
      <c r="A159" s="17"/>
      <c r="D159" s="2" t="e">
        <f t="shared" si="55"/>
        <v>#DIV/0!</v>
      </c>
      <c r="E159" s="2" t="e">
        <f t="shared" si="56"/>
        <v>#DIV/0!</v>
      </c>
      <c r="F159" s="3">
        <f t="shared" si="57"/>
        <v>9.9964883083535985E-8</v>
      </c>
      <c r="G159" s="2">
        <f t="shared" si="58"/>
        <v>-7.0001525376152394</v>
      </c>
      <c r="H159" s="2" t="e">
        <f t="shared" si="59"/>
        <v>#DIV/0!</v>
      </c>
    </row>
    <row r="160" spans="1:10" x14ac:dyDescent="0.2">
      <c r="A160" s="17"/>
      <c r="D160" s="2" t="e">
        <f t="shared" si="55"/>
        <v>#DIV/0!</v>
      </c>
      <c r="E160" s="2" t="e">
        <f t="shared" si="56"/>
        <v>#DIV/0!</v>
      </c>
      <c r="F160" s="3">
        <f t="shared" si="57"/>
        <v>3.1608896031014074E-8</v>
      </c>
      <c r="G160" s="2">
        <f t="shared" si="58"/>
        <v>-7.5001906720190492</v>
      </c>
      <c r="H160" s="2" t="e">
        <f t="shared" si="59"/>
        <v>#DIV/0!</v>
      </c>
    </row>
    <row r="161" spans="1:10" x14ac:dyDescent="0.2">
      <c r="A161" s="25"/>
      <c r="D161" s="2" t="e">
        <f t="shared" si="55"/>
        <v>#DIV/0!</v>
      </c>
      <c r="E161" s="2" t="e">
        <f t="shared" si="56"/>
        <v>#DIV/0!</v>
      </c>
      <c r="F161" s="3">
        <f t="shared" si="57"/>
        <v>9.9947329250066497E-9</v>
      </c>
      <c r="G161" s="2">
        <f t="shared" si="58"/>
        <v>-8.0002288064228591</v>
      </c>
      <c r="H161" s="2" t="e">
        <f t="shared" si="59"/>
        <v>#DIV/0!</v>
      </c>
    </row>
    <row r="162" spans="1:10" x14ac:dyDescent="0.2">
      <c r="A162" s="25"/>
      <c r="D162" s="2" t="e">
        <f t="shared" si="55"/>
        <v>#DIV/0!</v>
      </c>
      <c r="E162" s="2" t="e">
        <f t="shared" si="56"/>
        <v>#DIV/0!</v>
      </c>
      <c r="F162" s="3">
        <f t="shared" si="57"/>
        <v>3.1603345508871026E-9</v>
      </c>
      <c r="G162" s="2">
        <f t="shared" si="58"/>
        <v>-8.500266940826668</v>
      </c>
      <c r="H162" s="2" t="e">
        <f t="shared" si="59"/>
        <v>#DIV/0!</v>
      </c>
    </row>
    <row r="163" spans="1:10" x14ac:dyDescent="0.2">
      <c r="A163" s="25"/>
      <c r="D163" s="2" t="e">
        <f t="shared" si="55"/>
        <v>#DIV/0!</v>
      </c>
      <c r="E163" s="2" t="e">
        <f t="shared" si="56"/>
        <v>#DIV/0!</v>
      </c>
      <c r="F163" s="3">
        <f t="shared" si="57"/>
        <v>9.992977849905017E-10</v>
      </c>
      <c r="G163" s="2">
        <f t="shared" si="58"/>
        <v>-9.0003050752304787</v>
      </c>
      <c r="H163" s="2" t="e">
        <f t="shared" si="59"/>
        <v>#DIV/0!</v>
      </c>
    </row>
    <row r="164" spans="1:10" x14ac:dyDescent="0.2">
      <c r="A164" s="25"/>
      <c r="D164" s="2" t="e">
        <f>AVERAGE(B164:C164)</f>
        <v>#DIV/0!</v>
      </c>
      <c r="E164" s="2"/>
      <c r="F164" s="3"/>
      <c r="G164" s="2"/>
      <c r="H164" s="2"/>
    </row>
    <row r="165" spans="1:10" x14ac:dyDescent="0.2">
      <c r="A165" s="25"/>
      <c r="D165" t="s">
        <v>101</v>
      </c>
      <c r="E165" t="s">
        <v>102</v>
      </c>
      <c r="F165" t="s">
        <v>103</v>
      </c>
      <c r="G165" t="s">
        <v>104</v>
      </c>
      <c r="H165" s="7" t="s">
        <v>105</v>
      </c>
    </row>
    <row r="166" spans="1:10" x14ac:dyDescent="0.2">
      <c r="A166" s="10" t="s">
        <v>125</v>
      </c>
      <c r="D166" s="2" t="e">
        <f>AVERAGE(B166:C166)</f>
        <v>#DIV/0!</v>
      </c>
      <c r="E166" s="2" t="e">
        <f>AVERAGE(D166,D177)-$D$167</f>
        <v>#DIV/0!</v>
      </c>
      <c r="H166" s="2" t="e">
        <f>E166*100/$E$166</f>
        <v>#DIV/0!</v>
      </c>
      <c r="J166" s="7"/>
    </row>
    <row r="167" spans="1:10" x14ac:dyDescent="0.2">
      <c r="A167" s="9"/>
      <c r="D167" s="2" t="e">
        <f t="shared" ref="D167:D176" si="60">AVERAGE(B167:C167)</f>
        <v>#DIV/0!</v>
      </c>
      <c r="E167" s="2" t="e">
        <f>D167-$D$167</f>
        <v>#DIV/0!</v>
      </c>
      <c r="H167" s="2"/>
    </row>
    <row r="168" spans="1:10" x14ac:dyDescent="0.2">
      <c r="A168" s="25"/>
      <c r="D168" s="2" t="e">
        <f t="shared" si="60"/>
        <v>#DIV/0!</v>
      </c>
      <c r="E168" s="2" t="e">
        <f t="shared" ref="E168:E176" si="61">D168-$D$167</f>
        <v>#DIV/0!</v>
      </c>
      <c r="F168" s="3">
        <v>1.0000000000000001E-5</v>
      </c>
      <c r="G168" s="2">
        <f>LOG(F168)</f>
        <v>-5</v>
      </c>
      <c r="H168" s="2" t="e">
        <f>E168*100/$E$166</f>
        <v>#DIV/0!</v>
      </c>
    </row>
    <row r="169" spans="1:10" x14ac:dyDescent="0.2">
      <c r="A169" s="25"/>
      <c r="D169" s="2" t="e">
        <f t="shared" si="60"/>
        <v>#DIV/0!</v>
      </c>
      <c r="E169" s="2" t="e">
        <f t="shared" si="61"/>
        <v>#DIV/0!</v>
      </c>
      <c r="F169" s="3">
        <f>F168*0.3162</f>
        <v>3.162E-6</v>
      </c>
      <c r="G169" s="2">
        <f t="shared" ref="G169:G176" si="62">LOG(F169)</f>
        <v>-5.5000381344038098</v>
      </c>
      <c r="H169" s="2" t="e">
        <f t="shared" ref="H169:H176" si="63">E169*100/$E$166</f>
        <v>#DIV/0!</v>
      </c>
    </row>
    <row r="170" spans="1:10" x14ac:dyDescent="0.2">
      <c r="A170" s="25"/>
      <c r="D170" s="2" t="e">
        <f t="shared" si="60"/>
        <v>#DIV/0!</v>
      </c>
      <c r="E170" s="2" t="e">
        <f t="shared" si="61"/>
        <v>#DIV/0!</v>
      </c>
      <c r="F170" s="3">
        <f t="shared" ref="F170:F176" si="64">F169*0.3162</f>
        <v>9.9982439999999994E-7</v>
      </c>
      <c r="G170" s="2">
        <f t="shared" si="62"/>
        <v>-6.0000762688076197</v>
      </c>
      <c r="H170" s="2" t="e">
        <f t="shared" si="63"/>
        <v>#DIV/0!</v>
      </c>
    </row>
    <row r="171" spans="1:10" x14ac:dyDescent="0.2">
      <c r="A171" s="25"/>
      <c r="D171" s="2" t="e">
        <f t="shared" si="60"/>
        <v>#DIV/0!</v>
      </c>
      <c r="E171" s="2" t="e">
        <f t="shared" si="61"/>
        <v>#DIV/0!</v>
      </c>
      <c r="F171" s="3">
        <f t="shared" si="64"/>
        <v>3.1614447527999998E-7</v>
      </c>
      <c r="G171" s="2">
        <f t="shared" si="62"/>
        <v>-6.5001144032114295</v>
      </c>
      <c r="H171" s="2" t="e">
        <f t="shared" si="63"/>
        <v>#DIV/0!</v>
      </c>
    </row>
    <row r="172" spans="1:10" x14ac:dyDescent="0.2">
      <c r="A172" s="25"/>
      <c r="D172" s="2" t="e">
        <f t="shared" si="60"/>
        <v>#DIV/0!</v>
      </c>
      <c r="E172" s="2" t="e">
        <f t="shared" si="61"/>
        <v>#DIV/0!</v>
      </c>
      <c r="F172" s="3">
        <f t="shared" si="64"/>
        <v>9.9964883083535985E-8</v>
      </c>
      <c r="G172" s="2">
        <f t="shared" si="62"/>
        <v>-7.0001525376152394</v>
      </c>
      <c r="H172" s="2" t="e">
        <f t="shared" si="63"/>
        <v>#DIV/0!</v>
      </c>
    </row>
    <row r="173" spans="1:10" x14ac:dyDescent="0.2">
      <c r="A173" s="25"/>
      <c r="D173" s="2" t="e">
        <f t="shared" si="60"/>
        <v>#DIV/0!</v>
      </c>
      <c r="E173" s="2" t="e">
        <f t="shared" si="61"/>
        <v>#DIV/0!</v>
      </c>
      <c r="F173" s="3">
        <f t="shared" si="64"/>
        <v>3.1608896031014074E-8</v>
      </c>
      <c r="G173" s="2">
        <f t="shared" si="62"/>
        <v>-7.5001906720190492</v>
      </c>
      <c r="H173" s="2" t="e">
        <f t="shared" si="63"/>
        <v>#DIV/0!</v>
      </c>
    </row>
    <row r="174" spans="1:10" x14ac:dyDescent="0.2">
      <c r="A174" s="25"/>
      <c r="D174" s="2" t="e">
        <f t="shared" si="60"/>
        <v>#DIV/0!</v>
      </c>
      <c r="E174" s="2" t="e">
        <f t="shared" si="61"/>
        <v>#DIV/0!</v>
      </c>
      <c r="F174" s="3">
        <f t="shared" si="64"/>
        <v>9.9947329250066497E-9</v>
      </c>
      <c r="G174" s="2">
        <f t="shared" si="62"/>
        <v>-8.0002288064228591</v>
      </c>
      <c r="H174" s="2" t="e">
        <f t="shared" si="63"/>
        <v>#DIV/0!</v>
      </c>
    </row>
    <row r="175" spans="1:10" x14ac:dyDescent="0.2">
      <c r="A175" s="25"/>
      <c r="D175" s="2" t="e">
        <f t="shared" si="60"/>
        <v>#DIV/0!</v>
      </c>
      <c r="E175" s="2" t="e">
        <f t="shared" si="61"/>
        <v>#DIV/0!</v>
      </c>
      <c r="F175" s="3">
        <f t="shared" si="64"/>
        <v>3.1603345508871026E-9</v>
      </c>
      <c r="G175" s="2">
        <f t="shared" si="62"/>
        <v>-8.500266940826668</v>
      </c>
      <c r="H175" s="2" t="e">
        <f t="shared" si="63"/>
        <v>#DIV/0!</v>
      </c>
    </row>
    <row r="176" spans="1:10" x14ac:dyDescent="0.2">
      <c r="A176" s="25"/>
      <c r="D176" s="2" t="e">
        <f t="shared" si="60"/>
        <v>#DIV/0!</v>
      </c>
      <c r="E176" s="2" t="e">
        <f t="shared" si="61"/>
        <v>#DIV/0!</v>
      </c>
      <c r="F176" s="3">
        <f t="shared" si="64"/>
        <v>9.992977849905017E-10</v>
      </c>
      <c r="G176" s="2">
        <f t="shared" si="62"/>
        <v>-9.0003050752304787</v>
      </c>
      <c r="H176" s="2" t="e">
        <f t="shared" si="63"/>
        <v>#DIV/0!</v>
      </c>
    </row>
    <row r="177" spans="1:8" x14ac:dyDescent="0.2">
      <c r="A177" s="25"/>
      <c r="D177" s="2" t="e">
        <f>AVERAGE(B177:C177)</f>
        <v>#DIV/0!</v>
      </c>
      <c r="E177" s="2"/>
      <c r="F177" s="3"/>
      <c r="G177" s="2"/>
      <c r="H177" s="2"/>
    </row>
    <row r="178" spans="1:8" x14ac:dyDescent="0.2">
      <c r="A178" s="25"/>
      <c r="D178" t="s">
        <v>101</v>
      </c>
      <c r="E178" t="s">
        <v>102</v>
      </c>
      <c r="F178" t="s">
        <v>103</v>
      </c>
      <c r="G178" t="s">
        <v>104</v>
      </c>
      <c r="H178" s="7" t="s">
        <v>105</v>
      </c>
    </row>
    <row r="179" spans="1:8" x14ac:dyDescent="0.2">
      <c r="A179" s="10" t="s">
        <v>126</v>
      </c>
      <c r="D179" s="2" t="e">
        <f>AVERAGE(B179:C179)</f>
        <v>#DIV/0!</v>
      </c>
      <c r="E179" s="2" t="e">
        <f>AVERAGE(D179,D190)-$D$180</f>
        <v>#DIV/0!</v>
      </c>
      <c r="H179" s="2" t="e">
        <f>E179*100/$E$179</f>
        <v>#DIV/0!</v>
      </c>
    </row>
    <row r="180" spans="1:8" x14ac:dyDescent="0.2">
      <c r="A180" s="9"/>
      <c r="D180" s="2" t="e">
        <f t="shared" ref="D180:D190" si="65">AVERAGE(B180:C180)</f>
        <v>#DIV/0!</v>
      </c>
      <c r="E180" s="2" t="e">
        <f>D180-$D$180</f>
        <v>#DIV/0!</v>
      </c>
      <c r="H180" s="2"/>
    </row>
    <row r="181" spans="1:8" x14ac:dyDescent="0.2">
      <c r="A181" s="25"/>
      <c r="D181" s="2" t="e">
        <f t="shared" si="65"/>
        <v>#DIV/0!</v>
      </c>
      <c r="E181" s="2" t="e">
        <f t="shared" ref="E181:E189" si="66">D181-$D$180</f>
        <v>#DIV/0!</v>
      </c>
      <c r="F181" s="3">
        <v>1.0000000000000001E-5</v>
      </c>
      <c r="G181" s="2">
        <f>LOG(F181)</f>
        <v>-5</v>
      </c>
      <c r="H181" s="2" t="e">
        <f>E181*100/$E$179</f>
        <v>#DIV/0!</v>
      </c>
    </row>
    <row r="182" spans="1:8" x14ac:dyDescent="0.2">
      <c r="A182" s="25"/>
      <c r="D182" s="2" t="e">
        <f t="shared" si="65"/>
        <v>#DIV/0!</v>
      </c>
      <c r="E182" s="2" t="e">
        <f t="shared" si="66"/>
        <v>#DIV/0!</v>
      </c>
      <c r="F182" s="3">
        <f t="shared" ref="F182:F189" si="67">F181*0.3162</f>
        <v>3.162E-6</v>
      </c>
      <c r="G182" s="2">
        <f t="shared" ref="G182:G189" si="68">LOG(F182)</f>
        <v>-5.5000381344038098</v>
      </c>
      <c r="H182" s="2" t="e">
        <f t="shared" ref="H182:H189" si="69">E182*100/$E$179</f>
        <v>#DIV/0!</v>
      </c>
    </row>
    <row r="183" spans="1:8" x14ac:dyDescent="0.2">
      <c r="A183" s="25"/>
      <c r="D183" s="2" t="e">
        <f t="shared" si="65"/>
        <v>#DIV/0!</v>
      </c>
      <c r="E183" s="2" t="e">
        <f t="shared" si="66"/>
        <v>#DIV/0!</v>
      </c>
      <c r="F183" s="3">
        <f t="shared" si="67"/>
        <v>9.9982439999999994E-7</v>
      </c>
      <c r="G183" s="2">
        <f t="shared" si="68"/>
        <v>-6.0000762688076197</v>
      </c>
      <c r="H183" s="2" t="e">
        <f t="shared" si="69"/>
        <v>#DIV/0!</v>
      </c>
    </row>
    <row r="184" spans="1:8" x14ac:dyDescent="0.2">
      <c r="A184" s="25"/>
      <c r="D184" s="2" t="e">
        <f t="shared" si="65"/>
        <v>#DIV/0!</v>
      </c>
      <c r="E184" s="2" t="e">
        <f t="shared" si="66"/>
        <v>#DIV/0!</v>
      </c>
      <c r="F184" s="3">
        <f t="shared" si="67"/>
        <v>3.1614447527999998E-7</v>
      </c>
      <c r="G184" s="2">
        <f t="shared" si="68"/>
        <v>-6.5001144032114295</v>
      </c>
      <c r="H184" s="2" t="e">
        <f t="shared" si="69"/>
        <v>#DIV/0!</v>
      </c>
    </row>
    <row r="185" spans="1:8" x14ac:dyDescent="0.2">
      <c r="A185" s="25"/>
      <c r="D185" s="2" t="e">
        <f t="shared" si="65"/>
        <v>#DIV/0!</v>
      </c>
      <c r="E185" s="2" t="e">
        <f t="shared" si="66"/>
        <v>#DIV/0!</v>
      </c>
      <c r="F185" s="3">
        <f t="shared" si="67"/>
        <v>9.9964883083535985E-8</v>
      </c>
      <c r="G185" s="2">
        <f t="shared" si="68"/>
        <v>-7.0001525376152394</v>
      </c>
      <c r="H185" s="2" t="e">
        <f t="shared" si="69"/>
        <v>#DIV/0!</v>
      </c>
    </row>
    <row r="186" spans="1:8" x14ac:dyDescent="0.2">
      <c r="A186" s="25"/>
      <c r="D186" s="2" t="e">
        <f t="shared" si="65"/>
        <v>#DIV/0!</v>
      </c>
      <c r="E186" s="2" t="e">
        <f t="shared" si="66"/>
        <v>#DIV/0!</v>
      </c>
      <c r="F186" s="3">
        <f t="shared" si="67"/>
        <v>3.1608896031014074E-8</v>
      </c>
      <c r="G186" s="2">
        <f t="shared" si="68"/>
        <v>-7.5001906720190492</v>
      </c>
      <c r="H186" s="2" t="e">
        <f t="shared" si="69"/>
        <v>#DIV/0!</v>
      </c>
    </row>
    <row r="187" spans="1:8" x14ac:dyDescent="0.2">
      <c r="A187" s="25"/>
      <c r="D187" s="2" t="e">
        <f t="shared" si="65"/>
        <v>#DIV/0!</v>
      </c>
      <c r="E187" s="2" t="e">
        <f t="shared" si="66"/>
        <v>#DIV/0!</v>
      </c>
      <c r="F187" s="3">
        <f t="shared" si="67"/>
        <v>9.9947329250066497E-9</v>
      </c>
      <c r="G187" s="2">
        <f t="shared" si="68"/>
        <v>-8.0002288064228591</v>
      </c>
      <c r="H187" s="2" t="e">
        <f t="shared" si="69"/>
        <v>#DIV/0!</v>
      </c>
    </row>
    <row r="188" spans="1:8" x14ac:dyDescent="0.2">
      <c r="A188" s="25"/>
      <c r="D188" s="2" t="e">
        <f t="shared" si="65"/>
        <v>#DIV/0!</v>
      </c>
      <c r="E188" s="2" t="e">
        <f t="shared" si="66"/>
        <v>#DIV/0!</v>
      </c>
      <c r="F188" s="3">
        <f t="shared" si="67"/>
        <v>3.1603345508871026E-9</v>
      </c>
      <c r="G188" s="2">
        <f t="shared" si="68"/>
        <v>-8.500266940826668</v>
      </c>
      <c r="H188" s="2" t="e">
        <f t="shared" si="69"/>
        <v>#DIV/0!</v>
      </c>
    </row>
    <row r="189" spans="1:8" x14ac:dyDescent="0.2">
      <c r="A189" s="25"/>
      <c r="D189" s="2" t="e">
        <f t="shared" si="65"/>
        <v>#DIV/0!</v>
      </c>
      <c r="E189" s="2" t="e">
        <f t="shared" si="66"/>
        <v>#DIV/0!</v>
      </c>
      <c r="F189" s="3">
        <f t="shared" si="67"/>
        <v>9.992977849905017E-10</v>
      </c>
      <c r="G189" s="2">
        <f t="shared" si="68"/>
        <v>-9.0003050752304787</v>
      </c>
      <c r="H189" s="2" t="e">
        <f t="shared" si="69"/>
        <v>#DIV/0!</v>
      </c>
    </row>
    <row r="190" spans="1:8" x14ac:dyDescent="0.2">
      <c r="A190" s="25"/>
      <c r="D190" s="2" t="e">
        <f t="shared" si="65"/>
        <v>#DIV/0!</v>
      </c>
      <c r="E190" s="2"/>
      <c r="F190" s="3"/>
      <c r="G190" s="2"/>
      <c r="H190" s="2"/>
    </row>
    <row r="191" spans="1:8" x14ac:dyDescent="0.2">
      <c r="A191" s="25"/>
      <c r="D191" t="s">
        <v>101</v>
      </c>
      <c r="E191" t="s">
        <v>102</v>
      </c>
      <c r="F191" t="s">
        <v>103</v>
      </c>
      <c r="G191" t="s">
        <v>104</v>
      </c>
      <c r="H191" s="7" t="s">
        <v>105</v>
      </c>
    </row>
    <row r="192" spans="1:8" x14ac:dyDescent="0.2">
      <c r="A192" s="10" t="s">
        <v>127</v>
      </c>
      <c r="D192" s="2" t="e">
        <f>AVERAGE(B192:C192)</f>
        <v>#DIV/0!</v>
      </c>
      <c r="E192" s="2" t="e">
        <f>AVERAGE(D192,D203)-$D$193</f>
        <v>#DIV/0!</v>
      </c>
      <c r="H192" s="2" t="e">
        <f>E192*100/$E$192</f>
        <v>#DIV/0!</v>
      </c>
    </row>
    <row r="193" spans="1:8" x14ac:dyDescent="0.2">
      <c r="A193" s="9"/>
      <c r="D193" s="2" t="e">
        <f t="shared" ref="D193:D203" si="70">AVERAGE(B193:C193)</f>
        <v>#DIV/0!</v>
      </c>
      <c r="E193" s="2" t="e">
        <f>D193-$D$193</f>
        <v>#DIV/0!</v>
      </c>
      <c r="H193" s="2"/>
    </row>
    <row r="194" spans="1:8" x14ac:dyDescent="0.2">
      <c r="A194" s="25"/>
      <c r="D194" s="2" t="e">
        <f t="shared" si="70"/>
        <v>#DIV/0!</v>
      </c>
      <c r="E194" s="2" t="e">
        <f t="shared" ref="E194:E202" si="71">D194-$D$193</f>
        <v>#DIV/0!</v>
      </c>
      <c r="F194" s="3">
        <v>9.9999999999999995E-7</v>
      </c>
      <c r="G194" s="2">
        <f>LOG(F194)</f>
        <v>-6</v>
      </c>
      <c r="H194" s="2" t="e">
        <f>E194*100/$E$192</f>
        <v>#DIV/0!</v>
      </c>
    </row>
    <row r="195" spans="1:8" x14ac:dyDescent="0.2">
      <c r="A195" s="25"/>
      <c r="D195" s="2" t="e">
        <f t="shared" si="70"/>
        <v>#DIV/0!</v>
      </c>
      <c r="E195" s="2" t="e">
        <f t="shared" si="71"/>
        <v>#DIV/0!</v>
      </c>
      <c r="F195" s="3">
        <f t="shared" ref="F195:F202" si="72">F194*0.3162</f>
        <v>3.1619999999999999E-7</v>
      </c>
      <c r="G195" s="2">
        <f t="shared" ref="G195:G202" si="73">LOG(F195)</f>
        <v>-6.5000381344038098</v>
      </c>
      <c r="H195" s="2" t="e">
        <f t="shared" ref="H195:H202" si="74">E195*100/$E$192</f>
        <v>#DIV/0!</v>
      </c>
    </row>
    <row r="196" spans="1:8" x14ac:dyDescent="0.2">
      <c r="A196" s="25"/>
      <c r="D196" s="2" t="e">
        <f t="shared" si="70"/>
        <v>#DIV/0!</v>
      </c>
      <c r="E196" s="2" t="e">
        <f t="shared" si="71"/>
        <v>#DIV/0!</v>
      </c>
      <c r="F196" s="3">
        <f t="shared" si="72"/>
        <v>9.9982439999999983E-8</v>
      </c>
      <c r="G196" s="2">
        <f t="shared" si="73"/>
        <v>-7.0000762688076197</v>
      </c>
      <c r="H196" s="2" t="e">
        <f t="shared" si="74"/>
        <v>#DIV/0!</v>
      </c>
    </row>
    <row r="197" spans="1:8" x14ac:dyDescent="0.2">
      <c r="A197" s="25"/>
      <c r="D197" s="2" t="e">
        <f t="shared" si="70"/>
        <v>#DIV/0!</v>
      </c>
      <c r="E197" s="2" t="e">
        <f t="shared" si="71"/>
        <v>#DIV/0!</v>
      </c>
      <c r="F197" s="3">
        <f t="shared" si="72"/>
        <v>3.1614447527999994E-8</v>
      </c>
      <c r="G197" s="2">
        <f t="shared" si="73"/>
        <v>-7.5001144032114295</v>
      </c>
      <c r="H197" s="2" t="e">
        <f t="shared" si="74"/>
        <v>#DIV/0!</v>
      </c>
    </row>
    <row r="198" spans="1:8" x14ac:dyDescent="0.2">
      <c r="A198" s="25"/>
      <c r="D198" s="2" t="e">
        <f t="shared" si="70"/>
        <v>#DIV/0!</v>
      </c>
      <c r="E198" s="2" t="e">
        <f t="shared" si="71"/>
        <v>#DIV/0!</v>
      </c>
      <c r="F198" s="3">
        <f t="shared" si="72"/>
        <v>9.9964883083535969E-9</v>
      </c>
      <c r="G198" s="2">
        <f t="shared" si="73"/>
        <v>-8.0001525376152394</v>
      </c>
      <c r="H198" s="2" t="e">
        <f t="shared" si="74"/>
        <v>#DIV/0!</v>
      </c>
    </row>
    <row r="199" spans="1:8" x14ac:dyDescent="0.2">
      <c r="A199" s="25"/>
      <c r="D199" s="2" t="e">
        <f t="shared" si="70"/>
        <v>#DIV/0!</v>
      </c>
      <c r="E199" s="2" t="e">
        <f t="shared" si="71"/>
        <v>#DIV/0!</v>
      </c>
      <c r="F199" s="3">
        <f t="shared" si="72"/>
        <v>3.1608896031014071E-9</v>
      </c>
      <c r="G199" s="2">
        <f t="shared" si="73"/>
        <v>-8.5001906720190483</v>
      </c>
      <c r="H199" s="2" t="e">
        <f t="shared" si="74"/>
        <v>#DIV/0!</v>
      </c>
    </row>
    <row r="200" spans="1:8" x14ac:dyDescent="0.2">
      <c r="A200" s="25"/>
      <c r="D200" s="2" t="e">
        <f t="shared" si="70"/>
        <v>#DIV/0!</v>
      </c>
      <c r="E200" s="2" t="e">
        <f t="shared" si="71"/>
        <v>#DIV/0!</v>
      </c>
      <c r="F200" s="3">
        <f t="shared" si="72"/>
        <v>9.9947329250066484E-10</v>
      </c>
      <c r="G200" s="2">
        <f t="shared" si="73"/>
        <v>-9.0002288064228591</v>
      </c>
      <c r="H200" s="2" t="e">
        <f t="shared" si="74"/>
        <v>#DIV/0!</v>
      </c>
    </row>
    <row r="201" spans="1:8" x14ac:dyDescent="0.2">
      <c r="A201" s="25"/>
      <c r="D201" s="2" t="e">
        <f t="shared" si="70"/>
        <v>#DIV/0!</v>
      </c>
      <c r="E201" s="2" t="e">
        <f t="shared" si="71"/>
        <v>#DIV/0!</v>
      </c>
      <c r="F201" s="3">
        <f t="shared" si="72"/>
        <v>3.1603345508871019E-10</v>
      </c>
      <c r="G201" s="2">
        <f t="shared" si="73"/>
        <v>-9.500266940826668</v>
      </c>
      <c r="H201" s="2" t="e">
        <f t="shared" si="74"/>
        <v>#DIV/0!</v>
      </c>
    </row>
    <row r="202" spans="1:8" x14ac:dyDescent="0.2">
      <c r="A202" s="25"/>
      <c r="D202" s="2" t="e">
        <f t="shared" si="70"/>
        <v>#DIV/0!</v>
      </c>
      <c r="E202" s="2" t="e">
        <f t="shared" si="71"/>
        <v>#DIV/0!</v>
      </c>
      <c r="F202" s="3">
        <f t="shared" si="72"/>
        <v>9.992977849905016E-11</v>
      </c>
      <c r="G202" s="2">
        <f t="shared" si="73"/>
        <v>-10.000305075230479</v>
      </c>
      <c r="H202" s="2" t="e">
        <f t="shared" si="74"/>
        <v>#DIV/0!</v>
      </c>
    </row>
    <row r="203" spans="1:8" x14ac:dyDescent="0.2">
      <c r="A203" s="25"/>
      <c r="D203" s="2" t="e">
        <f t="shared" si="70"/>
        <v>#DIV/0!</v>
      </c>
      <c r="E203" s="2"/>
      <c r="F203" s="3"/>
      <c r="G203" s="2"/>
      <c r="H203" s="2"/>
    </row>
    <row r="204" spans="1:8" x14ac:dyDescent="0.2">
      <c r="D204" t="s">
        <v>101</v>
      </c>
      <c r="E204" t="s">
        <v>102</v>
      </c>
      <c r="F204" t="s">
        <v>103</v>
      </c>
      <c r="G204" t="s">
        <v>104</v>
      </c>
      <c r="H204" s="7" t="s">
        <v>105</v>
      </c>
    </row>
    <row r="205" spans="1:8" x14ac:dyDescent="0.2">
      <c r="A205" s="16" t="s">
        <v>128</v>
      </c>
      <c r="D205" s="2" t="e">
        <f>AVERAGE(B205:C205)</f>
        <v>#DIV/0!</v>
      </c>
      <c r="E205" s="2" t="e">
        <f>AVERAGE(D205,D216)-$D$206</f>
        <v>#DIV/0!</v>
      </c>
      <c r="H205" s="2" t="e">
        <f>E205*100/$E$205</f>
        <v>#DIV/0!</v>
      </c>
    </row>
    <row r="206" spans="1:8" x14ac:dyDescent="0.2">
      <c r="A206" s="18"/>
      <c r="D206" s="2" t="e">
        <f t="shared" ref="D206:D215" si="75">AVERAGE(B206:C206)</f>
        <v>#DIV/0!</v>
      </c>
      <c r="E206" s="2" t="e">
        <f>D206-$D$206</f>
        <v>#DIV/0!</v>
      </c>
      <c r="H206" s="2"/>
    </row>
    <row r="207" spans="1:8" x14ac:dyDescent="0.2">
      <c r="A207" s="17"/>
      <c r="D207" s="2" t="e">
        <f t="shared" si="75"/>
        <v>#DIV/0!</v>
      </c>
      <c r="E207" s="2" t="e">
        <f t="shared" ref="E207:E215" si="76">D207-$D$206</f>
        <v>#DIV/0!</v>
      </c>
      <c r="F207" s="3">
        <v>1.0000000000000001E-5</v>
      </c>
      <c r="G207" s="2">
        <f>LOG(F207)</f>
        <v>-5</v>
      </c>
      <c r="H207" s="2" t="e">
        <f>E207*100/$E$205</f>
        <v>#DIV/0!</v>
      </c>
    </row>
    <row r="208" spans="1:8" x14ac:dyDescent="0.2">
      <c r="D208" s="2" t="e">
        <f t="shared" si="75"/>
        <v>#DIV/0!</v>
      </c>
      <c r="E208" s="2" t="e">
        <f t="shared" si="76"/>
        <v>#DIV/0!</v>
      </c>
      <c r="F208" s="3">
        <f t="shared" ref="F208:F215" si="77">F207*0.3162</f>
        <v>3.162E-6</v>
      </c>
      <c r="G208" s="2">
        <f t="shared" ref="G208:G215" si="78">LOG(F208)</f>
        <v>-5.5000381344038098</v>
      </c>
      <c r="H208" s="2" t="e">
        <f t="shared" ref="H208:H215" si="79">E208*100/$E$153</f>
        <v>#DIV/0!</v>
      </c>
    </row>
    <row r="209" spans="1:8" x14ac:dyDescent="0.2">
      <c r="A209" s="18"/>
      <c r="D209" s="2" t="e">
        <f t="shared" si="75"/>
        <v>#DIV/0!</v>
      </c>
      <c r="E209" s="2" t="e">
        <f t="shared" si="76"/>
        <v>#DIV/0!</v>
      </c>
      <c r="F209" s="3">
        <f t="shared" si="77"/>
        <v>9.9982439999999994E-7</v>
      </c>
      <c r="G209" s="2">
        <f t="shared" si="78"/>
        <v>-6.0000762688076197</v>
      </c>
      <c r="H209" s="2" t="e">
        <f t="shared" si="79"/>
        <v>#DIV/0!</v>
      </c>
    </row>
    <row r="210" spans="1:8" x14ac:dyDescent="0.2">
      <c r="D210" s="2" t="e">
        <f t="shared" si="75"/>
        <v>#DIV/0!</v>
      </c>
      <c r="E210" s="2" t="e">
        <f t="shared" si="76"/>
        <v>#DIV/0!</v>
      </c>
      <c r="F210" s="3">
        <f t="shared" si="77"/>
        <v>3.1614447527999998E-7</v>
      </c>
      <c r="G210" s="2">
        <f t="shared" si="78"/>
        <v>-6.5001144032114295</v>
      </c>
      <c r="H210" s="2" t="e">
        <f t="shared" si="79"/>
        <v>#DIV/0!</v>
      </c>
    </row>
    <row r="211" spans="1:8" x14ac:dyDescent="0.2">
      <c r="D211" s="2" t="e">
        <f t="shared" si="75"/>
        <v>#DIV/0!</v>
      </c>
      <c r="E211" s="2" t="e">
        <f t="shared" si="76"/>
        <v>#DIV/0!</v>
      </c>
      <c r="F211" s="3">
        <f t="shared" si="77"/>
        <v>9.9964883083535985E-8</v>
      </c>
      <c r="G211" s="2">
        <f t="shared" si="78"/>
        <v>-7.0001525376152394</v>
      </c>
      <c r="H211" s="2" t="e">
        <f t="shared" si="79"/>
        <v>#DIV/0!</v>
      </c>
    </row>
    <row r="212" spans="1:8" x14ac:dyDescent="0.2">
      <c r="D212" s="2" t="e">
        <f t="shared" si="75"/>
        <v>#DIV/0!</v>
      </c>
      <c r="E212" s="2" t="e">
        <f t="shared" si="76"/>
        <v>#DIV/0!</v>
      </c>
      <c r="F212" s="3">
        <f t="shared" si="77"/>
        <v>3.1608896031014074E-8</v>
      </c>
      <c r="G212" s="2">
        <f t="shared" si="78"/>
        <v>-7.5001906720190492</v>
      </c>
      <c r="H212" s="2" t="e">
        <f t="shared" si="79"/>
        <v>#DIV/0!</v>
      </c>
    </row>
    <row r="213" spans="1:8" x14ac:dyDescent="0.2">
      <c r="D213" s="2" t="e">
        <f t="shared" si="75"/>
        <v>#DIV/0!</v>
      </c>
      <c r="E213" s="2" t="e">
        <f t="shared" si="76"/>
        <v>#DIV/0!</v>
      </c>
      <c r="F213" s="3">
        <f t="shared" si="77"/>
        <v>9.9947329250066497E-9</v>
      </c>
      <c r="G213" s="2">
        <f t="shared" si="78"/>
        <v>-8.0002288064228591</v>
      </c>
      <c r="H213" s="2" t="e">
        <f t="shared" si="79"/>
        <v>#DIV/0!</v>
      </c>
    </row>
    <row r="214" spans="1:8" x14ac:dyDescent="0.2">
      <c r="D214" s="2" t="e">
        <f t="shared" si="75"/>
        <v>#DIV/0!</v>
      </c>
      <c r="E214" s="2" t="e">
        <f t="shared" si="76"/>
        <v>#DIV/0!</v>
      </c>
      <c r="F214" s="3">
        <f t="shared" si="77"/>
        <v>3.1603345508871026E-9</v>
      </c>
      <c r="G214" s="2">
        <f t="shared" si="78"/>
        <v>-8.500266940826668</v>
      </c>
      <c r="H214" s="2" t="e">
        <f t="shared" si="79"/>
        <v>#DIV/0!</v>
      </c>
    </row>
    <row r="215" spans="1:8" x14ac:dyDescent="0.2">
      <c r="D215" s="2" t="e">
        <f t="shared" si="75"/>
        <v>#DIV/0!</v>
      </c>
      <c r="E215" s="2" t="e">
        <f t="shared" si="76"/>
        <v>#DIV/0!</v>
      </c>
      <c r="F215" s="3">
        <f t="shared" si="77"/>
        <v>9.992977849905017E-10</v>
      </c>
      <c r="G215" s="2">
        <f t="shared" si="78"/>
        <v>-9.0003050752304787</v>
      </c>
      <c r="H215" s="2" t="e">
        <f t="shared" si="79"/>
        <v>#DIV/0!</v>
      </c>
    </row>
    <row r="216" spans="1:8" x14ac:dyDescent="0.2">
      <c r="D216" s="2" t="e">
        <f>AVERAGE(B216:C216)</f>
        <v>#DIV/0!</v>
      </c>
      <c r="E216" s="2"/>
      <c r="F216" s="3"/>
      <c r="G216" s="2"/>
      <c r="H216" s="2"/>
    </row>
  </sheetData>
  <printOptions gridLines="1" gridLinesSet="0"/>
  <pageMargins left="0.75" right="0.75" top="1" bottom="1" header="0.5" footer="0.5"/>
  <pageSetup scale="90" orientation="portrait" r:id="rId1"/>
  <headerFooter alignWithMargins="0">
    <oddHeader>&amp;F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68"/>
  <sheetViews>
    <sheetView tabSelected="1" topLeftCell="A72" zoomScale="90" zoomScaleNormal="90" workbookViewId="0">
      <selection activeCell="H103" sqref="H103:H111"/>
    </sheetView>
  </sheetViews>
  <sheetFormatPr defaultRowHeight="12.75" x14ac:dyDescent="0.2"/>
  <cols>
    <col min="1" max="1" width="28.7109375" style="25" customWidth="1"/>
    <col min="2" max="2" width="11.42578125" customWidth="1"/>
  </cols>
  <sheetData>
    <row r="1" spans="1:19" x14ac:dyDescent="0.2">
      <c r="A1" s="16" t="s">
        <v>96</v>
      </c>
      <c r="B1" s="19">
        <v>45238</v>
      </c>
      <c r="D1">
        <v>51.7</v>
      </c>
      <c r="E1" t="s">
        <v>97</v>
      </c>
      <c r="G1">
        <f>H1*20</f>
        <v>47780</v>
      </c>
      <c r="H1">
        <v>2389</v>
      </c>
      <c r="K1" s="9"/>
      <c r="S1" s="16"/>
    </row>
    <row r="2" spans="1:19" x14ac:dyDescent="0.2">
      <c r="A2" s="18" t="s">
        <v>121</v>
      </c>
      <c r="D2">
        <f>D1*2200*0.53</f>
        <v>60282.200000000004</v>
      </c>
      <c r="E2" t="s">
        <v>98</v>
      </c>
      <c r="G2">
        <f>H2*20</f>
        <v>49480</v>
      </c>
      <c r="H2">
        <v>2474</v>
      </c>
      <c r="K2" s="9"/>
      <c r="S2" s="17"/>
    </row>
    <row r="3" spans="1:19" x14ac:dyDescent="0.2">
      <c r="A3" s="16" t="s">
        <v>122</v>
      </c>
      <c r="D3">
        <v>1</v>
      </c>
      <c r="E3" t="s">
        <v>99</v>
      </c>
      <c r="G3">
        <f>H3*20</f>
        <v>47940</v>
      </c>
      <c r="H3">
        <v>2397</v>
      </c>
      <c r="K3" s="9"/>
      <c r="S3" s="16"/>
    </row>
    <row r="4" spans="1:19" x14ac:dyDescent="0.2">
      <c r="A4" s="17"/>
      <c r="D4">
        <f>AVERAGE(G1:G4)</f>
        <v>48400</v>
      </c>
      <c r="E4" t="s">
        <v>100</v>
      </c>
      <c r="K4" s="9"/>
      <c r="S4" s="17"/>
    </row>
    <row r="5" spans="1:19" x14ac:dyDescent="0.2">
      <c r="A5" s="25" t="s">
        <v>872</v>
      </c>
      <c r="D5" s="2">
        <f>D4*1000/(D3*D2)</f>
        <v>802.89040545965474</v>
      </c>
      <c r="E5" s="1" t="s">
        <v>114</v>
      </c>
      <c r="S5" s="17"/>
    </row>
    <row r="6" spans="1:19" x14ac:dyDescent="0.2">
      <c r="A6" s="31"/>
      <c r="D6" s="2"/>
      <c r="E6" s="1"/>
      <c r="S6" s="17"/>
    </row>
    <row r="7" spans="1:19" x14ac:dyDescent="0.2">
      <c r="A7" s="17"/>
      <c r="D7" s="2"/>
      <c r="E7" s="1"/>
    </row>
    <row r="8" spans="1:19" x14ac:dyDescent="0.2">
      <c r="A8" s="16"/>
      <c r="D8" s="2"/>
      <c r="E8" s="1"/>
    </row>
    <row r="9" spans="1:19" x14ac:dyDescent="0.2">
      <c r="A9" s="16" t="s">
        <v>106</v>
      </c>
      <c r="D9" t="s">
        <v>101</v>
      </c>
      <c r="E9" t="s">
        <v>102</v>
      </c>
      <c r="F9" t="s">
        <v>103</v>
      </c>
      <c r="G9" t="s">
        <v>104</v>
      </c>
      <c r="H9" s="7" t="s">
        <v>105</v>
      </c>
    </row>
    <row r="10" spans="1:19" x14ac:dyDescent="0.2">
      <c r="A10" s="16" t="s">
        <v>850</v>
      </c>
      <c r="B10">
        <v>1266</v>
      </c>
      <c r="C10">
        <v>1227</v>
      </c>
      <c r="D10" s="2">
        <f>AVERAGE(B10:C10)</f>
        <v>1246.5</v>
      </c>
      <c r="E10" s="2">
        <f>AVERAGE(D10,D21)-D11</f>
        <v>1233.25</v>
      </c>
      <c r="H10" s="2">
        <f>E10*100/$E$10</f>
        <v>100</v>
      </c>
      <c r="I10" s="6"/>
    </row>
    <row r="11" spans="1:19" x14ac:dyDescent="0.2">
      <c r="B11">
        <v>21</v>
      </c>
      <c r="C11">
        <v>18</v>
      </c>
      <c r="D11" s="2">
        <f>AVERAGE(B11:C11)</f>
        <v>19.5</v>
      </c>
      <c r="E11" s="2">
        <f t="shared" ref="E11:E20" si="0">D11-$D$11</f>
        <v>0</v>
      </c>
      <c r="H11" s="2"/>
    </row>
    <row r="12" spans="1:19" x14ac:dyDescent="0.2">
      <c r="A12" s="9"/>
      <c r="B12">
        <v>48</v>
      </c>
      <c r="C12">
        <v>40</v>
      </c>
      <c r="D12" s="2">
        <f>AVERAGE(B12:C12)</f>
        <v>44</v>
      </c>
      <c r="E12" s="2">
        <f t="shared" si="0"/>
        <v>24.5</v>
      </c>
      <c r="F12" s="3">
        <v>9.9999999999999995E-8</v>
      </c>
      <c r="G12" s="2">
        <f>LOG(F12)</f>
        <v>-7</v>
      </c>
      <c r="H12" s="2">
        <f t="shared" ref="H12:H20" si="1">E12*100/$E$23</f>
        <v>1.9367588932806323</v>
      </c>
    </row>
    <row r="13" spans="1:19" x14ac:dyDescent="0.2">
      <c r="A13" s="17"/>
      <c r="B13">
        <v>79</v>
      </c>
      <c r="C13">
        <v>89</v>
      </c>
      <c r="D13" s="2">
        <f>AVERAGE(B13:C13)</f>
        <v>84</v>
      </c>
      <c r="E13" s="2">
        <f t="shared" si="0"/>
        <v>64.5</v>
      </c>
      <c r="F13" s="3">
        <f>F12*0.3162</f>
        <v>3.1619999999999995E-8</v>
      </c>
      <c r="G13" s="2">
        <f t="shared" ref="G13:G20" si="2">LOG(F13)</f>
        <v>-7.5000381344038098</v>
      </c>
      <c r="H13" s="2">
        <f t="shared" si="1"/>
        <v>5.0988142292490117</v>
      </c>
      <c r="J13" s="7"/>
    </row>
    <row r="14" spans="1:19" x14ac:dyDescent="0.2">
      <c r="A14" s="18"/>
      <c r="B14">
        <v>138</v>
      </c>
      <c r="C14">
        <v>144</v>
      </c>
      <c r="D14" s="2">
        <f t="shared" ref="D14:D20" si="3">AVERAGE(B14:C14)</f>
        <v>141</v>
      </c>
      <c r="E14" s="2">
        <f t="shared" si="0"/>
        <v>121.5</v>
      </c>
      <c r="F14" s="3">
        <f t="shared" ref="F14:F20" si="4">F13*0.3162</f>
        <v>9.998243999999998E-9</v>
      </c>
      <c r="G14" s="2">
        <f t="shared" si="2"/>
        <v>-8.0000762688076197</v>
      </c>
      <c r="H14" s="2">
        <f t="shared" si="1"/>
        <v>9.6047430830039531</v>
      </c>
      <c r="J14" s="17"/>
    </row>
    <row r="15" spans="1:19" x14ac:dyDescent="0.2">
      <c r="A15" s="16"/>
      <c r="B15">
        <v>191</v>
      </c>
      <c r="C15">
        <v>352</v>
      </c>
      <c r="D15" s="2">
        <f t="shared" si="3"/>
        <v>271.5</v>
      </c>
      <c r="E15" s="2">
        <f t="shared" si="0"/>
        <v>252</v>
      </c>
      <c r="F15" s="3">
        <f t="shared" si="4"/>
        <v>3.161444752799999E-9</v>
      </c>
      <c r="G15" s="2">
        <f t="shared" si="2"/>
        <v>-8.5001144032114286</v>
      </c>
      <c r="H15" s="2">
        <f t="shared" si="1"/>
        <v>19.920948616600789</v>
      </c>
    </row>
    <row r="16" spans="1:19" x14ac:dyDescent="0.2">
      <c r="A16" s="16"/>
      <c r="B16">
        <v>461</v>
      </c>
      <c r="C16">
        <v>656</v>
      </c>
      <c r="D16" s="2">
        <f t="shared" si="3"/>
        <v>558.5</v>
      </c>
      <c r="E16" s="2">
        <f t="shared" si="0"/>
        <v>539</v>
      </c>
      <c r="F16" s="3">
        <f t="shared" si="4"/>
        <v>9.9964883083535969E-10</v>
      </c>
      <c r="G16" s="2">
        <f t="shared" si="2"/>
        <v>-9.0001525376152394</v>
      </c>
      <c r="H16" s="2">
        <f t="shared" si="1"/>
        <v>42.608695652173914</v>
      </c>
    </row>
    <row r="17" spans="1:10" x14ac:dyDescent="0.2">
      <c r="A17" s="16"/>
      <c r="B17">
        <v>894</v>
      </c>
      <c r="C17">
        <v>868</v>
      </c>
      <c r="D17" s="2">
        <f t="shared" si="3"/>
        <v>881</v>
      </c>
      <c r="E17" s="2">
        <f t="shared" si="0"/>
        <v>861.5</v>
      </c>
      <c r="F17" s="3">
        <f t="shared" si="4"/>
        <v>3.1608896031014073E-10</v>
      </c>
      <c r="G17" s="2">
        <f t="shared" si="2"/>
        <v>-9.5001906720190483</v>
      </c>
      <c r="H17" s="2">
        <f t="shared" si="1"/>
        <v>68.102766798418969</v>
      </c>
    </row>
    <row r="18" spans="1:10" x14ac:dyDescent="0.2">
      <c r="B18">
        <v>1131</v>
      </c>
      <c r="C18">
        <v>1101</v>
      </c>
      <c r="D18" s="2">
        <f t="shared" si="3"/>
        <v>1116</v>
      </c>
      <c r="E18" s="2">
        <f t="shared" si="0"/>
        <v>1096.5</v>
      </c>
      <c r="F18" s="3">
        <f t="shared" si="4"/>
        <v>9.9947329250066487E-11</v>
      </c>
      <c r="G18" s="2">
        <f t="shared" si="2"/>
        <v>-10.000228806422859</v>
      </c>
      <c r="H18" s="2">
        <f t="shared" si="1"/>
        <v>86.679841897233203</v>
      </c>
    </row>
    <row r="19" spans="1:10" x14ac:dyDescent="0.2">
      <c r="A19" s="16"/>
      <c r="B19">
        <v>1189</v>
      </c>
      <c r="C19">
        <v>1196</v>
      </c>
      <c r="D19" s="2">
        <f t="shared" si="3"/>
        <v>1192.5</v>
      </c>
      <c r="E19" s="2">
        <f t="shared" si="0"/>
        <v>1173</v>
      </c>
      <c r="F19" s="3">
        <f t="shared" si="4"/>
        <v>3.1603345508871023E-11</v>
      </c>
      <c r="G19" s="2">
        <f t="shared" si="2"/>
        <v>-10.500266940826668</v>
      </c>
      <c r="H19" s="2">
        <f t="shared" si="1"/>
        <v>92.727272727272734</v>
      </c>
    </row>
    <row r="20" spans="1:10" x14ac:dyDescent="0.2">
      <c r="A20" s="16"/>
      <c r="B20">
        <v>1262</v>
      </c>
      <c r="C20">
        <v>1172</v>
      </c>
      <c r="D20" s="2">
        <f t="shared" si="3"/>
        <v>1217</v>
      </c>
      <c r="E20" s="2">
        <f t="shared" si="0"/>
        <v>1197.5</v>
      </c>
      <c r="F20" s="3">
        <f t="shared" si="4"/>
        <v>9.9929778499050173E-12</v>
      </c>
      <c r="G20" s="2">
        <f t="shared" si="2"/>
        <v>-11.000305075230479</v>
      </c>
      <c r="H20" s="2">
        <f t="shared" si="1"/>
        <v>94.664031620553359</v>
      </c>
    </row>
    <row r="21" spans="1:10" x14ac:dyDescent="0.2">
      <c r="A21" s="16"/>
      <c r="B21">
        <v>1243</v>
      </c>
      <c r="C21">
        <v>1275</v>
      </c>
      <c r="D21" s="2">
        <f>AVERAGE(B21:C21)</f>
        <v>1259</v>
      </c>
      <c r="E21" s="2"/>
      <c r="F21" s="3"/>
      <c r="G21" s="2"/>
      <c r="H21" s="2"/>
    </row>
    <row r="22" spans="1:10" x14ac:dyDescent="0.2">
      <c r="A22" s="16"/>
      <c r="D22" t="s">
        <v>101</v>
      </c>
      <c r="E22" t="s">
        <v>102</v>
      </c>
      <c r="F22" t="s">
        <v>103</v>
      </c>
      <c r="G22" t="s">
        <v>104</v>
      </c>
      <c r="H22" s="7" t="s">
        <v>105</v>
      </c>
    </row>
    <row r="23" spans="1:10" x14ac:dyDescent="0.2">
      <c r="A23" s="16" t="s">
        <v>107</v>
      </c>
      <c r="B23">
        <v>1344</v>
      </c>
      <c r="C23">
        <v>1271</v>
      </c>
      <c r="D23" s="2">
        <f>AVERAGE(B23:C23)</f>
        <v>1307.5</v>
      </c>
      <c r="E23" s="2">
        <f>AVERAGE(D23,D34)-$D$24</f>
        <v>1265</v>
      </c>
      <c r="H23" s="2">
        <f>E23*100/$E$23</f>
        <v>100</v>
      </c>
    </row>
    <row r="24" spans="1:10" x14ac:dyDescent="0.2">
      <c r="A24" s="29" t="s">
        <v>856</v>
      </c>
      <c r="B24">
        <v>22</v>
      </c>
      <c r="C24">
        <v>27</v>
      </c>
      <c r="D24" s="2">
        <f t="shared" ref="D24:D34" si="5">AVERAGE(B24:C24)</f>
        <v>24.5</v>
      </c>
      <c r="E24" s="2">
        <f t="shared" ref="E24:E30" si="6">D24-$D$24</f>
        <v>0</v>
      </c>
      <c r="H24" s="2"/>
    </row>
    <row r="25" spans="1:10" x14ac:dyDescent="0.2">
      <c r="A25" s="9"/>
      <c r="B25">
        <v>88</v>
      </c>
      <c r="C25">
        <v>89</v>
      </c>
      <c r="D25" s="2">
        <f t="shared" si="5"/>
        <v>88.5</v>
      </c>
      <c r="E25" s="2">
        <f t="shared" si="6"/>
        <v>64</v>
      </c>
      <c r="F25" s="3">
        <v>9.9999999999999995E-7</v>
      </c>
      <c r="G25" s="2">
        <f>LOG(F25)</f>
        <v>-6</v>
      </c>
      <c r="H25" s="2">
        <f t="shared" ref="H25:H33" si="7">E25*100/$E$23</f>
        <v>5.0592885375494072</v>
      </c>
    </row>
    <row r="26" spans="1:10" x14ac:dyDescent="0.2">
      <c r="A26" s="17"/>
      <c r="B26">
        <v>286</v>
      </c>
      <c r="C26">
        <v>242</v>
      </c>
      <c r="D26" s="2">
        <f t="shared" si="5"/>
        <v>264</v>
      </c>
      <c r="E26" s="2">
        <f t="shared" si="6"/>
        <v>239.5</v>
      </c>
      <c r="F26" s="3">
        <f t="shared" ref="F26:F33" si="8">F25*0.3162</f>
        <v>3.1619999999999999E-7</v>
      </c>
      <c r="G26" s="2">
        <f t="shared" ref="G26:G33" si="9">LOG(F26)</f>
        <v>-6.5000381344038098</v>
      </c>
      <c r="H26" s="2">
        <f t="shared" si="7"/>
        <v>18.932806324110672</v>
      </c>
    </row>
    <row r="27" spans="1:10" ht="15" x14ac:dyDescent="0.2">
      <c r="A27" s="24"/>
      <c r="B27">
        <v>519</v>
      </c>
      <c r="C27">
        <v>526</v>
      </c>
      <c r="D27" s="2">
        <f t="shared" si="5"/>
        <v>522.5</v>
      </c>
      <c r="E27" s="2">
        <f t="shared" si="6"/>
        <v>498</v>
      </c>
      <c r="F27" s="3">
        <f t="shared" si="8"/>
        <v>9.9982439999999983E-8</v>
      </c>
      <c r="G27" s="2">
        <f t="shared" si="9"/>
        <v>-7.0000762688076197</v>
      </c>
      <c r="H27" s="2">
        <f t="shared" si="7"/>
        <v>39.367588932806321</v>
      </c>
    </row>
    <row r="28" spans="1:10" x14ac:dyDescent="0.2">
      <c r="A28" s="16"/>
      <c r="B28">
        <v>869</v>
      </c>
      <c r="C28">
        <v>902</v>
      </c>
      <c r="D28" s="2">
        <f t="shared" si="5"/>
        <v>885.5</v>
      </c>
      <c r="E28" s="2">
        <f t="shared" si="6"/>
        <v>861</v>
      </c>
      <c r="F28" s="3">
        <f t="shared" si="8"/>
        <v>3.1614447527999994E-8</v>
      </c>
      <c r="G28" s="2">
        <f t="shared" si="9"/>
        <v>-7.5001144032114295</v>
      </c>
      <c r="H28" s="2">
        <f t="shared" si="7"/>
        <v>68.063241106719374</v>
      </c>
    </row>
    <row r="29" spans="1:10" x14ac:dyDescent="0.2">
      <c r="A29" s="16"/>
      <c r="B29">
        <v>1159</v>
      </c>
      <c r="C29">
        <v>1186</v>
      </c>
      <c r="D29" s="2">
        <f t="shared" si="5"/>
        <v>1172.5</v>
      </c>
      <c r="E29" s="2">
        <f t="shared" si="6"/>
        <v>1148</v>
      </c>
      <c r="F29" s="3">
        <f t="shared" si="8"/>
        <v>9.9964883083535969E-9</v>
      </c>
      <c r="G29" s="2">
        <f t="shared" si="9"/>
        <v>-8.0001525376152394</v>
      </c>
      <c r="H29" s="2">
        <f t="shared" si="7"/>
        <v>90.750988142292485</v>
      </c>
    </row>
    <row r="30" spans="1:10" x14ac:dyDescent="0.2">
      <c r="A30" s="16"/>
      <c r="B30">
        <v>1292</v>
      </c>
      <c r="C30">
        <v>1200</v>
      </c>
      <c r="D30" s="2">
        <f t="shared" si="5"/>
        <v>1246</v>
      </c>
      <c r="E30" s="2">
        <f t="shared" si="6"/>
        <v>1221.5</v>
      </c>
      <c r="F30" s="3">
        <f t="shared" si="8"/>
        <v>3.1608896031014071E-9</v>
      </c>
      <c r="G30" s="2">
        <f t="shared" si="9"/>
        <v>-8.5001906720190483</v>
      </c>
      <c r="H30" s="2">
        <f t="shared" si="7"/>
        <v>96.56126482213439</v>
      </c>
    </row>
    <row r="31" spans="1:10" x14ac:dyDescent="0.2">
      <c r="B31">
        <v>1265</v>
      </c>
      <c r="C31">
        <v>1278</v>
      </c>
      <c r="D31" s="2">
        <f t="shared" si="5"/>
        <v>1271.5</v>
      </c>
      <c r="E31" s="2">
        <f>D31-$D$24</f>
        <v>1247</v>
      </c>
      <c r="F31" s="3">
        <f t="shared" si="8"/>
        <v>9.9947329250066484E-10</v>
      </c>
      <c r="G31" s="2">
        <f t="shared" si="9"/>
        <v>-9.0002288064228591</v>
      </c>
      <c r="H31" s="2">
        <f t="shared" si="7"/>
        <v>98.577075098814234</v>
      </c>
      <c r="J31" s="17"/>
    </row>
    <row r="32" spans="1:10" x14ac:dyDescent="0.2">
      <c r="B32">
        <v>1259</v>
      </c>
      <c r="C32">
        <v>1330</v>
      </c>
      <c r="D32" s="2">
        <f t="shared" si="5"/>
        <v>1294.5</v>
      </c>
      <c r="E32" s="2">
        <f>D32-$D$24</f>
        <v>1270</v>
      </c>
      <c r="F32" s="3">
        <f t="shared" si="8"/>
        <v>3.1603345508871019E-10</v>
      </c>
      <c r="G32" s="2">
        <f t="shared" si="9"/>
        <v>-9.500266940826668</v>
      </c>
      <c r="H32" s="2">
        <f t="shared" si="7"/>
        <v>100.39525691699605</v>
      </c>
      <c r="J32" s="17"/>
    </row>
    <row r="33" spans="1:8" x14ac:dyDescent="0.2">
      <c r="A33" s="16"/>
      <c r="B33">
        <v>1291</v>
      </c>
      <c r="C33">
        <v>1333</v>
      </c>
      <c r="D33" s="2">
        <f t="shared" si="5"/>
        <v>1312</v>
      </c>
      <c r="E33" s="2">
        <f>D33-$D$24</f>
        <v>1287.5</v>
      </c>
      <c r="F33" s="3">
        <f t="shared" si="8"/>
        <v>9.992977849905016E-11</v>
      </c>
      <c r="G33" s="2">
        <f t="shared" si="9"/>
        <v>-10.000305075230479</v>
      </c>
      <c r="H33" s="2">
        <f t="shared" si="7"/>
        <v>101.77865612648222</v>
      </c>
    </row>
    <row r="34" spans="1:8" x14ac:dyDescent="0.2">
      <c r="A34" s="16"/>
      <c r="B34">
        <v>1317</v>
      </c>
      <c r="C34">
        <v>1226</v>
      </c>
      <c r="D34" s="2">
        <f t="shared" si="5"/>
        <v>1271.5</v>
      </c>
      <c r="E34" s="2"/>
      <c r="F34" s="3"/>
      <c r="G34" s="2"/>
      <c r="H34" s="2"/>
    </row>
    <row r="35" spans="1:8" x14ac:dyDescent="0.2">
      <c r="A35" s="16"/>
      <c r="D35" t="s">
        <v>101</v>
      </c>
      <c r="E35" t="s">
        <v>102</v>
      </c>
      <c r="F35" t="s">
        <v>103</v>
      </c>
      <c r="G35" t="s">
        <v>104</v>
      </c>
      <c r="H35" s="7" t="s">
        <v>105</v>
      </c>
    </row>
    <row r="36" spans="1:8" x14ac:dyDescent="0.2">
      <c r="A36" s="16" t="s">
        <v>108</v>
      </c>
      <c r="B36">
        <v>1213</v>
      </c>
      <c r="C36">
        <v>1294</v>
      </c>
      <c r="D36" s="2">
        <f>AVERAGE(B36:C36)</f>
        <v>1253.5</v>
      </c>
      <c r="E36" s="2">
        <f>AVERAGE(D36,D47)-$D$37</f>
        <v>1245.5</v>
      </c>
      <c r="H36" s="2">
        <f>E36*100/$E$36</f>
        <v>100</v>
      </c>
    </row>
    <row r="37" spans="1:8" x14ac:dyDescent="0.2">
      <c r="A37" s="25" t="s">
        <v>873</v>
      </c>
      <c r="B37">
        <v>11</v>
      </c>
      <c r="C37">
        <v>18</v>
      </c>
      <c r="D37" s="2">
        <f t="shared" ref="D37:D47" si="10">AVERAGE(B37:C37)</f>
        <v>14.5</v>
      </c>
      <c r="E37" s="2">
        <f t="shared" ref="E37:E46" si="11">D37-$D$37</f>
        <v>0</v>
      </c>
      <c r="H37" s="2"/>
    </row>
    <row r="38" spans="1:8" x14ac:dyDescent="0.2">
      <c r="A38" s="9"/>
      <c r="B38">
        <v>80</v>
      </c>
      <c r="C38">
        <v>66</v>
      </c>
      <c r="D38" s="2">
        <f t="shared" si="10"/>
        <v>73</v>
      </c>
      <c r="E38" s="2">
        <f t="shared" si="11"/>
        <v>58.5</v>
      </c>
      <c r="F38" s="3">
        <v>9.9999999999999995E-8</v>
      </c>
      <c r="G38" s="2">
        <f>LOG(F38)</f>
        <v>-7</v>
      </c>
      <c r="H38" s="2">
        <f>E38*100/$E$36</f>
        <v>4.6969088719389802</v>
      </c>
    </row>
    <row r="39" spans="1:8" x14ac:dyDescent="0.2">
      <c r="A39" s="17"/>
      <c r="B39">
        <v>246</v>
      </c>
      <c r="C39">
        <v>222</v>
      </c>
      <c r="D39" s="2">
        <f t="shared" si="10"/>
        <v>234</v>
      </c>
      <c r="E39" s="2">
        <f t="shared" si="11"/>
        <v>219.5</v>
      </c>
      <c r="F39" s="3">
        <f t="shared" ref="F39:F46" si="12">F38*0.3162</f>
        <v>3.1619999999999995E-8</v>
      </c>
      <c r="G39" s="2">
        <f t="shared" ref="G39:G46" si="13">LOG(F39)</f>
        <v>-7.5000381344038098</v>
      </c>
      <c r="H39" s="2">
        <f>E39*100/$E$36</f>
        <v>17.623444399839421</v>
      </c>
    </row>
    <row r="40" spans="1:8" x14ac:dyDescent="0.2">
      <c r="A40" s="18"/>
      <c r="B40">
        <v>484</v>
      </c>
      <c r="C40">
        <v>464</v>
      </c>
      <c r="D40" s="2">
        <f t="shared" si="10"/>
        <v>474</v>
      </c>
      <c r="E40" s="2">
        <f t="shared" si="11"/>
        <v>459.5</v>
      </c>
      <c r="F40" s="3">
        <f t="shared" si="12"/>
        <v>9.998243999999998E-9</v>
      </c>
      <c r="G40" s="2">
        <f t="shared" si="13"/>
        <v>-8.0000762688076197</v>
      </c>
      <c r="H40" s="2">
        <f>E40*100/$E$36</f>
        <v>36.892814130871137</v>
      </c>
    </row>
    <row r="41" spans="1:8" x14ac:dyDescent="0.2">
      <c r="A41" s="16"/>
      <c r="B41">
        <v>946</v>
      </c>
      <c r="C41">
        <v>853</v>
      </c>
      <c r="D41" s="2">
        <f t="shared" si="10"/>
        <v>899.5</v>
      </c>
      <c r="E41" s="2">
        <f t="shared" si="11"/>
        <v>885</v>
      </c>
      <c r="F41" s="3">
        <f t="shared" si="12"/>
        <v>3.161444752799999E-9</v>
      </c>
      <c r="G41" s="2">
        <f t="shared" si="13"/>
        <v>-8.5001144032114286</v>
      </c>
      <c r="H41" s="2">
        <f t="shared" ref="H41:H46" si="14">E41*100/$E$36</f>
        <v>71.055800883179444</v>
      </c>
    </row>
    <row r="42" spans="1:8" ht="15" x14ac:dyDescent="0.2">
      <c r="A42" s="24"/>
      <c r="B42">
        <v>1195</v>
      </c>
      <c r="C42">
        <v>1062</v>
      </c>
      <c r="D42" s="2">
        <f t="shared" si="10"/>
        <v>1128.5</v>
      </c>
      <c r="E42" s="2">
        <f t="shared" si="11"/>
        <v>1114</v>
      </c>
      <c r="F42" s="3">
        <f t="shared" si="12"/>
        <v>9.9964883083535969E-10</v>
      </c>
      <c r="G42" s="2">
        <f t="shared" si="13"/>
        <v>-9.0001525376152394</v>
      </c>
      <c r="H42" s="2">
        <f t="shared" si="14"/>
        <v>89.441991168205533</v>
      </c>
    </row>
    <row r="43" spans="1:8" x14ac:dyDescent="0.2">
      <c r="A43" s="16"/>
      <c r="B43">
        <v>1297</v>
      </c>
      <c r="C43">
        <v>1278</v>
      </c>
      <c r="D43" s="2">
        <f t="shared" si="10"/>
        <v>1287.5</v>
      </c>
      <c r="E43" s="2">
        <f t="shared" si="11"/>
        <v>1273</v>
      </c>
      <c r="F43" s="3">
        <f t="shared" si="12"/>
        <v>3.1608896031014073E-10</v>
      </c>
      <c r="G43" s="2">
        <f t="shared" si="13"/>
        <v>-9.5001906720190483</v>
      </c>
      <c r="H43" s="2">
        <f t="shared" si="14"/>
        <v>102.20794861501405</v>
      </c>
    </row>
    <row r="44" spans="1:8" x14ac:dyDescent="0.2">
      <c r="A44" s="16"/>
      <c r="B44">
        <v>1322</v>
      </c>
      <c r="C44">
        <v>1188</v>
      </c>
      <c r="D44" s="2">
        <f t="shared" si="10"/>
        <v>1255</v>
      </c>
      <c r="E44" s="2">
        <f t="shared" si="11"/>
        <v>1240.5</v>
      </c>
      <c r="F44" s="3">
        <f t="shared" si="12"/>
        <v>9.9947329250066487E-11</v>
      </c>
      <c r="G44" s="2">
        <f t="shared" si="13"/>
        <v>-10.000228806422859</v>
      </c>
      <c r="H44" s="2">
        <f t="shared" si="14"/>
        <v>99.598554797270168</v>
      </c>
    </row>
    <row r="45" spans="1:8" x14ac:dyDescent="0.2">
      <c r="A45" s="16"/>
      <c r="B45">
        <v>1225</v>
      </c>
      <c r="C45">
        <v>1289</v>
      </c>
      <c r="D45" s="2">
        <f t="shared" si="10"/>
        <v>1257</v>
      </c>
      <c r="E45" s="2">
        <f t="shared" si="11"/>
        <v>1242.5</v>
      </c>
      <c r="F45" s="3">
        <f t="shared" si="12"/>
        <v>3.1603345508871023E-11</v>
      </c>
      <c r="G45" s="2">
        <f t="shared" si="13"/>
        <v>-10.500266940826668</v>
      </c>
      <c r="H45" s="2">
        <f t="shared" si="14"/>
        <v>99.759132878362109</v>
      </c>
    </row>
    <row r="46" spans="1:8" x14ac:dyDescent="0.2">
      <c r="B46">
        <v>1327</v>
      </c>
      <c r="C46">
        <v>1354</v>
      </c>
      <c r="D46" s="2">
        <f t="shared" si="10"/>
        <v>1340.5</v>
      </c>
      <c r="E46" s="2">
        <f t="shared" si="11"/>
        <v>1326</v>
      </c>
      <c r="F46" s="3">
        <f t="shared" si="12"/>
        <v>9.9929778499050173E-12</v>
      </c>
      <c r="G46" s="2">
        <f t="shared" si="13"/>
        <v>-11.000305075230479</v>
      </c>
      <c r="H46" s="2">
        <f t="shared" si="14"/>
        <v>106.46326776395023</v>
      </c>
    </row>
    <row r="47" spans="1:8" x14ac:dyDescent="0.2">
      <c r="A47" s="16"/>
      <c r="B47">
        <v>1301</v>
      </c>
      <c r="C47">
        <v>1232</v>
      </c>
      <c r="D47" s="2">
        <f t="shared" si="10"/>
        <v>1266.5</v>
      </c>
      <c r="E47" s="2"/>
      <c r="F47" s="3"/>
      <c r="G47" s="2"/>
      <c r="H47" s="2"/>
    </row>
    <row r="48" spans="1:8" x14ac:dyDescent="0.2">
      <c r="A48" s="16"/>
      <c r="D48" t="s">
        <v>101</v>
      </c>
      <c r="E48" t="s">
        <v>102</v>
      </c>
      <c r="F48" t="s">
        <v>103</v>
      </c>
      <c r="G48" t="s">
        <v>104</v>
      </c>
      <c r="H48" s="7" t="s">
        <v>105</v>
      </c>
    </row>
    <row r="49" spans="1:10" x14ac:dyDescent="0.2">
      <c r="A49" s="16" t="s">
        <v>109</v>
      </c>
      <c r="B49">
        <v>1281</v>
      </c>
      <c r="C49">
        <v>1146</v>
      </c>
      <c r="D49" s="2">
        <f>AVERAGE(B49:C49)</f>
        <v>1213.5</v>
      </c>
      <c r="E49" s="2">
        <f>AVERAGE(D49,D60)-$D$50</f>
        <v>1221.5</v>
      </c>
      <c r="H49" s="2">
        <f>E49*100/$E$49</f>
        <v>100</v>
      </c>
    </row>
    <row r="50" spans="1:10" x14ac:dyDescent="0.2">
      <c r="A50" s="16" t="s">
        <v>853</v>
      </c>
      <c r="B50">
        <v>18</v>
      </c>
      <c r="C50">
        <v>17</v>
      </c>
      <c r="D50" s="2">
        <f t="shared" ref="D50:D59" si="15">AVERAGE(B50:C50)</f>
        <v>17.5</v>
      </c>
      <c r="E50" s="2">
        <f>D50-$D$50</f>
        <v>0</v>
      </c>
      <c r="H50" s="2"/>
    </row>
    <row r="51" spans="1:10" x14ac:dyDescent="0.2">
      <c r="A51" s="9"/>
      <c r="B51">
        <v>22</v>
      </c>
      <c r="C51">
        <v>18</v>
      </c>
      <c r="D51" s="2">
        <f t="shared" si="15"/>
        <v>20</v>
      </c>
      <c r="E51" s="2">
        <f>D51-$D$50</f>
        <v>2.5</v>
      </c>
      <c r="F51" s="3">
        <v>9.9999999999999995E-8</v>
      </c>
      <c r="G51" s="2">
        <f>LOG(F51)</f>
        <v>-7</v>
      </c>
      <c r="H51" s="2">
        <f>E51*100/$E$49</f>
        <v>0.20466639377814164</v>
      </c>
    </row>
    <row r="52" spans="1:10" x14ac:dyDescent="0.2">
      <c r="A52" s="17"/>
      <c r="B52">
        <v>39</v>
      </c>
      <c r="C52">
        <v>32</v>
      </c>
      <c r="D52" s="2">
        <f t="shared" si="15"/>
        <v>35.5</v>
      </c>
      <c r="E52" s="2">
        <f>D52-$D$50</f>
        <v>18</v>
      </c>
      <c r="F52" s="3">
        <f t="shared" ref="F52:F59" si="16">F51*0.3162</f>
        <v>3.1619999999999995E-8</v>
      </c>
      <c r="G52" s="2">
        <f t="shared" ref="G52:G59" si="17">LOG(F52)</f>
        <v>-7.5000381344038098</v>
      </c>
      <c r="H52" s="2">
        <f>E52*100/$E$49</f>
        <v>1.4735980352026197</v>
      </c>
    </row>
    <row r="53" spans="1:10" x14ac:dyDescent="0.2">
      <c r="A53" s="18"/>
      <c r="B53">
        <v>128</v>
      </c>
      <c r="C53">
        <v>75</v>
      </c>
      <c r="D53" s="2">
        <f t="shared" si="15"/>
        <v>101.5</v>
      </c>
      <c r="E53" s="2">
        <f t="shared" ref="E53:E59" si="18">D53-$D$50</f>
        <v>84</v>
      </c>
      <c r="F53" s="3">
        <f t="shared" si="16"/>
        <v>9.998243999999998E-9</v>
      </c>
      <c r="G53" s="2">
        <f t="shared" si="17"/>
        <v>-8.0000762688076197</v>
      </c>
      <c r="H53" s="2">
        <f t="shared" ref="H53:H59" si="19">E53*100/$E$49</f>
        <v>6.8767908309455583</v>
      </c>
    </row>
    <row r="54" spans="1:10" x14ac:dyDescent="0.2">
      <c r="A54" s="16"/>
      <c r="B54">
        <v>244</v>
      </c>
      <c r="C54">
        <v>187</v>
      </c>
      <c r="D54" s="2">
        <f t="shared" si="15"/>
        <v>215.5</v>
      </c>
      <c r="E54" s="2">
        <f t="shared" si="18"/>
        <v>198</v>
      </c>
      <c r="F54" s="3">
        <f t="shared" si="16"/>
        <v>3.161444752799999E-9</v>
      </c>
      <c r="G54" s="2">
        <f t="shared" si="17"/>
        <v>-8.5001144032114286</v>
      </c>
      <c r="H54" s="2">
        <f t="shared" si="19"/>
        <v>16.209578387228817</v>
      </c>
    </row>
    <row r="55" spans="1:10" x14ac:dyDescent="0.2">
      <c r="A55" s="16"/>
      <c r="B55">
        <v>479</v>
      </c>
      <c r="C55">
        <v>371</v>
      </c>
      <c r="D55" s="2">
        <f t="shared" si="15"/>
        <v>425</v>
      </c>
      <c r="E55" s="2">
        <f t="shared" si="18"/>
        <v>407.5</v>
      </c>
      <c r="F55" s="3">
        <f t="shared" si="16"/>
        <v>9.9964883083535969E-10</v>
      </c>
      <c r="G55" s="2">
        <f t="shared" si="17"/>
        <v>-9.0001525376152394</v>
      </c>
      <c r="H55" s="2">
        <f t="shared" si="19"/>
        <v>33.360622185837087</v>
      </c>
    </row>
    <row r="56" spans="1:10" x14ac:dyDescent="0.2">
      <c r="B56">
        <v>833</v>
      </c>
      <c r="C56">
        <v>696</v>
      </c>
      <c r="D56" s="2">
        <f t="shared" si="15"/>
        <v>764.5</v>
      </c>
      <c r="E56" s="2">
        <f t="shared" si="18"/>
        <v>747</v>
      </c>
      <c r="F56" s="3">
        <f t="shared" si="16"/>
        <v>3.1608896031014073E-10</v>
      </c>
      <c r="G56" s="2">
        <f t="shared" si="17"/>
        <v>-9.5001906720190483</v>
      </c>
      <c r="H56" s="2">
        <f t="shared" si="19"/>
        <v>61.154318460908719</v>
      </c>
    </row>
    <row r="57" spans="1:10" x14ac:dyDescent="0.2">
      <c r="B57">
        <v>1044</v>
      </c>
      <c r="C57">
        <v>1012</v>
      </c>
      <c r="D57" s="2">
        <f t="shared" si="15"/>
        <v>1028</v>
      </c>
      <c r="E57" s="2">
        <f t="shared" si="18"/>
        <v>1010.5</v>
      </c>
      <c r="F57" s="3">
        <f t="shared" si="16"/>
        <v>9.9947329250066487E-11</v>
      </c>
      <c r="G57" s="2">
        <f t="shared" si="17"/>
        <v>-10.000228806422859</v>
      </c>
      <c r="H57" s="2">
        <f t="shared" si="19"/>
        <v>82.726156365124851</v>
      </c>
    </row>
    <row r="58" spans="1:10" x14ac:dyDescent="0.2">
      <c r="B58">
        <v>1315</v>
      </c>
      <c r="C58">
        <v>1074</v>
      </c>
      <c r="D58" s="2">
        <f t="shared" si="15"/>
        <v>1194.5</v>
      </c>
      <c r="E58" s="2">
        <f t="shared" si="18"/>
        <v>1177</v>
      </c>
      <c r="F58" s="3">
        <f t="shared" si="16"/>
        <v>3.1603345508871023E-11</v>
      </c>
      <c r="G58" s="2">
        <f t="shared" si="17"/>
        <v>-10.500266940826668</v>
      </c>
      <c r="H58" s="2">
        <f t="shared" si="19"/>
        <v>96.356938190749077</v>
      </c>
    </row>
    <row r="59" spans="1:10" x14ac:dyDescent="0.2">
      <c r="B59">
        <v>1322</v>
      </c>
      <c r="C59">
        <v>1238</v>
      </c>
      <c r="D59" s="2">
        <f t="shared" si="15"/>
        <v>1280</v>
      </c>
      <c r="E59" s="2">
        <f t="shared" si="18"/>
        <v>1262.5</v>
      </c>
      <c r="F59" s="3">
        <f t="shared" si="16"/>
        <v>9.9929778499050173E-12</v>
      </c>
      <c r="G59" s="2">
        <f t="shared" si="17"/>
        <v>-11.000305075230479</v>
      </c>
      <c r="H59" s="2">
        <f t="shared" si="19"/>
        <v>103.35652885796152</v>
      </c>
    </row>
    <row r="60" spans="1:10" x14ac:dyDescent="0.2">
      <c r="A60" s="16"/>
      <c r="B60">
        <v>1296</v>
      </c>
      <c r="C60">
        <v>1233</v>
      </c>
      <c r="D60" s="2">
        <f>AVERAGE(B60:C60)</f>
        <v>1264.5</v>
      </c>
      <c r="E60" s="2"/>
      <c r="F60" s="3"/>
      <c r="G60" s="2"/>
      <c r="H60" s="2"/>
    </row>
    <row r="61" spans="1:10" x14ac:dyDescent="0.2">
      <c r="A61" s="16"/>
      <c r="D61" t="s">
        <v>101</v>
      </c>
      <c r="E61" t="s">
        <v>102</v>
      </c>
      <c r="F61" t="s">
        <v>103</v>
      </c>
      <c r="G61" t="s">
        <v>104</v>
      </c>
      <c r="H61" s="7" t="s">
        <v>105</v>
      </c>
    </row>
    <row r="62" spans="1:10" x14ac:dyDescent="0.2">
      <c r="A62" s="16" t="s">
        <v>110</v>
      </c>
      <c r="B62">
        <v>1336</v>
      </c>
      <c r="C62">
        <v>1403</v>
      </c>
      <c r="D62" s="2">
        <f t="shared" ref="D62:D73" si="20">AVERAGE(B62:C62)</f>
        <v>1369.5</v>
      </c>
      <c r="E62" s="2">
        <f>AVERAGE(D62,D73)-$D$63</f>
        <v>1287.75</v>
      </c>
      <c r="H62" s="2">
        <f>E62*100/$E$62</f>
        <v>100</v>
      </c>
    </row>
    <row r="63" spans="1:10" x14ac:dyDescent="0.2">
      <c r="A63" s="17" t="s">
        <v>859</v>
      </c>
      <c r="B63">
        <v>28</v>
      </c>
      <c r="C63">
        <v>27</v>
      </c>
      <c r="D63" s="2">
        <f t="shared" si="20"/>
        <v>27.5</v>
      </c>
      <c r="E63" s="2">
        <f t="shared" ref="E63:E72" si="21">D63-$D$63</f>
        <v>0</v>
      </c>
      <c r="H63" s="2"/>
      <c r="J63" s="16"/>
    </row>
    <row r="64" spans="1:10" x14ac:dyDescent="0.2">
      <c r="A64" s="18"/>
      <c r="B64">
        <v>16</v>
      </c>
      <c r="C64">
        <v>15</v>
      </c>
      <c r="D64" s="2">
        <f t="shared" si="20"/>
        <v>15.5</v>
      </c>
      <c r="E64" s="2">
        <f t="shared" si="21"/>
        <v>-12</v>
      </c>
      <c r="F64" s="3">
        <v>9.9999999999999995E-7</v>
      </c>
      <c r="G64" s="2">
        <f>LOG(F64)</f>
        <v>-6</v>
      </c>
      <c r="H64" s="2">
        <f>E64*100/$E$62</f>
        <v>-0.93185789167152011</v>
      </c>
      <c r="J64" s="16"/>
    </row>
    <row r="65" spans="1:12" x14ac:dyDescent="0.2">
      <c r="B65">
        <v>23</v>
      </c>
      <c r="C65">
        <v>35</v>
      </c>
      <c r="D65" s="2">
        <f t="shared" si="20"/>
        <v>29</v>
      </c>
      <c r="E65" s="2">
        <f t="shared" si="21"/>
        <v>1.5</v>
      </c>
      <c r="F65" s="3">
        <f t="shared" ref="F65:F72" si="22">F64*0.3162</f>
        <v>3.1619999999999999E-7</v>
      </c>
      <c r="G65" s="2">
        <f t="shared" ref="G65:G72" si="23">LOG(F65)</f>
        <v>-6.5000381344038098</v>
      </c>
      <c r="H65" s="2">
        <f t="shared" ref="H65:H72" si="24">E65*100/$E$62</f>
        <v>0.11648223645894001</v>
      </c>
    </row>
    <row r="66" spans="1:12" ht="15" x14ac:dyDescent="0.2">
      <c r="A66" s="24"/>
      <c r="B66">
        <v>53</v>
      </c>
      <c r="C66">
        <v>62</v>
      </c>
      <c r="D66" s="2">
        <f t="shared" si="20"/>
        <v>57.5</v>
      </c>
      <c r="E66" s="2">
        <f t="shared" si="21"/>
        <v>30</v>
      </c>
      <c r="F66" s="3">
        <f t="shared" si="22"/>
        <v>9.9982439999999983E-8</v>
      </c>
      <c r="G66" s="2">
        <f t="shared" si="23"/>
        <v>-7.0000762688076197</v>
      </c>
      <c r="H66" s="2">
        <f t="shared" si="24"/>
        <v>2.3296447291788001</v>
      </c>
    </row>
    <row r="67" spans="1:12" x14ac:dyDescent="0.2">
      <c r="A67" s="16"/>
      <c r="B67">
        <v>139</v>
      </c>
      <c r="C67">
        <v>173</v>
      </c>
      <c r="D67" s="2">
        <f t="shared" si="20"/>
        <v>156</v>
      </c>
      <c r="E67" s="2">
        <f t="shared" si="21"/>
        <v>128.5</v>
      </c>
      <c r="F67" s="3">
        <f t="shared" si="22"/>
        <v>3.1614447527999994E-8</v>
      </c>
      <c r="G67" s="2">
        <f t="shared" si="23"/>
        <v>-7.5001144032114295</v>
      </c>
      <c r="H67" s="2">
        <f t="shared" si="24"/>
        <v>9.9786449233158603</v>
      </c>
      <c r="J67" s="16"/>
    </row>
    <row r="68" spans="1:12" ht="15" x14ac:dyDescent="0.25">
      <c r="A68" s="30"/>
      <c r="B68">
        <v>400</v>
      </c>
      <c r="C68">
        <v>401</v>
      </c>
      <c r="D68" s="2">
        <f t="shared" si="20"/>
        <v>400.5</v>
      </c>
      <c r="E68" s="2">
        <f t="shared" si="21"/>
        <v>373</v>
      </c>
      <c r="F68" s="3">
        <f t="shared" si="22"/>
        <v>9.9964883083535969E-9</v>
      </c>
      <c r="G68" s="2">
        <f t="shared" si="23"/>
        <v>-8.0001525376152394</v>
      </c>
      <c r="H68" s="2">
        <f t="shared" si="24"/>
        <v>28.965249466123083</v>
      </c>
    </row>
    <row r="69" spans="1:12" x14ac:dyDescent="0.2">
      <c r="A69" s="16"/>
      <c r="B69">
        <v>869</v>
      </c>
      <c r="C69">
        <v>831</v>
      </c>
      <c r="D69" s="2">
        <f t="shared" si="20"/>
        <v>850</v>
      </c>
      <c r="E69" s="2">
        <f t="shared" si="21"/>
        <v>822.5</v>
      </c>
      <c r="F69" s="3">
        <f t="shared" si="22"/>
        <v>3.1608896031014071E-9</v>
      </c>
      <c r="G69" s="2">
        <f t="shared" si="23"/>
        <v>-8.5001906720190483</v>
      </c>
      <c r="H69" s="2">
        <f t="shared" si="24"/>
        <v>63.871092991652105</v>
      </c>
    </row>
    <row r="70" spans="1:12" x14ac:dyDescent="0.2">
      <c r="B70">
        <v>1066</v>
      </c>
      <c r="C70">
        <v>1050</v>
      </c>
      <c r="D70" s="2">
        <f t="shared" si="20"/>
        <v>1058</v>
      </c>
      <c r="E70" s="2">
        <f t="shared" si="21"/>
        <v>1030.5</v>
      </c>
      <c r="F70" s="3">
        <f t="shared" si="22"/>
        <v>9.9947329250066484E-10</v>
      </c>
      <c r="G70" s="2">
        <f t="shared" si="23"/>
        <v>-9.0002288064228591</v>
      </c>
      <c r="H70" s="2">
        <f t="shared" si="24"/>
        <v>80.023296447291784</v>
      </c>
    </row>
    <row r="71" spans="1:12" x14ac:dyDescent="0.2">
      <c r="B71">
        <v>1162</v>
      </c>
      <c r="C71">
        <v>1193</v>
      </c>
      <c r="D71" s="2">
        <f t="shared" si="20"/>
        <v>1177.5</v>
      </c>
      <c r="E71" s="2">
        <f t="shared" si="21"/>
        <v>1150</v>
      </c>
      <c r="F71" s="3">
        <f t="shared" si="22"/>
        <v>3.1603345508871019E-10</v>
      </c>
      <c r="G71" s="2">
        <f t="shared" si="23"/>
        <v>-9.500266940826668</v>
      </c>
      <c r="H71" s="2">
        <f t="shared" si="24"/>
        <v>89.303047951854012</v>
      </c>
    </row>
    <row r="72" spans="1:12" x14ac:dyDescent="0.2">
      <c r="B72">
        <v>1320</v>
      </c>
      <c r="C72">
        <v>1245</v>
      </c>
      <c r="D72" s="2">
        <f t="shared" si="20"/>
        <v>1282.5</v>
      </c>
      <c r="E72" s="2">
        <f t="shared" si="21"/>
        <v>1255</v>
      </c>
      <c r="F72" s="3">
        <f t="shared" si="22"/>
        <v>9.992977849905016E-11</v>
      </c>
      <c r="G72" s="2">
        <f t="shared" si="23"/>
        <v>-10.000305075230479</v>
      </c>
      <c r="H72" s="2">
        <f t="shared" si="24"/>
        <v>97.456804503979811</v>
      </c>
    </row>
    <row r="73" spans="1:12" x14ac:dyDescent="0.2">
      <c r="A73" s="15"/>
      <c r="B73">
        <v>1302</v>
      </c>
      <c r="C73">
        <v>1220</v>
      </c>
      <c r="D73" s="2">
        <f t="shared" si="20"/>
        <v>1261</v>
      </c>
      <c r="E73" s="2"/>
      <c r="F73" s="3"/>
      <c r="G73" s="2"/>
      <c r="H73" s="2"/>
    </row>
    <row r="74" spans="1:12" x14ac:dyDescent="0.2">
      <c r="A74" s="16"/>
      <c r="D74" t="s">
        <v>101</v>
      </c>
      <c r="E74" t="s">
        <v>102</v>
      </c>
      <c r="F74" t="s">
        <v>103</v>
      </c>
      <c r="G74" t="s">
        <v>104</v>
      </c>
      <c r="H74" s="7" t="s">
        <v>105</v>
      </c>
    </row>
    <row r="75" spans="1:12" x14ac:dyDescent="0.2">
      <c r="A75" s="16" t="s">
        <v>111</v>
      </c>
      <c r="B75">
        <v>1303</v>
      </c>
      <c r="C75">
        <v>1253</v>
      </c>
      <c r="D75" s="2">
        <f t="shared" ref="D75:D86" si="25">AVERAGE(B75:C75)</f>
        <v>1278</v>
      </c>
      <c r="E75" s="2">
        <f>AVERAGE(D75,D86)-$D$76</f>
        <v>1225.25</v>
      </c>
      <c r="H75" s="2">
        <f>E75*100/$E$75</f>
        <v>100</v>
      </c>
    </row>
    <row r="76" spans="1:12" x14ac:dyDescent="0.2">
      <c r="A76" s="29" t="s">
        <v>858</v>
      </c>
      <c r="B76">
        <v>20</v>
      </c>
      <c r="C76">
        <v>24</v>
      </c>
      <c r="D76" s="2">
        <f t="shared" si="25"/>
        <v>22</v>
      </c>
      <c r="E76" s="2">
        <f>D76-$D$76</f>
        <v>0</v>
      </c>
      <c r="H76" s="2"/>
    </row>
    <row r="77" spans="1:12" x14ac:dyDescent="0.2">
      <c r="A77" s="9"/>
      <c r="B77">
        <v>49</v>
      </c>
      <c r="C77">
        <v>51</v>
      </c>
      <c r="D77" s="2">
        <f t="shared" si="25"/>
        <v>50</v>
      </c>
      <c r="E77" s="2">
        <f>D77-$D$76</f>
        <v>28</v>
      </c>
      <c r="F77" s="3">
        <v>9.9999999999999995E-7</v>
      </c>
      <c r="G77" s="2">
        <f>LOG(F77)</f>
        <v>-6</v>
      </c>
      <c r="H77" s="2">
        <f>E77*100/$E$75</f>
        <v>2.2852479085900836</v>
      </c>
    </row>
    <row r="78" spans="1:12" x14ac:dyDescent="0.2">
      <c r="B78">
        <v>189</v>
      </c>
      <c r="C78">
        <v>212</v>
      </c>
      <c r="D78" s="2">
        <f t="shared" si="25"/>
        <v>200.5</v>
      </c>
      <c r="E78" s="2">
        <f>D78-$D$76</f>
        <v>178.5</v>
      </c>
      <c r="F78" s="3">
        <f t="shared" ref="F78:F85" si="26">F77*0.3162</f>
        <v>3.1619999999999999E-7</v>
      </c>
      <c r="G78" s="2">
        <f t="shared" ref="G78:G85" si="27">LOG(F78)</f>
        <v>-6.5000381344038098</v>
      </c>
      <c r="H78" s="2">
        <f t="shared" ref="H78:H85" si="28">E78*100/$E$75</f>
        <v>14.568455417261783</v>
      </c>
    </row>
    <row r="79" spans="1:12" x14ac:dyDescent="0.2">
      <c r="A79" s="18"/>
      <c r="B79">
        <v>491</v>
      </c>
      <c r="C79">
        <v>459</v>
      </c>
      <c r="D79" s="2">
        <f t="shared" si="25"/>
        <v>475</v>
      </c>
      <c r="E79" s="2">
        <f>D79-$D$76</f>
        <v>453</v>
      </c>
      <c r="F79" s="3">
        <f t="shared" si="26"/>
        <v>9.9982439999999983E-8</v>
      </c>
      <c r="G79" s="2">
        <f t="shared" si="27"/>
        <v>-7.0000762688076197</v>
      </c>
      <c r="H79" s="2">
        <f t="shared" si="28"/>
        <v>36.972046521118138</v>
      </c>
    </row>
    <row r="80" spans="1:12" x14ac:dyDescent="0.2">
      <c r="A80" s="17"/>
      <c r="B80">
        <v>842</v>
      </c>
      <c r="C80">
        <v>882</v>
      </c>
      <c r="D80" s="2">
        <f t="shared" si="25"/>
        <v>862</v>
      </c>
      <c r="E80" s="2">
        <f>D80-$D$76</f>
        <v>840</v>
      </c>
      <c r="F80" s="3">
        <f t="shared" si="26"/>
        <v>3.1614447527999994E-8</v>
      </c>
      <c r="G80" s="2">
        <f t="shared" si="27"/>
        <v>-7.5001144032114295</v>
      </c>
      <c r="H80" s="2">
        <f t="shared" si="28"/>
        <v>68.557437257702503</v>
      </c>
      <c r="L80" s="9"/>
    </row>
    <row r="81" spans="1:12" x14ac:dyDescent="0.2">
      <c r="A81" s="16"/>
      <c r="B81">
        <v>1071</v>
      </c>
      <c r="C81">
        <v>1128</v>
      </c>
      <c r="D81" s="2">
        <f t="shared" si="25"/>
        <v>1099.5</v>
      </c>
      <c r="E81" s="2">
        <f t="shared" ref="E81:E86" si="29">D81-$D$76</f>
        <v>1077.5</v>
      </c>
      <c r="F81" s="3">
        <f t="shared" si="26"/>
        <v>9.9964883083535969E-9</v>
      </c>
      <c r="G81" s="2">
        <f t="shared" si="27"/>
        <v>-8.0001525376152394</v>
      </c>
      <c r="H81" s="2">
        <f t="shared" si="28"/>
        <v>87.941236482350547</v>
      </c>
      <c r="L81" s="9"/>
    </row>
    <row r="82" spans="1:12" x14ac:dyDescent="0.2">
      <c r="A82" s="16"/>
      <c r="B82">
        <v>1241</v>
      </c>
      <c r="C82">
        <v>1276</v>
      </c>
      <c r="D82" s="2">
        <f t="shared" si="25"/>
        <v>1258.5</v>
      </c>
      <c r="E82" s="2">
        <f t="shared" si="29"/>
        <v>1236.5</v>
      </c>
      <c r="F82" s="3">
        <f t="shared" si="26"/>
        <v>3.1608896031014071E-9</v>
      </c>
      <c r="G82" s="2">
        <f t="shared" si="27"/>
        <v>-8.5001906720190483</v>
      </c>
      <c r="H82" s="2">
        <f t="shared" si="28"/>
        <v>100.91817996327281</v>
      </c>
      <c r="L82" s="9"/>
    </row>
    <row r="83" spans="1:12" x14ac:dyDescent="0.2">
      <c r="A83" s="16"/>
      <c r="B83">
        <v>1265</v>
      </c>
      <c r="C83">
        <v>1212</v>
      </c>
      <c r="D83" s="2">
        <f t="shared" si="25"/>
        <v>1238.5</v>
      </c>
      <c r="E83" s="2">
        <f t="shared" si="29"/>
        <v>1216.5</v>
      </c>
      <c r="F83" s="3">
        <f t="shared" si="26"/>
        <v>9.9947329250066484E-10</v>
      </c>
      <c r="G83" s="2">
        <f t="shared" si="27"/>
        <v>-9.0002288064228591</v>
      </c>
      <c r="H83" s="2">
        <f t="shared" si="28"/>
        <v>99.285860028565594</v>
      </c>
      <c r="L83" s="9"/>
    </row>
    <row r="84" spans="1:12" x14ac:dyDescent="0.2">
      <c r="A84" s="16"/>
      <c r="B84">
        <v>1212</v>
      </c>
      <c r="C84">
        <v>1282</v>
      </c>
      <c r="D84" s="2">
        <f t="shared" si="25"/>
        <v>1247</v>
      </c>
      <c r="E84" s="2">
        <f t="shared" si="29"/>
        <v>1225</v>
      </c>
      <c r="F84" s="3">
        <f t="shared" si="26"/>
        <v>3.1603345508871019E-10</v>
      </c>
      <c r="G84" s="2">
        <f t="shared" si="27"/>
        <v>-9.500266940826668</v>
      </c>
      <c r="H84" s="2">
        <f t="shared" si="28"/>
        <v>99.979596000816159</v>
      </c>
    </row>
    <row r="85" spans="1:12" x14ac:dyDescent="0.2">
      <c r="B85">
        <v>1305</v>
      </c>
      <c r="C85">
        <v>1299</v>
      </c>
      <c r="D85" s="2">
        <f t="shared" si="25"/>
        <v>1302</v>
      </c>
      <c r="E85" s="2">
        <f t="shared" si="29"/>
        <v>1280</v>
      </c>
      <c r="F85" s="3">
        <f t="shared" si="26"/>
        <v>9.992977849905016E-11</v>
      </c>
      <c r="G85" s="2">
        <f t="shared" si="27"/>
        <v>-10.000305075230479</v>
      </c>
      <c r="H85" s="2">
        <f t="shared" si="28"/>
        <v>104.46847582126097</v>
      </c>
    </row>
    <row r="86" spans="1:12" x14ac:dyDescent="0.2">
      <c r="A86" s="16"/>
      <c r="B86">
        <v>1244</v>
      </c>
      <c r="C86">
        <v>1189</v>
      </c>
      <c r="D86" s="2">
        <f t="shared" si="25"/>
        <v>1216.5</v>
      </c>
      <c r="E86" s="2">
        <f t="shared" si="29"/>
        <v>1194.5</v>
      </c>
      <c r="F86" s="3"/>
      <c r="G86" s="2"/>
      <c r="H86" s="2"/>
    </row>
    <row r="87" spans="1:12" x14ac:dyDescent="0.2">
      <c r="A87" s="16"/>
      <c r="D87" t="s">
        <v>101</v>
      </c>
      <c r="E87" t="s">
        <v>102</v>
      </c>
      <c r="F87" t="s">
        <v>103</v>
      </c>
      <c r="G87" t="s">
        <v>104</v>
      </c>
      <c r="H87" s="7" t="s">
        <v>105</v>
      </c>
    </row>
    <row r="88" spans="1:12" x14ac:dyDescent="0.2">
      <c r="A88" s="16" t="s">
        <v>112</v>
      </c>
      <c r="B88">
        <v>1261</v>
      </c>
      <c r="C88">
        <v>1256</v>
      </c>
      <c r="D88" s="2">
        <f t="shared" ref="D88:D99" si="30">AVERAGE(B88:C88)</f>
        <v>1258.5</v>
      </c>
      <c r="E88" s="2">
        <f>AVERAGE(D88,D99)-$D$89</f>
        <v>1239.75</v>
      </c>
      <c r="H88" s="2">
        <f>E88*100/$E$88</f>
        <v>100</v>
      </c>
    </row>
    <row r="89" spans="1:12" x14ac:dyDescent="0.2">
      <c r="A89" s="16" t="s">
        <v>857</v>
      </c>
      <c r="B89">
        <v>20</v>
      </c>
      <c r="C89">
        <v>20</v>
      </c>
      <c r="D89" s="2">
        <f t="shared" si="30"/>
        <v>20</v>
      </c>
      <c r="E89" s="2">
        <f>D89-$D$89</f>
        <v>0</v>
      </c>
      <c r="H89" s="2"/>
    </row>
    <row r="90" spans="1:12" x14ac:dyDescent="0.2">
      <c r="A90" s="9"/>
      <c r="B90">
        <v>78</v>
      </c>
      <c r="C90">
        <v>72</v>
      </c>
      <c r="D90" s="2">
        <f t="shared" si="30"/>
        <v>75</v>
      </c>
      <c r="E90" s="2">
        <f>D90-$D$89</f>
        <v>55</v>
      </c>
      <c r="F90" s="3">
        <v>9.9999999999999995E-8</v>
      </c>
      <c r="G90" s="2">
        <f>LOG(F90)</f>
        <v>-7</v>
      </c>
      <c r="H90" s="2">
        <f>E90*100/$E$88</f>
        <v>4.4363783020770313</v>
      </c>
    </row>
    <row r="91" spans="1:12" x14ac:dyDescent="0.2">
      <c r="A91" s="17"/>
      <c r="B91">
        <v>171</v>
      </c>
      <c r="C91">
        <v>203</v>
      </c>
      <c r="D91" s="2">
        <f t="shared" si="30"/>
        <v>187</v>
      </c>
      <c r="E91" s="2">
        <f>D91-$D$89</f>
        <v>167</v>
      </c>
      <c r="F91" s="3">
        <f t="shared" ref="F91:F98" si="31">F90*0.3162</f>
        <v>3.1619999999999995E-8</v>
      </c>
      <c r="G91" s="2">
        <f t="shared" ref="G91:G98" si="32">LOG(F91)</f>
        <v>-7.5000381344038098</v>
      </c>
      <c r="H91" s="2">
        <f>E91*100/$E$88</f>
        <v>13.470457753579351</v>
      </c>
    </row>
    <row r="92" spans="1:12" x14ac:dyDescent="0.2">
      <c r="A92" s="18"/>
      <c r="B92">
        <v>361</v>
      </c>
      <c r="C92">
        <v>367</v>
      </c>
      <c r="D92" s="2">
        <f t="shared" si="30"/>
        <v>364</v>
      </c>
      <c r="E92" s="2">
        <f>D92-$D$89</f>
        <v>344</v>
      </c>
      <c r="F92" s="3">
        <f t="shared" si="31"/>
        <v>9.998243999999998E-9</v>
      </c>
      <c r="G92" s="2">
        <f t="shared" si="32"/>
        <v>-8.0000762688076197</v>
      </c>
      <c r="H92" s="2">
        <f t="shared" ref="H92:H98" si="33">E92*100/$E$88</f>
        <v>27.747529743899978</v>
      </c>
    </row>
    <row r="93" spans="1:12" ht="15" x14ac:dyDescent="0.2">
      <c r="A93" s="24"/>
      <c r="B93">
        <v>697</v>
      </c>
      <c r="C93">
        <v>687</v>
      </c>
      <c r="D93" s="2">
        <f t="shared" si="30"/>
        <v>692</v>
      </c>
      <c r="E93" s="2">
        <f t="shared" ref="E93:E98" si="34">D93-$D$89</f>
        <v>672</v>
      </c>
      <c r="F93" s="3">
        <f t="shared" si="31"/>
        <v>3.161444752799999E-9</v>
      </c>
      <c r="G93" s="2">
        <f t="shared" si="32"/>
        <v>-8.5001144032114286</v>
      </c>
      <c r="H93" s="2">
        <f t="shared" si="33"/>
        <v>54.204476709013917</v>
      </c>
    </row>
    <row r="94" spans="1:12" x14ac:dyDescent="0.2">
      <c r="A94" s="16"/>
      <c r="B94">
        <v>1020</v>
      </c>
      <c r="C94">
        <v>1087</v>
      </c>
      <c r="D94" s="2">
        <f t="shared" si="30"/>
        <v>1053.5</v>
      </c>
      <c r="E94" s="2">
        <f t="shared" si="34"/>
        <v>1033.5</v>
      </c>
      <c r="F94" s="3">
        <f t="shared" si="31"/>
        <v>9.9964883083535969E-10</v>
      </c>
      <c r="G94" s="2">
        <f t="shared" si="32"/>
        <v>-9.0001525376152394</v>
      </c>
      <c r="H94" s="2">
        <f t="shared" si="33"/>
        <v>83.363581367211125</v>
      </c>
    </row>
    <row r="95" spans="1:12" x14ac:dyDescent="0.2">
      <c r="A95" s="16"/>
      <c r="B95">
        <v>1262</v>
      </c>
      <c r="C95">
        <v>1216</v>
      </c>
      <c r="D95" s="2">
        <f t="shared" si="30"/>
        <v>1239</v>
      </c>
      <c r="E95" s="2">
        <f t="shared" si="34"/>
        <v>1219</v>
      </c>
      <c r="F95" s="3">
        <f t="shared" si="31"/>
        <v>3.1608896031014073E-10</v>
      </c>
      <c r="G95" s="2">
        <f t="shared" si="32"/>
        <v>-9.5001906720190483</v>
      </c>
      <c r="H95" s="2">
        <f t="shared" si="33"/>
        <v>98.326275458761842</v>
      </c>
    </row>
    <row r="96" spans="1:12" x14ac:dyDescent="0.2">
      <c r="B96">
        <v>1211</v>
      </c>
      <c r="C96">
        <v>1238</v>
      </c>
      <c r="D96" s="2">
        <f t="shared" si="30"/>
        <v>1224.5</v>
      </c>
      <c r="E96" s="2">
        <f t="shared" si="34"/>
        <v>1204.5</v>
      </c>
      <c r="F96" s="3">
        <f t="shared" si="31"/>
        <v>9.9947329250066487E-11</v>
      </c>
      <c r="G96" s="2">
        <f t="shared" si="32"/>
        <v>-10.000228806422859</v>
      </c>
      <c r="H96" s="2">
        <f t="shared" si="33"/>
        <v>97.156684815486997</v>
      </c>
    </row>
    <row r="97" spans="1:8" x14ac:dyDescent="0.2">
      <c r="B97">
        <v>1477</v>
      </c>
      <c r="C97">
        <v>1349</v>
      </c>
      <c r="D97" s="2">
        <f t="shared" si="30"/>
        <v>1413</v>
      </c>
      <c r="E97" s="2">
        <f t="shared" si="34"/>
        <v>1393</v>
      </c>
      <c r="F97" s="3">
        <f t="shared" si="31"/>
        <v>3.1603345508871023E-11</v>
      </c>
      <c r="G97" s="2">
        <f t="shared" si="32"/>
        <v>-10.500266940826668</v>
      </c>
      <c r="H97" s="2">
        <f t="shared" si="33"/>
        <v>112.36136317806009</v>
      </c>
    </row>
    <row r="98" spans="1:8" x14ac:dyDescent="0.2">
      <c r="B98">
        <v>1274</v>
      </c>
      <c r="C98">
        <v>1384</v>
      </c>
      <c r="D98" s="2">
        <f t="shared" si="30"/>
        <v>1329</v>
      </c>
      <c r="E98" s="2">
        <f t="shared" si="34"/>
        <v>1309</v>
      </c>
      <c r="F98" s="3">
        <f t="shared" si="31"/>
        <v>9.9929778499050173E-12</v>
      </c>
      <c r="G98" s="2">
        <f t="shared" si="32"/>
        <v>-11.000305075230479</v>
      </c>
      <c r="H98" s="2">
        <f t="shared" si="33"/>
        <v>105.58580358943335</v>
      </c>
    </row>
    <row r="99" spans="1:8" x14ac:dyDescent="0.2">
      <c r="A99" s="16"/>
      <c r="B99">
        <v>1248</v>
      </c>
      <c r="C99">
        <v>1274</v>
      </c>
      <c r="D99" s="2">
        <f t="shared" si="30"/>
        <v>1261</v>
      </c>
      <c r="E99" s="2"/>
      <c r="F99" s="3"/>
      <c r="G99" s="2"/>
      <c r="H99" s="2"/>
    </row>
    <row r="100" spans="1:8" x14ac:dyDescent="0.2">
      <c r="A100" s="16"/>
      <c r="D100" t="s">
        <v>101</v>
      </c>
      <c r="E100" t="s">
        <v>102</v>
      </c>
      <c r="F100" t="s">
        <v>103</v>
      </c>
      <c r="G100" t="s">
        <v>104</v>
      </c>
      <c r="H100" s="7" t="s">
        <v>105</v>
      </c>
    </row>
    <row r="101" spans="1:8" x14ac:dyDescent="0.2">
      <c r="A101" s="16" t="s">
        <v>113</v>
      </c>
      <c r="B101">
        <v>1334</v>
      </c>
      <c r="C101">
        <v>1190</v>
      </c>
      <c r="D101" s="2">
        <f>AVERAGE(B101:C101)</f>
        <v>1262</v>
      </c>
      <c r="E101" s="2">
        <f>AVERAGE(D101,D112)-$D$102</f>
        <v>1233.75</v>
      </c>
      <c r="H101" s="2">
        <f>E101*100/$E$101</f>
        <v>100</v>
      </c>
    </row>
    <row r="102" spans="1:8" x14ac:dyDescent="0.2">
      <c r="A102" s="25" t="s">
        <v>860</v>
      </c>
      <c r="B102">
        <v>23</v>
      </c>
      <c r="C102">
        <v>16</v>
      </c>
      <c r="D102" s="2">
        <f t="shared" ref="D102:D112" si="35">AVERAGE(B102:C102)</f>
        <v>19.5</v>
      </c>
      <c r="E102" s="2">
        <f t="shared" ref="E102:E111" si="36">D102-$D$102</f>
        <v>0</v>
      </c>
      <c r="H102" s="2"/>
    </row>
    <row r="103" spans="1:8" x14ac:dyDescent="0.2">
      <c r="A103" s="9"/>
      <c r="B103">
        <v>267</v>
      </c>
      <c r="C103">
        <v>239</v>
      </c>
      <c r="D103" s="2">
        <f t="shared" si="35"/>
        <v>253</v>
      </c>
      <c r="E103" s="2">
        <f t="shared" si="36"/>
        <v>233.5</v>
      </c>
      <c r="F103" s="3">
        <v>9.9999999999999995E-7</v>
      </c>
      <c r="G103" s="2">
        <f>LOG(F103)</f>
        <v>-6</v>
      </c>
      <c r="H103" s="2">
        <f>E103*100/$E$101</f>
        <v>18.926038500506586</v>
      </c>
    </row>
    <row r="104" spans="1:8" x14ac:dyDescent="0.2">
      <c r="A104" s="17"/>
      <c r="B104">
        <v>609</v>
      </c>
      <c r="C104">
        <v>551</v>
      </c>
      <c r="D104" s="2">
        <f t="shared" si="35"/>
        <v>580</v>
      </c>
      <c r="E104" s="2">
        <f t="shared" si="36"/>
        <v>560.5</v>
      </c>
      <c r="F104" s="3">
        <f t="shared" ref="F104:F111" si="37">F103*0.3162</f>
        <v>3.1619999999999999E-7</v>
      </c>
      <c r="G104" s="2">
        <f t="shared" ref="G104:G111" si="38">LOG(F104)</f>
        <v>-6.5000381344038098</v>
      </c>
      <c r="H104" s="2">
        <f t="shared" ref="H104:H111" si="39">E104*100/$E$101</f>
        <v>45.430597771023301</v>
      </c>
    </row>
    <row r="105" spans="1:8" x14ac:dyDescent="0.2">
      <c r="A105" s="16"/>
      <c r="B105">
        <v>907</v>
      </c>
      <c r="C105">
        <v>816</v>
      </c>
      <c r="D105" s="2">
        <f t="shared" si="35"/>
        <v>861.5</v>
      </c>
      <c r="E105" s="2">
        <f t="shared" si="36"/>
        <v>842</v>
      </c>
      <c r="F105" s="3">
        <f t="shared" si="37"/>
        <v>9.9982439999999983E-8</v>
      </c>
      <c r="G105" s="2">
        <f t="shared" si="38"/>
        <v>-7.0000762688076197</v>
      </c>
      <c r="H105" s="2">
        <f t="shared" si="39"/>
        <v>68.247213779128671</v>
      </c>
    </row>
    <row r="106" spans="1:8" ht="15" x14ac:dyDescent="0.2">
      <c r="A106" s="24"/>
      <c r="B106">
        <v>1264</v>
      </c>
      <c r="C106">
        <v>1149</v>
      </c>
      <c r="D106" s="2">
        <f t="shared" si="35"/>
        <v>1206.5</v>
      </c>
      <c r="E106" s="2">
        <f t="shared" si="36"/>
        <v>1187</v>
      </c>
      <c r="F106" s="3">
        <f t="shared" si="37"/>
        <v>3.1614447527999994E-8</v>
      </c>
      <c r="G106" s="2">
        <f t="shared" si="38"/>
        <v>-7.5001144032114295</v>
      </c>
      <c r="H106" s="2">
        <f t="shared" si="39"/>
        <v>96.210739614994935</v>
      </c>
    </row>
    <row r="107" spans="1:8" x14ac:dyDescent="0.2">
      <c r="A107" s="16"/>
      <c r="B107">
        <v>1236</v>
      </c>
      <c r="C107">
        <v>1245</v>
      </c>
      <c r="D107" s="2">
        <f t="shared" si="35"/>
        <v>1240.5</v>
      </c>
      <c r="E107" s="2">
        <f t="shared" si="36"/>
        <v>1221</v>
      </c>
      <c r="F107" s="3">
        <f t="shared" si="37"/>
        <v>9.9964883083535969E-9</v>
      </c>
      <c r="G107" s="2">
        <f t="shared" si="38"/>
        <v>-8.0001525376152394</v>
      </c>
      <c r="H107" s="2">
        <f t="shared" si="39"/>
        <v>98.966565349544069</v>
      </c>
    </row>
    <row r="108" spans="1:8" x14ac:dyDescent="0.2">
      <c r="A108" s="16"/>
      <c r="B108">
        <v>1251</v>
      </c>
      <c r="C108">
        <v>1268</v>
      </c>
      <c r="D108" s="2">
        <f t="shared" si="35"/>
        <v>1259.5</v>
      </c>
      <c r="E108" s="2">
        <f t="shared" si="36"/>
        <v>1240</v>
      </c>
      <c r="F108" s="3">
        <f t="shared" si="37"/>
        <v>3.1608896031014071E-9</v>
      </c>
      <c r="G108" s="2">
        <f t="shared" si="38"/>
        <v>-8.5001906720190483</v>
      </c>
      <c r="H108" s="2">
        <f t="shared" si="39"/>
        <v>100.50658561296859</v>
      </c>
    </row>
    <row r="109" spans="1:8" x14ac:dyDescent="0.2">
      <c r="A109" s="16"/>
      <c r="B109">
        <v>1049</v>
      </c>
      <c r="C109">
        <v>1267</v>
      </c>
      <c r="D109" s="2">
        <f t="shared" si="35"/>
        <v>1158</v>
      </c>
      <c r="E109" s="2">
        <f t="shared" si="36"/>
        <v>1138.5</v>
      </c>
      <c r="F109" s="3">
        <f t="shared" si="37"/>
        <v>9.9947329250066484E-10</v>
      </c>
      <c r="G109" s="2">
        <f t="shared" si="38"/>
        <v>-9.0002288064228591</v>
      </c>
      <c r="H109" s="2">
        <f t="shared" si="39"/>
        <v>92.279635258358667</v>
      </c>
    </row>
    <row r="110" spans="1:8" x14ac:dyDescent="0.2">
      <c r="A110" s="16"/>
      <c r="B110">
        <v>1318</v>
      </c>
      <c r="C110">
        <v>1361</v>
      </c>
      <c r="D110" s="2">
        <f t="shared" si="35"/>
        <v>1339.5</v>
      </c>
      <c r="E110" s="2">
        <f t="shared" si="36"/>
        <v>1320</v>
      </c>
      <c r="F110" s="3">
        <f t="shared" si="37"/>
        <v>3.1603345508871019E-10</v>
      </c>
      <c r="G110" s="2">
        <f t="shared" si="38"/>
        <v>-9.500266940826668</v>
      </c>
      <c r="H110" s="2">
        <f t="shared" si="39"/>
        <v>106.99088145896657</v>
      </c>
    </row>
    <row r="111" spans="1:8" x14ac:dyDescent="0.2">
      <c r="A111" s="16"/>
      <c r="B111">
        <v>1366</v>
      </c>
      <c r="C111">
        <v>1300</v>
      </c>
      <c r="D111" s="2">
        <f t="shared" si="35"/>
        <v>1333</v>
      </c>
      <c r="E111" s="2">
        <f t="shared" si="36"/>
        <v>1313.5</v>
      </c>
      <c r="F111" s="3">
        <f t="shared" si="37"/>
        <v>9.992977849905016E-11</v>
      </c>
      <c r="G111" s="2">
        <f t="shared" si="38"/>
        <v>-10.000305075230479</v>
      </c>
      <c r="H111" s="2">
        <f t="shared" si="39"/>
        <v>106.46403242147923</v>
      </c>
    </row>
    <row r="112" spans="1:8" x14ac:dyDescent="0.2">
      <c r="A112" s="16"/>
      <c r="B112">
        <v>1294</v>
      </c>
      <c r="C112">
        <v>1195</v>
      </c>
      <c r="D112" s="2">
        <f t="shared" si="35"/>
        <v>1244.5</v>
      </c>
      <c r="E112" s="2"/>
      <c r="F112" s="3"/>
      <c r="G112" s="2"/>
      <c r="H112" s="2"/>
    </row>
    <row r="113" spans="1:12" x14ac:dyDescent="0.2">
      <c r="A113" s="16"/>
      <c r="D113" t="s">
        <v>101</v>
      </c>
      <c r="E113" t="s">
        <v>102</v>
      </c>
      <c r="F113" t="s">
        <v>103</v>
      </c>
      <c r="G113" t="s">
        <v>104</v>
      </c>
      <c r="H113" s="7" t="s">
        <v>105</v>
      </c>
    </row>
    <row r="114" spans="1:12" x14ac:dyDescent="0.2">
      <c r="A114" s="16" t="s">
        <v>115</v>
      </c>
      <c r="D114" s="2" t="e">
        <f>AVERAGE(B114:C114)</f>
        <v>#DIV/0!</v>
      </c>
      <c r="E114" s="2" t="e">
        <f>AVERAGE(D114,D125)-$D$115</f>
        <v>#DIV/0!</v>
      </c>
      <c r="H114" s="2" t="e">
        <f>E114*100/$E$114</f>
        <v>#DIV/0!</v>
      </c>
    </row>
    <row r="115" spans="1:12" x14ac:dyDescent="0.2">
      <c r="D115" s="2" t="e">
        <f t="shared" ref="D115:D124" si="40">AVERAGE(B115:C115)</f>
        <v>#DIV/0!</v>
      </c>
      <c r="E115" s="2" t="e">
        <f>D115-$D$115</f>
        <v>#DIV/0!</v>
      </c>
      <c r="H115" s="2"/>
    </row>
    <row r="116" spans="1:12" x14ac:dyDescent="0.2">
      <c r="A116" s="9"/>
      <c r="D116" s="2" t="e">
        <f t="shared" si="40"/>
        <v>#DIV/0!</v>
      </c>
      <c r="E116" s="2" t="e">
        <f>D116-$D$115</f>
        <v>#DIV/0!</v>
      </c>
      <c r="F116" s="3">
        <v>9.9999999999999995E-8</v>
      </c>
      <c r="G116" s="2">
        <f>LOG(F116)</f>
        <v>-7</v>
      </c>
      <c r="H116" s="2" t="e">
        <f t="shared" ref="H116:H124" si="41">E116*100/$E$114</f>
        <v>#DIV/0!</v>
      </c>
      <c r="L116" s="9"/>
    </row>
    <row r="117" spans="1:12" x14ac:dyDescent="0.2">
      <c r="A117" s="17"/>
      <c r="D117" s="2" t="e">
        <f t="shared" si="40"/>
        <v>#DIV/0!</v>
      </c>
      <c r="E117" s="2" t="e">
        <f>D117-$D$115</f>
        <v>#DIV/0!</v>
      </c>
      <c r="F117" s="3">
        <f>F116*0.3162</f>
        <v>3.1619999999999995E-8</v>
      </c>
      <c r="G117" s="2">
        <f t="shared" ref="G117:G124" si="42">LOG(F117)</f>
        <v>-7.5000381344038098</v>
      </c>
      <c r="H117" s="2" t="e">
        <f t="shared" si="41"/>
        <v>#DIV/0!</v>
      </c>
      <c r="L117" s="9"/>
    </row>
    <row r="118" spans="1:12" x14ac:dyDescent="0.2">
      <c r="A118" s="18"/>
      <c r="D118" s="2" t="e">
        <f t="shared" si="40"/>
        <v>#DIV/0!</v>
      </c>
      <c r="E118" s="2" t="e">
        <f t="shared" ref="E118:E124" si="43">D118-$D$115</f>
        <v>#DIV/0!</v>
      </c>
      <c r="F118" s="3">
        <f t="shared" ref="F118:F124" si="44">F117*0.3162</f>
        <v>9.998243999999998E-9</v>
      </c>
      <c r="G118" s="2">
        <f t="shared" si="42"/>
        <v>-8.0000762688076197</v>
      </c>
      <c r="H118" s="2" t="e">
        <f t="shared" si="41"/>
        <v>#DIV/0!</v>
      </c>
      <c r="L118" s="9"/>
    </row>
    <row r="119" spans="1:12" x14ac:dyDescent="0.2">
      <c r="A119" s="16"/>
      <c r="D119" s="2" t="e">
        <f t="shared" si="40"/>
        <v>#DIV/0!</v>
      </c>
      <c r="E119" s="2" t="e">
        <f t="shared" si="43"/>
        <v>#DIV/0!</v>
      </c>
      <c r="F119" s="3">
        <f t="shared" si="44"/>
        <v>3.161444752799999E-9</v>
      </c>
      <c r="G119" s="2">
        <f t="shared" si="42"/>
        <v>-8.5001144032114286</v>
      </c>
      <c r="H119" s="2" t="e">
        <f t="shared" si="41"/>
        <v>#DIV/0!</v>
      </c>
      <c r="L119" s="9"/>
    </row>
    <row r="120" spans="1:12" x14ac:dyDescent="0.2">
      <c r="A120" s="16"/>
      <c r="D120" s="2" t="e">
        <f t="shared" si="40"/>
        <v>#DIV/0!</v>
      </c>
      <c r="E120" s="2" t="e">
        <f t="shared" si="43"/>
        <v>#DIV/0!</v>
      </c>
      <c r="F120" s="3">
        <f t="shared" si="44"/>
        <v>9.9964883083535969E-10</v>
      </c>
      <c r="G120" s="2">
        <f t="shared" si="42"/>
        <v>-9.0001525376152394</v>
      </c>
      <c r="H120" s="2" t="e">
        <f t="shared" si="41"/>
        <v>#DIV/0!</v>
      </c>
    </row>
    <row r="121" spans="1:12" x14ac:dyDescent="0.2">
      <c r="D121" s="2" t="e">
        <f t="shared" si="40"/>
        <v>#DIV/0!</v>
      </c>
      <c r="E121" s="2" t="e">
        <f t="shared" si="43"/>
        <v>#DIV/0!</v>
      </c>
      <c r="F121" s="3">
        <f t="shared" si="44"/>
        <v>3.1608896031014073E-10</v>
      </c>
      <c r="G121" s="2">
        <f t="shared" si="42"/>
        <v>-9.5001906720190483</v>
      </c>
      <c r="H121" s="2" t="e">
        <f t="shared" si="41"/>
        <v>#DIV/0!</v>
      </c>
    </row>
    <row r="122" spans="1:12" x14ac:dyDescent="0.2">
      <c r="A122" s="16"/>
      <c r="D122" s="2" t="e">
        <f t="shared" si="40"/>
        <v>#DIV/0!</v>
      </c>
      <c r="E122" s="2" t="e">
        <f t="shared" si="43"/>
        <v>#DIV/0!</v>
      </c>
      <c r="F122" s="3">
        <f t="shared" si="44"/>
        <v>9.9947329250066487E-11</v>
      </c>
      <c r="G122" s="2">
        <f t="shared" si="42"/>
        <v>-10.000228806422859</v>
      </c>
      <c r="H122" s="2" t="e">
        <f t="shared" si="41"/>
        <v>#DIV/0!</v>
      </c>
    </row>
    <row r="123" spans="1:12" x14ac:dyDescent="0.2">
      <c r="A123" s="16"/>
      <c r="D123" s="2" t="e">
        <f t="shared" si="40"/>
        <v>#DIV/0!</v>
      </c>
      <c r="E123" s="2" t="e">
        <f t="shared" si="43"/>
        <v>#DIV/0!</v>
      </c>
      <c r="F123" s="3">
        <f t="shared" si="44"/>
        <v>3.1603345508871023E-11</v>
      </c>
      <c r="G123" s="2">
        <f t="shared" si="42"/>
        <v>-10.500266940826668</v>
      </c>
      <c r="H123" s="2" t="e">
        <f t="shared" si="41"/>
        <v>#DIV/0!</v>
      </c>
    </row>
    <row r="124" spans="1:12" x14ac:dyDescent="0.2">
      <c r="A124" s="16"/>
      <c r="D124" s="2" t="e">
        <f t="shared" si="40"/>
        <v>#DIV/0!</v>
      </c>
      <c r="E124" s="2" t="e">
        <f t="shared" si="43"/>
        <v>#DIV/0!</v>
      </c>
      <c r="F124" s="3">
        <f t="shared" si="44"/>
        <v>9.9929778499050173E-12</v>
      </c>
      <c r="G124" s="2">
        <f t="shared" si="42"/>
        <v>-11.000305075230479</v>
      </c>
      <c r="H124" s="2" t="e">
        <f t="shared" si="41"/>
        <v>#DIV/0!</v>
      </c>
    </row>
    <row r="125" spans="1:12" x14ac:dyDescent="0.2">
      <c r="A125" s="16"/>
      <c r="D125" s="2" t="e">
        <f>AVERAGE(B125:C125)</f>
        <v>#DIV/0!</v>
      </c>
      <c r="E125" s="2"/>
      <c r="F125" s="3"/>
      <c r="G125" s="2"/>
      <c r="H125" s="2"/>
    </row>
    <row r="126" spans="1:12" x14ac:dyDescent="0.2">
      <c r="A126" s="16"/>
      <c r="D126" t="s">
        <v>101</v>
      </c>
      <c r="E126" t="s">
        <v>102</v>
      </c>
      <c r="F126" t="s">
        <v>103</v>
      </c>
      <c r="G126" t="s">
        <v>104</v>
      </c>
      <c r="H126" s="7" t="s">
        <v>105</v>
      </c>
    </row>
    <row r="127" spans="1:12" x14ac:dyDescent="0.2">
      <c r="A127" s="16" t="s">
        <v>116</v>
      </c>
      <c r="D127" s="2" t="e">
        <f>AVERAGE(B127:C127)</f>
        <v>#DIV/0!</v>
      </c>
      <c r="E127" s="2" t="e">
        <f>AVERAGE(D127,D138)-$D$128</f>
        <v>#DIV/0!</v>
      </c>
      <c r="H127" s="2" t="e">
        <f>E127*100/$E$127</f>
        <v>#DIV/0!</v>
      </c>
    </row>
    <row r="128" spans="1:12" x14ac:dyDescent="0.2">
      <c r="A128" s="29"/>
      <c r="D128" s="2" t="e">
        <f t="shared" ref="D128:D138" si="45">AVERAGE(B128:C128)</f>
        <v>#DIV/0!</v>
      </c>
      <c r="E128" s="2" t="e">
        <f t="shared" ref="E128:E134" si="46">D128-$D$128</f>
        <v>#DIV/0!</v>
      </c>
      <c r="H128" s="2"/>
    </row>
    <row r="129" spans="1:8" x14ac:dyDescent="0.2">
      <c r="A129" s="9"/>
      <c r="D129" s="2" t="e">
        <f t="shared" si="45"/>
        <v>#DIV/0!</v>
      </c>
      <c r="E129" s="2" t="e">
        <f t="shared" si="46"/>
        <v>#DIV/0!</v>
      </c>
      <c r="F129" s="3">
        <v>9.9999999999999995E-8</v>
      </c>
      <c r="G129" s="2">
        <f>LOG(F129)</f>
        <v>-7</v>
      </c>
      <c r="H129" s="2" t="e">
        <f>E129*100/$E$127</f>
        <v>#DIV/0!</v>
      </c>
    </row>
    <row r="130" spans="1:8" x14ac:dyDescent="0.2">
      <c r="A130" s="17"/>
      <c r="D130" s="2" t="e">
        <f t="shared" si="45"/>
        <v>#DIV/0!</v>
      </c>
      <c r="E130" s="2" t="e">
        <f t="shared" si="46"/>
        <v>#DIV/0!</v>
      </c>
      <c r="F130" s="3">
        <f t="shared" ref="F130:F137" si="47">F129*0.3162</f>
        <v>3.1619999999999995E-8</v>
      </c>
      <c r="G130" s="2">
        <f t="shared" ref="G130:G137" si="48">LOG(F130)</f>
        <v>-7.5000381344038098</v>
      </c>
      <c r="H130" s="2" t="e">
        <f t="shared" ref="H130:H137" si="49">E130*100/$E$127</f>
        <v>#DIV/0!</v>
      </c>
    </row>
    <row r="131" spans="1:8" x14ac:dyDescent="0.2">
      <c r="A131" s="16"/>
      <c r="D131" s="2" t="e">
        <f t="shared" si="45"/>
        <v>#DIV/0!</v>
      </c>
      <c r="E131" s="2" t="e">
        <f t="shared" si="46"/>
        <v>#DIV/0!</v>
      </c>
      <c r="F131" s="3">
        <f t="shared" si="47"/>
        <v>9.998243999999998E-9</v>
      </c>
      <c r="G131" s="2">
        <f t="shared" si="48"/>
        <v>-8.0000762688076197</v>
      </c>
      <c r="H131" s="2" t="e">
        <f t="shared" si="49"/>
        <v>#DIV/0!</v>
      </c>
    </row>
    <row r="132" spans="1:8" ht="15" x14ac:dyDescent="0.2">
      <c r="A132" s="24"/>
      <c r="D132" s="2" t="e">
        <f t="shared" si="45"/>
        <v>#DIV/0!</v>
      </c>
      <c r="E132" s="2" t="e">
        <f t="shared" si="46"/>
        <v>#DIV/0!</v>
      </c>
      <c r="F132" s="3">
        <f t="shared" si="47"/>
        <v>3.161444752799999E-9</v>
      </c>
      <c r="G132" s="2">
        <f t="shared" si="48"/>
        <v>-8.5001144032114286</v>
      </c>
      <c r="H132" s="2" t="e">
        <f t="shared" si="49"/>
        <v>#DIV/0!</v>
      </c>
    </row>
    <row r="133" spans="1:8" x14ac:dyDescent="0.2">
      <c r="A133" s="16"/>
      <c r="D133" s="2" t="e">
        <f t="shared" si="45"/>
        <v>#DIV/0!</v>
      </c>
      <c r="E133" s="2" t="e">
        <f t="shared" si="46"/>
        <v>#DIV/0!</v>
      </c>
      <c r="F133" s="3">
        <f t="shared" si="47"/>
        <v>9.9964883083535969E-10</v>
      </c>
      <c r="G133" s="2">
        <f t="shared" si="48"/>
        <v>-9.0001525376152394</v>
      </c>
      <c r="H133" s="2" t="e">
        <f t="shared" si="49"/>
        <v>#DIV/0!</v>
      </c>
    </row>
    <row r="134" spans="1:8" x14ac:dyDescent="0.2">
      <c r="A134" s="16"/>
      <c r="D134" s="2" t="e">
        <f t="shared" si="45"/>
        <v>#DIV/0!</v>
      </c>
      <c r="E134" s="2" t="e">
        <f t="shared" si="46"/>
        <v>#DIV/0!</v>
      </c>
      <c r="F134" s="3">
        <f t="shared" si="47"/>
        <v>3.1608896031014073E-10</v>
      </c>
      <c r="G134" s="2">
        <f t="shared" si="48"/>
        <v>-9.5001906720190483</v>
      </c>
      <c r="H134" s="2" t="e">
        <f t="shared" si="49"/>
        <v>#DIV/0!</v>
      </c>
    </row>
    <row r="135" spans="1:8" x14ac:dyDescent="0.2">
      <c r="A135" s="16"/>
      <c r="D135" s="2" t="e">
        <f t="shared" si="45"/>
        <v>#DIV/0!</v>
      </c>
      <c r="E135" s="2" t="e">
        <f>D135-$D$128</f>
        <v>#DIV/0!</v>
      </c>
      <c r="F135" s="3">
        <f t="shared" si="47"/>
        <v>9.9947329250066487E-11</v>
      </c>
      <c r="G135" s="2">
        <f t="shared" si="48"/>
        <v>-10.000228806422859</v>
      </c>
      <c r="H135" s="2" t="e">
        <f t="shared" si="49"/>
        <v>#DIV/0!</v>
      </c>
    </row>
    <row r="136" spans="1:8" x14ac:dyDescent="0.2">
      <c r="A136" s="16"/>
      <c r="D136" s="2" t="e">
        <f t="shared" si="45"/>
        <v>#DIV/0!</v>
      </c>
      <c r="E136" s="2" t="e">
        <f>D136-$D$128</f>
        <v>#DIV/0!</v>
      </c>
      <c r="F136" s="3">
        <f t="shared" si="47"/>
        <v>3.1603345508871023E-11</v>
      </c>
      <c r="G136" s="2">
        <f t="shared" si="48"/>
        <v>-10.500266940826668</v>
      </c>
      <c r="H136" s="2" t="e">
        <f t="shared" si="49"/>
        <v>#DIV/0!</v>
      </c>
    </row>
    <row r="137" spans="1:8" x14ac:dyDescent="0.2">
      <c r="A137" s="16"/>
      <c r="D137" s="2" t="e">
        <f t="shared" si="45"/>
        <v>#DIV/0!</v>
      </c>
      <c r="E137" s="2" t="e">
        <f>D137-$D$128</f>
        <v>#DIV/0!</v>
      </c>
      <c r="F137" s="3">
        <f t="shared" si="47"/>
        <v>9.9929778499050173E-12</v>
      </c>
      <c r="G137" s="2">
        <f t="shared" si="48"/>
        <v>-11.000305075230479</v>
      </c>
      <c r="H137" s="2" t="e">
        <f t="shared" si="49"/>
        <v>#DIV/0!</v>
      </c>
    </row>
    <row r="138" spans="1:8" x14ac:dyDescent="0.2">
      <c r="A138" s="16"/>
      <c r="D138" s="2" t="e">
        <f t="shared" si="45"/>
        <v>#DIV/0!</v>
      </c>
      <c r="E138" s="2"/>
      <c r="F138" s="3"/>
      <c r="G138" s="2"/>
      <c r="H138" s="2"/>
    </row>
    <row r="139" spans="1:8" x14ac:dyDescent="0.2">
      <c r="A139" s="16"/>
      <c r="D139" t="s">
        <v>101</v>
      </c>
      <c r="E139" t="s">
        <v>102</v>
      </c>
      <c r="F139" t="s">
        <v>103</v>
      </c>
      <c r="G139" t="s">
        <v>104</v>
      </c>
      <c r="H139" s="7" t="s">
        <v>105</v>
      </c>
    </row>
    <row r="140" spans="1:8" x14ac:dyDescent="0.2">
      <c r="A140" s="16" t="s">
        <v>117</v>
      </c>
      <c r="D140" s="2" t="e">
        <f>AVERAGE(B140:C140)</f>
        <v>#DIV/0!</v>
      </c>
      <c r="E140" s="2" t="e">
        <f>AVERAGE(D140,D151)-$D$141</f>
        <v>#DIV/0!</v>
      </c>
      <c r="H140" s="2" t="e">
        <f>E140*100/$E$140</f>
        <v>#DIV/0!</v>
      </c>
    </row>
    <row r="141" spans="1:8" x14ac:dyDescent="0.2">
      <c r="A141" s="16"/>
      <c r="D141" s="2" t="e">
        <f t="shared" ref="D141:D151" si="50">AVERAGE(B141:C141)</f>
        <v>#DIV/0!</v>
      </c>
      <c r="E141" s="2" t="e">
        <f>D141-$D$141</f>
        <v>#DIV/0!</v>
      </c>
      <c r="H141" s="2"/>
    </row>
    <row r="142" spans="1:8" x14ac:dyDescent="0.2">
      <c r="A142" s="9"/>
      <c r="D142" s="2" t="e">
        <f t="shared" si="50"/>
        <v>#DIV/0!</v>
      </c>
      <c r="E142" s="2" t="e">
        <f>D142-$D$141</f>
        <v>#DIV/0!</v>
      </c>
      <c r="F142" s="3">
        <v>1E-8</v>
      </c>
      <c r="G142" s="2">
        <f>LOG(F142)</f>
        <v>-8</v>
      </c>
      <c r="H142" s="2" t="e">
        <f>E142*100/$E$140</f>
        <v>#DIV/0!</v>
      </c>
    </row>
    <row r="143" spans="1:8" x14ac:dyDescent="0.2">
      <c r="A143" s="17"/>
      <c r="D143" s="2" t="e">
        <f t="shared" si="50"/>
        <v>#DIV/0!</v>
      </c>
      <c r="E143" s="2" t="e">
        <f>D143-$D$141</f>
        <v>#DIV/0!</v>
      </c>
      <c r="F143" s="3">
        <f t="shared" ref="F143:F150" si="51">F142*0.3162</f>
        <v>3.162E-9</v>
      </c>
      <c r="G143" s="2">
        <f t="shared" ref="G143:G150" si="52">LOG(F143)</f>
        <v>-8.500038134403809</v>
      </c>
      <c r="H143" s="2" t="e">
        <f t="shared" ref="H143:H150" si="53">E143*100/$E$140</f>
        <v>#DIV/0!</v>
      </c>
    </row>
    <row r="144" spans="1:8" ht="15" x14ac:dyDescent="0.2">
      <c r="A144" s="24"/>
      <c r="D144" s="2" t="e">
        <f t="shared" si="50"/>
        <v>#DIV/0!</v>
      </c>
      <c r="E144" s="2" t="e">
        <f>D144-$D$141</f>
        <v>#DIV/0!</v>
      </c>
      <c r="F144" s="3">
        <f t="shared" si="51"/>
        <v>9.9982439999999992E-10</v>
      </c>
      <c r="G144" s="2">
        <f t="shared" si="52"/>
        <v>-9.0000762688076197</v>
      </c>
      <c r="H144" s="2" t="e">
        <f t="shared" si="53"/>
        <v>#DIV/0!</v>
      </c>
    </row>
    <row r="145" spans="1:8" x14ac:dyDescent="0.2">
      <c r="A145" s="16"/>
      <c r="D145" s="2" t="e">
        <f t="shared" si="50"/>
        <v>#DIV/0!</v>
      </c>
      <c r="E145" s="2" t="e">
        <f t="shared" ref="E145:E150" si="54">D145-$D$141</f>
        <v>#DIV/0!</v>
      </c>
      <c r="F145" s="3">
        <f t="shared" si="51"/>
        <v>3.1614447527999995E-10</v>
      </c>
      <c r="G145" s="2">
        <f t="shared" si="52"/>
        <v>-9.5001144032114286</v>
      </c>
      <c r="H145" s="2" t="e">
        <f t="shared" si="53"/>
        <v>#DIV/0!</v>
      </c>
    </row>
    <row r="146" spans="1:8" x14ac:dyDescent="0.2">
      <c r="A146" s="16"/>
      <c r="D146" s="2" t="e">
        <f t="shared" si="50"/>
        <v>#DIV/0!</v>
      </c>
      <c r="E146" s="2" t="e">
        <f t="shared" si="54"/>
        <v>#DIV/0!</v>
      </c>
      <c r="F146" s="3">
        <f t="shared" si="51"/>
        <v>9.9964883083535979E-11</v>
      </c>
      <c r="G146" s="2">
        <f t="shared" si="52"/>
        <v>-10.000152537615239</v>
      </c>
      <c r="H146" s="2" t="e">
        <f t="shared" si="53"/>
        <v>#DIV/0!</v>
      </c>
    </row>
    <row r="147" spans="1:8" x14ac:dyDescent="0.2">
      <c r="A147" s="16"/>
      <c r="D147" s="2" t="e">
        <f t="shared" si="50"/>
        <v>#DIV/0!</v>
      </c>
      <c r="E147" s="2" t="e">
        <f t="shared" si="54"/>
        <v>#DIV/0!</v>
      </c>
      <c r="F147" s="3">
        <f t="shared" si="51"/>
        <v>3.1608896031014074E-11</v>
      </c>
      <c r="G147" s="2">
        <f t="shared" si="52"/>
        <v>-10.500190672019048</v>
      </c>
      <c r="H147" s="2" t="e">
        <f t="shared" si="53"/>
        <v>#DIV/0!</v>
      </c>
    </row>
    <row r="148" spans="1:8" x14ac:dyDescent="0.2">
      <c r="A148" s="16"/>
      <c r="D148" s="2" t="e">
        <f t="shared" si="50"/>
        <v>#DIV/0!</v>
      </c>
      <c r="E148" s="2" t="e">
        <f t="shared" si="54"/>
        <v>#DIV/0!</v>
      </c>
      <c r="F148" s="3">
        <f t="shared" si="51"/>
        <v>9.99473292500665E-12</v>
      </c>
      <c r="G148" s="2">
        <f t="shared" si="52"/>
        <v>-11.000228806422859</v>
      </c>
      <c r="H148" s="2" t="e">
        <f t="shared" si="53"/>
        <v>#DIV/0!</v>
      </c>
    </row>
    <row r="149" spans="1:8" x14ac:dyDescent="0.2">
      <c r="A149" s="16"/>
      <c r="D149" s="2" t="e">
        <f t="shared" si="50"/>
        <v>#DIV/0!</v>
      </c>
      <c r="E149" s="2" t="e">
        <f t="shared" si="54"/>
        <v>#DIV/0!</v>
      </c>
      <c r="F149" s="3">
        <f t="shared" si="51"/>
        <v>3.1603345508871027E-12</v>
      </c>
      <c r="G149" s="2">
        <f t="shared" si="52"/>
        <v>-11.500266940826668</v>
      </c>
      <c r="H149" s="2" t="e">
        <f t="shared" si="53"/>
        <v>#DIV/0!</v>
      </c>
    </row>
    <row r="150" spans="1:8" x14ac:dyDescent="0.2">
      <c r="D150" s="2" t="e">
        <f t="shared" si="50"/>
        <v>#DIV/0!</v>
      </c>
      <c r="E150" s="2" t="e">
        <f t="shared" si="54"/>
        <v>#DIV/0!</v>
      </c>
      <c r="F150" s="3">
        <f t="shared" si="51"/>
        <v>9.9929778499050177E-13</v>
      </c>
      <c r="G150" s="2">
        <f t="shared" si="52"/>
        <v>-12.000305075230479</v>
      </c>
      <c r="H150" s="2" t="e">
        <f t="shared" si="53"/>
        <v>#DIV/0!</v>
      </c>
    </row>
    <row r="151" spans="1:8" x14ac:dyDescent="0.2">
      <c r="A151" s="16"/>
      <c r="D151" s="2" t="e">
        <f t="shared" si="50"/>
        <v>#DIV/0!</v>
      </c>
      <c r="E151" s="2"/>
      <c r="F151" s="3"/>
      <c r="G151" s="2"/>
      <c r="H151" s="2"/>
    </row>
    <row r="152" spans="1:8" x14ac:dyDescent="0.2">
      <c r="A152" s="16"/>
      <c r="D152" t="s">
        <v>101</v>
      </c>
      <c r="E152" t="s">
        <v>102</v>
      </c>
      <c r="F152" t="s">
        <v>103</v>
      </c>
      <c r="G152" t="s">
        <v>104</v>
      </c>
      <c r="H152" s="7" t="s">
        <v>105</v>
      </c>
    </row>
    <row r="153" spans="1:8" x14ac:dyDescent="0.2">
      <c r="A153" s="16" t="s">
        <v>118</v>
      </c>
      <c r="D153" s="2" t="e">
        <f>AVERAGE(B153:C153)</f>
        <v>#DIV/0!</v>
      </c>
      <c r="E153" s="2" t="e">
        <f>AVERAGE(D153,D164)-$D$154</f>
        <v>#DIV/0!</v>
      </c>
      <c r="H153" s="2" t="e">
        <f>E153*100/$E$153</f>
        <v>#DIV/0!</v>
      </c>
    </row>
    <row r="154" spans="1:8" x14ac:dyDescent="0.2">
      <c r="A154" s="16"/>
      <c r="D154" s="2" t="e">
        <f t="shared" ref="D154:D163" si="55">AVERAGE(B154:C154)</f>
        <v>#DIV/0!</v>
      </c>
      <c r="E154" s="2" t="e">
        <f>D154-$D$154</f>
        <v>#DIV/0!</v>
      </c>
      <c r="H154" s="2"/>
    </row>
    <row r="155" spans="1:8" x14ac:dyDescent="0.2">
      <c r="A155" s="9"/>
      <c r="D155" s="2" t="e">
        <f t="shared" si="55"/>
        <v>#DIV/0!</v>
      </c>
      <c r="E155" s="2" t="e">
        <f>D155-$D$154</f>
        <v>#DIV/0!</v>
      </c>
      <c r="F155" s="3">
        <v>1E-8</v>
      </c>
      <c r="G155" s="2">
        <f>LOG(F155)</f>
        <v>-8</v>
      </c>
      <c r="H155" s="2" t="e">
        <f>E155*100/$E$153</f>
        <v>#DIV/0!</v>
      </c>
    </row>
    <row r="156" spans="1:8" x14ac:dyDescent="0.2">
      <c r="A156" s="17"/>
      <c r="D156" s="2" t="e">
        <f t="shared" si="55"/>
        <v>#DIV/0!</v>
      </c>
      <c r="E156" s="2" t="e">
        <f>D156-$D$154</f>
        <v>#DIV/0!</v>
      </c>
      <c r="F156" s="3">
        <f t="shared" ref="F156:F163" si="56">F155*0.3162</f>
        <v>3.162E-9</v>
      </c>
      <c r="G156" s="2">
        <f t="shared" ref="G156:G163" si="57">LOG(F156)</f>
        <v>-8.500038134403809</v>
      </c>
      <c r="H156" s="2" t="e">
        <f t="shared" ref="H156:H163" si="58">E156*100/$E$153</f>
        <v>#DIV/0!</v>
      </c>
    </row>
    <row r="157" spans="1:8" ht="15.75" x14ac:dyDescent="0.2">
      <c r="A157" s="23"/>
      <c r="D157" s="2" t="e">
        <f t="shared" si="55"/>
        <v>#DIV/0!</v>
      </c>
      <c r="E157" s="2" t="e">
        <f>D157-$D$154</f>
        <v>#DIV/0!</v>
      </c>
      <c r="F157" s="3">
        <f t="shared" si="56"/>
        <v>9.9982439999999992E-10</v>
      </c>
      <c r="G157" s="2">
        <f t="shared" si="57"/>
        <v>-9.0000762688076197</v>
      </c>
      <c r="H157" s="2" t="e">
        <f t="shared" si="58"/>
        <v>#DIV/0!</v>
      </c>
    </row>
    <row r="158" spans="1:8" x14ac:dyDescent="0.2">
      <c r="A158" s="16"/>
      <c r="D158" s="2" t="e">
        <f t="shared" si="55"/>
        <v>#DIV/0!</v>
      </c>
      <c r="E158" s="2" t="e">
        <f t="shared" ref="E158:E163" si="59">D158-$D$154</f>
        <v>#DIV/0!</v>
      </c>
      <c r="F158" s="3">
        <f t="shared" si="56"/>
        <v>3.1614447527999995E-10</v>
      </c>
      <c r="G158" s="2">
        <f t="shared" si="57"/>
        <v>-9.5001144032114286</v>
      </c>
      <c r="H158" s="2" t="e">
        <f t="shared" si="58"/>
        <v>#DIV/0!</v>
      </c>
    </row>
    <row r="159" spans="1:8" x14ac:dyDescent="0.2">
      <c r="A159" s="18"/>
      <c r="D159" s="2" t="e">
        <f t="shared" si="55"/>
        <v>#DIV/0!</v>
      </c>
      <c r="E159" s="2" t="e">
        <f t="shared" si="59"/>
        <v>#DIV/0!</v>
      </c>
      <c r="F159" s="3">
        <f t="shared" si="56"/>
        <v>9.9964883083535979E-11</v>
      </c>
      <c r="G159" s="2">
        <f t="shared" si="57"/>
        <v>-10.000152537615239</v>
      </c>
      <c r="H159" s="2" t="e">
        <f t="shared" si="58"/>
        <v>#DIV/0!</v>
      </c>
    </row>
    <row r="160" spans="1:8" x14ac:dyDescent="0.2">
      <c r="A160" s="16"/>
      <c r="D160" s="2" t="e">
        <f t="shared" si="55"/>
        <v>#DIV/0!</v>
      </c>
      <c r="E160" s="2" t="e">
        <f t="shared" si="59"/>
        <v>#DIV/0!</v>
      </c>
      <c r="F160" s="3">
        <f t="shared" si="56"/>
        <v>3.1608896031014074E-11</v>
      </c>
      <c r="G160" s="2">
        <f t="shared" si="57"/>
        <v>-10.500190672019048</v>
      </c>
      <c r="H160" s="2" t="e">
        <f t="shared" si="58"/>
        <v>#DIV/0!</v>
      </c>
    </row>
    <row r="161" spans="1:8" x14ac:dyDescent="0.2">
      <c r="A161" s="16"/>
      <c r="D161" s="2" t="e">
        <f t="shared" si="55"/>
        <v>#DIV/0!</v>
      </c>
      <c r="E161" s="2" t="e">
        <f t="shared" si="59"/>
        <v>#DIV/0!</v>
      </c>
      <c r="F161" s="3">
        <f t="shared" si="56"/>
        <v>9.99473292500665E-12</v>
      </c>
      <c r="G161" s="2">
        <f t="shared" si="57"/>
        <v>-11.000228806422859</v>
      </c>
      <c r="H161" s="2" t="e">
        <f t="shared" si="58"/>
        <v>#DIV/0!</v>
      </c>
    </row>
    <row r="162" spans="1:8" x14ac:dyDescent="0.2">
      <c r="A162" s="16"/>
      <c r="D162" s="2" t="e">
        <f t="shared" si="55"/>
        <v>#DIV/0!</v>
      </c>
      <c r="E162" s="2" t="e">
        <f t="shared" si="59"/>
        <v>#DIV/0!</v>
      </c>
      <c r="F162" s="3">
        <f t="shared" si="56"/>
        <v>3.1603345508871027E-12</v>
      </c>
      <c r="G162" s="2">
        <f t="shared" si="57"/>
        <v>-11.500266940826668</v>
      </c>
      <c r="H162" s="2" t="e">
        <f t="shared" si="58"/>
        <v>#DIV/0!</v>
      </c>
    </row>
    <row r="163" spans="1:8" x14ac:dyDescent="0.2">
      <c r="D163" s="2" t="e">
        <f t="shared" si="55"/>
        <v>#DIV/0!</v>
      </c>
      <c r="E163" s="2" t="e">
        <f t="shared" si="59"/>
        <v>#DIV/0!</v>
      </c>
      <c r="F163" s="3">
        <f t="shared" si="56"/>
        <v>9.9929778499050177E-13</v>
      </c>
      <c r="G163" s="2">
        <f t="shared" si="57"/>
        <v>-12.000305075230479</v>
      </c>
      <c r="H163" s="2" t="e">
        <f t="shared" si="58"/>
        <v>#DIV/0!</v>
      </c>
    </row>
    <row r="164" spans="1:8" x14ac:dyDescent="0.2">
      <c r="A164" s="16"/>
      <c r="D164" s="2" t="e">
        <f>AVERAGE(B164:C164)</f>
        <v>#DIV/0!</v>
      </c>
      <c r="E164" s="2"/>
      <c r="F164" s="3"/>
      <c r="G164" s="2"/>
      <c r="H164" s="2"/>
    </row>
    <row r="165" spans="1:8" x14ac:dyDescent="0.2">
      <c r="A165" s="16"/>
      <c r="D165" t="s">
        <v>101</v>
      </c>
      <c r="E165" t="s">
        <v>102</v>
      </c>
      <c r="F165" t="s">
        <v>103</v>
      </c>
      <c r="G165" t="s">
        <v>104</v>
      </c>
      <c r="H165" s="7" t="s">
        <v>105</v>
      </c>
    </row>
    <row r="166" spans="1:8" x14ac:dyDescent="0.2">
      <c r="A166" s="16" t="s">
        <v>125</v>
      </c>
      <c r="D166" s="2" t="e">
        <f>AVERAGE(B166:C166)</f>
        <v>#DIV/0!</v>
      </c>
      <c r="E166" s="2" t="e">
        <f>AVERAGE(D166,D177)-$D$167</f>
        <v>#DIV/0!</v>
      </c>
      <c r="H166" s="2" t="e">
        <f>E166*100/$E$166</f>
        <v>#DIV/0!</v>
      </c>
    </row>
    <row r="167" spans="1:8" x14ac:dyDescent="0.2">
      <c r="A167" s="16"/>
      <c r="D167" s="2" t="e">
        <f t="shared" ref="D167:D176" si="60">AVERAGE(B167:C167)</f>
        <v>#DIV/0!</v>
      </c>
      <c r="E167" s="2" t="e">
        <f>D167-$D$167</f>
        <v>#DIV/0!</v>
      </c>
      <c r="H167" s="2"/>
    </row>
    <row r="168" spans="1:8" x14ac:dyDescent="0.2">
      <c r="A168" s="26"/>
      <c r="D168" s="2" t="e">
        <f t="shared" si="60"/>
        <v>#DIV/0!</v>
      </c>
      <c r="E168" s="2" t="e">
        <f>D168-$D$167</f>
        <v>#DIV/0!</v>
      </c>
      <c r="F168" s="3">
        <v>9.9999999999999995E-8</v>
      </c>
      <c r="G168" s="2">
        <f>LOG(F168)</f>
        <v>-7</v>
      </c>
      <c r="H168" s="2" t="e">
        <f>E168*100/$E$166</f>
        <v>#DIV/0!</v>
      </c>
    </row>
    <row r="169" spans="1:8" x14ac:dyDescent="0.2">
      <c r="A169" s="17"/>
      <c r="D169" s="2" t="e">
        <f t="shared" si="60"/>
        <v>#DIV/0!</v>
      </c>
      <c r="E169" s="2" t="e">
        <f>D169-$D$167</f>
        <v>#DIV/0!</v>
      </c>
      <c r="F169" s="3">
        <f>F168*0.3162</f>
        <v>3.1619999999999995E-8</v>
      </c>
      <c r="G169" s="2">
        <f t="shared" ref="G169:G176" si="61">LOG(F169)</f>
        <v>-7.5000381344038098</v>
      </c>
      <c r="H169" s="2" t="e">
        <f t="shared" ref="H169:H176" si="62">E169*100/$E$166</f>
        <v>#DIV/0!</v>
      </c>
    </row>
    <row r="170" spans="1:8" x14ac:dyDescent="0.2">
      <c r="A170" s="18"/>
      <c r="D170" s="2" t="e">
        <f t="shared" si="60"/>
        <v>#DIV/0!</v>
      </c>
      <c r="E170" s="2" t="e">
        <f t="shared" ref="E170:E176" si="63">D170-$D$167</f>
        <v>#DIV/0!</v>
      </c>
      <c r="F170" s="3">
        <f t="shared" ref="F170:F176" si="64">F169*0.3162</f>
        <v>9.998243999999998E-9</v>
      </c>
      <c r="G170" s="2">
        <f t="shared" si="61"/>
        <v>-8.0000762688076197</v>
      </c>
      <c r="H170" s="2" t="e">
        <f t="shared" si="62"/>
        <v>#DIV/0!</v>
      </c>
    </row>
    <row r="171" spans="1:8" x14ac:dyDescent="0.2">
      <c r="A171" s="16"/>
      <c r="D171" s="2" t="e">
        <f t="shared" si="60"/>
        <v>#DIV/0!</v>
      </c>
      <c r="E171" s="2" t="e">
        <f t="shared" si="63"/>
        <v>#DIV/0!</v>
      </c>
      <c r="F171" s="3">
        <f t="shared" si="64"/>
        <v>3.161444752799999E-9</v>
      </c>
      <c r="G171" s="2">
        <f t="shared" si="61"/>
        <v>-8.5001144032114286</v>
      </c>
      <c r="H171" s="2" t="e">
        <f t="shared" si="62"/>
        <v>#DIV/0!</v>
      </c>
    </row>
    <row r="172" spans="1:8" x14ac:dyDescent="0.2">
      <c r="A172" s="16"/>
      <c r="D172" s="2" t="e">
        <f t="shared" si="60"/>
        <v>#DIV/0!</v>
      </c>
      <c r="E172" s="2" t="e">
        <f t="shared" si="63"/>
        <v>#DIV/0!</v>
      </c>
      <c r="F172" s="3">
        <f t="shared" si="64"/>
        <v>9.9964883083535969E-10</v>
      </c>
      <c r="G172" s="2">
        <f t="shared" si="61"/>
        <v>-9.0001525376152394</v>
      </c>
      <c r="H172" s="2" t="e">
        <f t="shared" si="62"/>
        <v>#DIV/0!</v>
      </c>
    </row>
    <row r="173" spans="1:8" x14ac:dyDescent="0.2">
      <c r="A173" s="16"/>
      <c r="D173" s="2" t="e">
        <f t="shared" si="60"/>
        <v>#DIV/0!</v>
      </c>
      <c r="E173" s="2" t="e">
        <f t="shared" si="63"/>
        <v>#DIV/0!</v>
      </c>
      <c r="F173" s="3">
        <f t="shared" si="64"/>
        <v>3.1608896031014073E-10</v>
      </c>
      <c r="G173" s="2">
        <f t="shared" si="61"/>
        <v>-9.5001906720190483</v>
      </c>
      <c r="H173" s="2" t="e">
        <f t="shared" si="62"/>
        <v>#DIV/0!</v>
      </c>
    </row>
    <row r="174" spans="1:8" x14ac:dyDescent="0.2">
      <c r="A174" s="16"/>
      <c r="D174" s="2" t="e">
        <f t="shared" si="60"/>
        <v>#DIV/0!</v>
      </c>
      <c r="E174" s="2" t="e">
        <f t="shared" si="63"/>
        <v>#DIV/0!</v>
      </c>
      <c r="F174" s="3">
        <f t="shared" si="64"/>
        <v>9.9947329250066487E-11</v>
      </c>
      <c r="G174" s="2">
        <f t="shared" si="61"/>
        <v>-10.000228806422859</v>
      </c>
      <c r="H174" s="2" t="e">
        <f t="shared" si="62"/>
        <v>#DIV/0!</v>
      </c>
    </row>
    <row r="175" spans="1:8" x14ac:dyDescent="0.2">
      <c r="A175" s="16"/>
      <c r="D175" s="2" t="e">
        <f t="shared" si="60"/>
        <v>#DIV/0!</v>
      </c>
      <c r="E175" s="2" t="e">
        <f t="shared" si="63"/>
        <v>#DIV/0!</v>
      </c>
      <c r="F175" s="3">
        <f t="shared" si="64"/>
        <v>3.1603345508871023E-11</v>
      </c>
      <c r="G175" s="2">
        <f t="shared" si="61"/>
        <v>-10.500266940826668</v>
      </c>
      <c r="H175" s="2" t="e">
        <f t="shared" si="62"/>
        <v>#DIV/0!</v>
      </c>
    </row>
    <row r="176" spans="1:8" x14ac:dyDescent="0.2">
      <c r="A176" s="16"/>
      <c r="D176" s="2" t="e">
        <f t="shared" si="60"/>
        <v>#DIV/0!</v>
      </c>
      <c r="E176" s="2" t="e">
        <f t="shared" si="63"/>
        <v>#DIV/0!</v>
      </c>
      <c r="F176" s="3">
        <f t="shared" si="64"/>
        <v>9.9929778499050173E-12</v>
      </c>
      <c r="G176" s="2">
        <f t="shared" si="61"/>
        <v>-11.000305075230479</v>
      </c>
      <c r="H176" s="2" t="e">
        <f t="shared" si="62"/>
        <v>#DIV/0!</v>
      </c>
    </row>
    <row r="177" spans="1:8" x14ac:dyDescent="0.2">
      <c r="A177" s="16"/>
      <c r="D177" s="2" t="e">
        <f>AVERAGE(B177:C177)</f>
        <v>#DIV/0!</v>
      </c>
      <c r="E177" s="2"/>
      <c r="F177" s="3"/>
      <c r="G177" s="2"/>
      <c r="H177" s="2"/>
    </row>
    <row r="178" spans="1:8" x14ac:dyDescent="0.2">
      <c r="A178" s="16"/>
      <c r="D178" t="s">
        <v>101</v>
      </c>
      <c r="E178" t="s">
        <v>102</v>
      </c>
      <c r="F178" t="s">
        <v>103</v>
      </c>
      <c r="G178" t="s">
        <v>104</v>
      </c>
      <c r="H178" s="7" t="s">
        <v>105</v>
      </c>
    </row>
    <row r="179" spans="1:8" x14ac:dyDescent="0.2">
      <c r="A179" s="16" t="s">
        <v>126</v>
      </c>
      <c r="D179" s="2" t="e">
        <f>AVERAGE(B179:C179)</f>
        <v>#DIV/0!</v>
      </c>
      <c r="E179" s="2" t="e">
        <f>AVERAGE(D179,D190)-$D$180</f>
        <v>#DIV/0!</v>
      </c>
      <c r="H179" s="2" t="e">
        <f>E179*100/$E$179</f>
        <v>#DIV/0!</v>
      </c>
    </row>
    <row r="180" spans="1:8" x14ac:dyDescent="0.2">
      <c r="A180" s="16"/>
      <c r="D180" s="2" t="e">
        <f t="shared" ref="D180:D190" si="65">AVERAGE(B180:C180)</f>
        <v>#DIV/0!</v>
      </c>
      <c r="E180" s="2" t="e">
        <f t="shared" ref="E180:E185" si="66">D180-$D$180</f>
        <v>#DIV/0!</v>
      </c>
      <c r="H180" s="2"/>
    </row>
    <row r="181" spans="1:8" x14ac:dyDescent="0.2">
      <c r="A181" s="26"/>
      <c r="D181" s="2" t="e">
        <f t="shared" si="65"/>
        <v>#DIV/0!</v>
      </c>
      <c r="E181" s="2" t="e">
        <f t="shared" si="66"/>
        <v>#DIV/0!</v>
      </c>
      <c r="F181" s="3">
        <v>1E-8</v>
      </c>
      <c r="G181" s="2">
        <f>LOG(F181)</f>
        <v>-8</v>
      </c>
      <c r="H181" s="2" t="e">
        <f>E181*100/$E$179</f>
        <v>#DIV/0!</v>
      </c>
    </row>
    <row r="182" spans="1:8" x14ac:dyDescent="0.2">
      <c r="A182" s="17"/>
      <c r="D182" s="2" t="e">
        <f t="shared" si="65"/>
        <v>#DIV/0!</v>
      </c>
      <c r="E182" s="2" t="e">
        <f t="shared" si="66"/>
        <v>#DIV/0!</v>
      </c>
      <c r="F182" s="3">
        <f t="shared" ref="F182:F189" si="67">F181*0.3162</f>
        <v>3.162E-9</v>
      </c>
      <c r="G182" s="2">
        <f t="shared" ref="G182:G189" si="68">LOG(F182)</f>
        <v>-8.500038134403809</v>
      </c>
      <c r="H182" s="2" t="e">
        <f t="shared" ref="H182:H189" si="69">E182*100/$E$179</f>
        <v>#DIV/0!</v>
      </c>
    </row>
    <row r="183" spans="1:8" x14ac:dyDescent="0.2">
      <c r="A183" s="16"/>
      <c r="D183" s="2" t="e">
        <f t="shared" si="65"/>
        <v>#DIV/0!</v>
      </c>
      <c r="E183" s="2" t="e">
        <f t="shared" si="66"/>
        <v>#DIV/0!</v>
      </c>
      <c r="F183" s="3">
        <f t="shared" si="67"/>
        <v>9.9982439999999992E-10</v>
      </c>
      <c r="G183" s="2">
        <f t="shared" si="68"/>
        <v>-9.0000762688076197</v>
      </c>
      <c r="H183" s="2" t="e">
        <f t="shared" si="69"/>
        <v>#DIV/0!</v>
      </c>
    </row>
    <row r="184" spans="1:8" x14ac:dyDescent="0.2">
      <c r="A184" s="16"/>
      <c r="D184" s="2" t="e">
        <f t="shared" si="65"/>
        <v>#DIV/0!</v>
      </c>
      <c r="E184" s="2" t="e">
        <f t="shared" si="66"/>
        <v>#DIV/0!</v>
      </c>
      <c r="F184" s="3">
        <f t="shared" si="67"/>
        <v>3.1614447527999995E-10</v>
      </c>
      <c r="G184" s="2">
        <f t="shared" si="68"/>
        <v>-9.5001144032114286</v>
      </c>
      <c r="H184" s="2" t="e">
        <f t="shared" si="69"/>
        <v>#DIV/0!</v>
      </c>
    </row>
    <row r="185" spans="1:8" x14ac:dyDescent="0.2">
      <c r="A185" s="16"/>
      <c r="D185" s="2" t="e">
        <f t="shared" si="65"/>
        <v>#DIV/0!</v>
      </c>
      <c r="E185" s="2" t="e">
        <f t="shared" si="66"/>
        <v>#DIV/0!</v>
      </c>
      <c r="F185" s="3">
        <f t="shared" si="67"/>
        <v>9.9964883083535979E-11</v>
      </c>
      <c r="G185" s="2">
        <f t="shared" si="68"/>
        <v>-10.000152537615239</v>
      </c>
      <c r="H185" s="2" t="e">
        <f t="shared" si="69"/>
        <v>#DIV/0!</v>
      </c>
    </row>
    <row r="186" spans="1:8" x14ac:dyDescent="0.2">
      <c r="A186" s="16"/>
      <c r="D186" s="2" t="e">
        <f t="shared" si="65"/>
        <v>#DIV/0!</v>
      </c>
      <c r="E186" s="2" t="e">
        <f>D186-$D$180</f>
        <v>#DIV/0!</v>
      </c>
      <c r="F186" s="3">
        <f t="shared" si="67"/>
        <v>3.1608896031014074E-11</v>
      </c>
      <c r="G186" s="2">
        <f t="shared" si="68"/>
        <v>-10.500190672019048</v>
      </c>
      <c r="H186" s="2" t="e">
        <f t="shared" si="69"/>
        <v>#DIV/0!</v>
      </c>
    </row>
    <row r="187" spans="1:8" x14ac:dyDescent="0.2">
      <c r="A187" s="16"/>
      <c r="D187" s="2" t="e">
        <f t="shared" si="65"/>
        <v>#DIV/0!</v>
      </c>
      <c r="E187" s="2" t="e">
        <f>D187-$D$180</f>
        <v>#DIV/0!</v>
      </c>
      <c r="F187" s="3">
        <f t="shared" si="67"/>
        <v>9.99473292500665E-12</v>
      </c>
      <c r="G187" s="2">
        <f t="shared" si="68"/>
        <v>-11.000228806422859</v>
      </c>
      <c r="H187" s="2" t="e">
        <f t="shared" si="69"/>
        <v>#DIV/0!</v>
      </c>
    </row>
    <row r="188" spans="1:8" x14ac:dyDescent="0.2">
      <c r="A188" s="16"/>
      <c r="D188" s="2" t="e">
        <f t="shared" si="65"/>
        <v>#DIV/0!</v>
      </c>
      <c r="E188" s="2" t="e">
        <f>D188-$D$180</f>
        <v>#DIV/0!</v>
      </c>
      <c r="F188" s="3">
        <f t="shared" si="67"/>
        <v>3.1603345508871027E-12</v>
      </c>
      <c r="G188" s="2">
        <f t="shared" si="68"/>
        <v>-11.500266940826668</v>
      </c>
      <c r="H188" s="2" t="e">
        <f t="shared" si="69"/>
        <v>#DIV/0!</v>
      </c>
    </row>
    <row r="189" spans="1:8" x14ac:dyDescent="0.2">
      <c r="A189" s="16"/>
      <c r="D189" s="2" t="e">
        <f t="shared" si="65"/>
        <v>#DIV/0!</v>
      </c>
      <c r="E189" s="2" t="e">
        <f>D189-$D$180</f>
        <v>#DIV/0!</v>
      </c>
      <c r="F189" s="3">
        <f t="shared" si="67"/>
        <v>9.9929778499050177E-13</v>
      </c>
      <c r="G189" s="2">
        <f t="shared" si="68"/>
        <v>-12.000305075230479</v>
      </c>
      <c r="H189" s="2" t="e">
        <f t="shared" si="69"/>
        <v>#DIV/0!</v>
      </c>
    </row>
    <row r="190" spans="1:8" x14ac:dyDescent="0.2">
      <c r="A190" s="16"/>
      <c r="D190" s="2" t="e">
        <f t="shared" si="65"/>
        <v>#DIV/0!</v>
      </c>
      <c r="E190" s="2"/>
      <c r="F190" s="3"/>
      <c r="G190" s="2"/>
      <c r="H190" s="2"/>
    </row>
    <row r="191" spans="1:8" x14ac:dyDescent="0.2">
      <c r="A191" s="16"/>
      <c r="D191" t="s">
        <v>101</v>
      </c>
      <c r="E191" t="s">
        <v>102</v>
      </c>
      <c r="F191" t="s">
        <v>103</v>
      </c>
      <c r="G191" t="s">
        <v>104</v>
      </c>
      <c r="H191" s="7" t="s">
        <v>105</v>
      </c>
    </row>
    <row r="192" spans="1:8" x14ac:dyDescent="0.2">
      <c r="A192" s="16" t="s">
        <v>127</v>
      </c>
      <c r="D192" s="2" t="e">
        <f>AVERAGE(B192:C192)</f>
        <v>#DIV/0!</v>
      </c>
      <c r="E192" s="2" t="e">
        <f>AVERAGE(D192,D203)-$D$193</f>
        <v>#DIV/0!</v>
      </c>
      <c r="H192" s="2" t="e">
        <f>E192*100/$E$192</f>
        <v>#DIV/0!</v>
      </c>
    </row>
    <row r="193" spans="1:8" x14ac:dyDescent="0.2">
      <c r="A193" s="16"/>
      <c r="D193" s="2" t="e">
        <f t="shared" ref="D193:D203" si="70">AVERAGE(B193:C193)</f>
        <v>#DIV/0!</v>
      </c>
      <c r="E193" s="2" t="e">
        <f t="shared" ref="E193:E202" si="71">D193-$D$193</f>
        <v>#DIV/0!</v>
      </c>
      <c r="H193" s="2"/>
    </row>
    <row r="194" spans="1:8" x14ac:dyDescent="0.2">
      <c r="A194" s="26"/>
      <c r="D194" s="2" t="e">
        <f t="shared" si="70"/>
        <v>#DIV/0!</v>
      </c>
      <c r="E194" s="2" t="e">
        <f t="shared" si="71"/>
        <v>#DIV/0!</v>
      </c>
      <c r="F194" s="3">
        <v>9.9999999999999995E-7</v>
      </c>
      <c r="G194" s="2">
        <f>LOG(F194)</f>
        <v>-6</v>
      </c>
      <c r="H194" s="2" t="e">
        <f>E194*100/$E$192</f>
        <v>#DIV/0!</v>
      </c>
    </row>
    <row r="195" spans="1:8" x14ac:dyDescent="0.2">
      <c r="A195" s="17"/>
      <c r="D195" s="2" t="e">
        <f t="shared" si="70"/>
        <v>#DIV/0!</v>
      </c>
      <c r="E195" s="2" t="e">
        <f t="shared" si="71"/>
        <v>#DIV/0!</v>
      </c>
      <c r="F195" s="3">
        <f t="shared" ref="F195:F202" si="72">F194*0.3162</f>
        <v>3.1619999999999999E-7</v>
      </c>
      <c r="G195" s="2">
        <f t="shared" ref="G195:G202" si="73">LOG(F195)</f>
        <v>-6.5000381344038098</v>
      </c>
      <c r="H195" s="2" t="e">
        <f t="shared" ref="H195:H202" si="74">E195*100/$E$192</f>
        <v>#DIV/0!</v>
      </c>
    </row>
    <row r="196" spans="1:8" x14ac:dyDescent="0.2">
      <c r="A196" s="18"/>
      <c r="D196" s="2" t="e">
        <f t="shared" si="70"/>
        <v>#DIV/0!</v>
      </c>
      <c r="E196" s="2" t="e">
        <f t="shared" si="71"/>
        <v>#DIV/0!</v>
      </c>
      <c r="F196" s="3">
        <f t="shared" si="72"/>
        <v>9.9982439999999983E-8</v>
      </c>
      <c r="G196" s="2">
        <f t="shared" si="73"/>
        <v>-7.0000762688076197</v>
      </c>
      <c r="H196" s="2" t="e">
        <f t="shared" si="74"/>
        <v>#DIV/0!</v>
      </c>
    </row>
    <row r="197" spans="1:8" x14ac:dyDescent="0.2">
      <c r="A197" s="16"/>
      <c r="D197" s="2" t="e">
        <f t="shared" si="70"/>
        <v>#DIV/0!</v>
      </c>
      <c r="E197" s="2" t="e">
        <f t="shared" si="71"/>
        <v>#DIV/0!</v>
      </c>
      <c r="F197" s="3">
        <f t="shared" si="72"/>
        <v>3.1614447527999994E-8</v>
      </c>
      <c r="G197" s="2">
        <f t="shared" si="73"/>
        <v>-7.5001144032114295</v>
      </c>
      <c r="H197" s="2" t="e">
        <f t="shared" si="74"/>
        <v>#DIV/0!</v>
      </c>
    </row>
    <row r="198" spans="1:8" x14ac:dyDescent="0.2">
      <c r="A198" s="16"/>
      <c r="D198" s="2" t="e">
        <f t="shared" si="70"/>
        <v>#DIV/0!</v>
      </c>
      <c r="E198" s="2" t="e">
        <f t="shared" si="71"/>
        <v>#DIV/0!</v>
      </c>
      <c r="F198" s="3">
        <f t="shared" si="72"/>
        <v>9.9964883083535969E-9</v>
      </c>
      <c r="G198" s="2">
        <f t="shared" si="73"/>
        <v>-8.0001525376152394</v>
      </c>
      <c r="H198" s="2" t="e">
        <f t="shared" si="74"/>
        <v>#DIV/0!</v>
      </c>
    </row>
    <row r="199" spans="1:8" x14ac:dyDescent="0.2">
      <c r="A199" s="16"/>
      <c r="D199" s="2" t="e">
        <f t="shared" si="70"/>
        <v>#DIV/0!</v>
      </c>
      <c r="E199" s="2" t="e">
        <f t="shared" si="71"/>
        <v>#DIV/0!</v>
      </c>
      <c r="F199" s="3">
        <f t="shared" si="72"/>
        <v>3.1608896031014071E-9</v>
      </c>
      <c r="G199" s="2">
        <f t="shared" si="73"/>
        <v>-8.5001906720190483</v>
      </c>
      <c r="H199" s="2" t="e">
        <f t="shared" si="74"/>
        <v>#DIV/0!</v>
      </c>
    </row>
    <row r="200" spans="1:8" x14ac:dyDescent="0.2">
      <c r="A200" s="16"/>
      <c r="D200" s="2" t="e">
        <f t="shared" si="70"/>
        <v>#DIV/0!</v>
      </c>
      <c r="E200" s="2" t="e">
        <f t="shared" si="71"/>
        <v>#DIV/0!</v>
      </c>
      <c r="F200" s="3">
        <f t="shared" si="72"/>
        <v>9.9947329250066484E-10</v>
      </c>
      <c r="G200" s="2">
        <f t="shared" si="73"/>
        <v>-9.0002288064228591</v>
      </c>
      <c r="H200" s="2" t="e">
        <f t="shared" si="74"/>
        <v>#DIV/0!</v>
      </c>
    </row>
    <row r="201" spans="1:8" x14ac:dyDescent="0.2">
      <c r="A201" s="16"/>
      <c r="D201" s="2" t="e">
        <f t="shared" si="70"/>
        <v>#DIV/0!</v>
      </c>
      <c r="E201" s="2" t="e">
        <f t="shared" si="71"/>
        <v>#DIV/0!</v>
      </c>
      <c r="F201" s="3">
        <f t="shared" si="72"/>
        <v>3.1603345508871019E-10</v>
      </c>
      <c r="G201" s="2">
        <f t="shared" si="73"/>
        <v>-9.500266940826668</v>
      </c>
      <c r="H201" s="2" t="e">
        <f t="shared" si="74"/>
        <v>#DIV/0!</v>
      </c>
    </row>
    <row r="202" spans="1:8" x14ac:dyDescent="0.2">
      <c r="A202" s="16"/>
      <c r="D202" s="2" t="e">
        <f t="shared" si="70"/>
        <v>#DIV/0!</v>
      </c>
      <c r="E202" s="2" t="e">
        <f t="shared" si="71"/>
        <v>#DIV/0!</v>
      </c>
      <c r="F202" s="3">
        <f t="shared" si="72"/>
        <v>9.992977849905016E-11</v>
      </c>
      <c r="G202" s="2">
        <f t="shared" si="73"/>
        <v>-10.000305075230479</v>
      </c>
      <c r="H202" s="2" t="e">
        <f t="shared" si="74"/>
        <v>#DIV/0!</v>
      </c>
    </row>
    <row r="203" spans="1:8" x14ac:dyDescent="0.2">
      <c r="A203" s="16"/>
      <c r="D203" s="2" t="e">
        <f t="shared" si="70"/>
        <v>#DIV/0!</v>
      </c>
      <c r="E203" s="2"/>
      <c r="F203" s="3"/>
      <c r="G203" s="2"/>
      <c r="H203" s="2"/>
    </row>
    <row r="204" spans="1:8" x14ac:dyDescent="0.2">
      <c r="A204" s="16"/>
      <c r="D204" t="s">
        <v>101</v>
      </c>
      <c r="E204" t="s">
        <v>102</v>
      </c>
      <c r="F204" t="s">
        <v>103</v>
      </c>
      <c r="G204" t="s">
        <v>104</v>
      </c>
      <c r="H204" s="7" t="s">
        <v>105</v>
      </c>
    </row>
    <row r="205" spans="1:8" x14ac:dyDescent="0.2">
      <c r="A205" s="16" t="s">
        <v>128</v>
      </c>
      <c r="D205" s="2" t="e">
        <f>AVERAGE(B205:C205)</f>
        <v>#DIV/0!</v>
      </c>
      <c r="E205" s="2" t="e">
        <f>AVERAGE(D205,D216)-$D$206</f>
        <v>#DIV/0!</v>
      </c>
      <c r="H205" s="2" t="e">
        <f>E205*100/$E$205</f>
        <v>#DIV/0!</v>
      </c>
    </row>
    <row r="206" spans="1:8" x14ac:dyDescent="0.2">
      <c r="A206" s="16"/>
      <c r="D206" s="2" t="e">
        <f t="shared" ref="D206:D215" si="75">AVERAGE(B206:C206)</f>
        <v>#DIV/0!</v>
      </c>
      <c r="E206" s="2" t="e">
        <f>D206-$D$206</f>
        <v>#DIV/0!</v>
      </c>
      <c r="H206" s="2"/>
    </row>
    <row r="207" spans="1:8" x14ac:dyDescent="0.2">
      <c r="A207" s="26"/>
      <c r="D207" s="2" t="e">
        <f t="shared" si="75"/>
        <v>#DIV/0!</v>
      </c>
      <c r="E207" s="2" t="e">
        <f>D207-$D$206</f>
        <v>#DIV/0!</v>
      </c>
      <c r="F207" s="3">
        <v>9.9999999999999995E-8</v>
      </c>
      <c r="G207" s="2">
        <f>LOG(F207)</f>
        <v>-7</v>
      </c>
      <c r="H207" s="2" t="e">
        <f>E207*100/$E$205</f>
        <v>#DIV/0!</v>
      </c>
    </row>
    <row r="208" spans="1:8" x14ac:dyDescent="0.2">
      <c r="A208" s="17"/>
      <c r="D208" s="2" t="e">
        <f t="shared" si="75"/>
        <v>#DIV/0!</v>
      </c>
      <c r="E208" s="2" t="e">
        <f>D208-$D$206</f>
        <v>#DIV/0!</v>
      </c>
      <c r="F208" s="3">
        <f t="shared" ref="F208:F215" si="76">F207*0.3162</f>
        <v>3.1619999999999995E-8</v>
      </c>
      <c r="G208" s="2">
        <f t="shared" ref="G208:G215" si="77">LOG(F208)</f>
        <v>-7.5000381344038098</v>
      </c>
      <c r="H208" s="2" t="e">
        <f t="shared" ref="H208:H215" si="78">E208*100/$E$205</f>
        <v>#DIV/0!</v>
      </c>
    </row>
    <row r="209" spans="1:8" x14ac:dyDescent="0.2">
      <c r="A209" s="18"/>
      <c r="D209" s="2" t="e">
        <f t="shared" si="75"/>
        <v>#DIV/0!</v>
      </c>
      <c r="E209" s="2" t="e">
        <f>D209-$D$206</f>
        <v>#DIV/0!</v>
      </c>
      <c r="F209" s="3">
        <f t="shared" si="76"/>
        <v>9.998243999999998E-9</v>
      </c>
      <c r="G209" s="2">
        <f t="shared" si="77"/>
        <v>-8.0000762688076197</v>
      </c>
      <c r="H209" s="2" t="e">
        <f t="shared" si="78"/>
        <v>#DIV/0!</v>
      </c>
    </row>
    <row r="210" spans="1:8" x14ac:dyDescent="0.2">
      <c r="A210" s="16"/>
      <c r="D210" s="2" t="e">
        <f t="shared" si="75"/>
        <v>#DIV/0!</v>
      </c>
      <c r="E210" s="2" t="e">
        <f t="shared" ref="E210:E215" si="79">D210-$D$206</f>
        <v>#DIV/0!</v>
      </c>
      <c r="F210" s="3">
        <f t="shared" si="76"/>
        <v>3.161444752799999E-9</v>
      </c>
      <c r="G210" s="2">
        <f t="shared" si="77"/>
        <v>-8.5001144032114286</v>
      </c>
      <c r="H210" s="2" t="e">
        <f t="shared" si="78"/>
        <v>#DIV/0!</v>
      </c>
    </row>
    <row r="211" spans="1:8" x14ac:dyDescent="0.2">
      <c r="A211" s="18"/>
      <c r="D211" s="2" t="e">
        <f t="shared" si="75"/>
        <v>#DIV/0!</v>
      </c>
      <c r="E211" s="2" t="e">
        <f t="shared" si="79"/>
        <v>#DIV/0!</v>
      </c>
      <c r="F211" s="3">
        <f t="shared" si="76"/>
        <v>9.9964883083535969E-10</v>
      </c>
      <c r="G211" s="2">
        <f t="shared" si="77"/>
        <v>-9.0001525376152394</v>
      </c>
      <c r="H211" s="2" t="e">
        <f t="shared" si="78"/>
        <v>#DIV/0!</v>
      </c>
    </row>
    <row r="212" spans="1:8" x14ac:dyDescent="0.2">
      <c r="A212" s="16"/>
      <c r="D212" s="2" t="e">
        <f t="shared" si="75"/>
        <v>#DIV/0!</v>
      </c>
      <c r="E212" s="2" t="e">
        <f t="shared" si="79"/>
        <v>#DIV/0!</v>
      </c>
      <c r="F212" s="3">
        <f t="shared" si="76"/>
        <v>3.1608896031014073E-10</v>
      </c>
      <c r="G212" s="2">
        <f t="shared" si="77"/>
        <v>-9.5001906720190483</v>
      </c>
      <c r="H212" s="2" t="e">
        <f t="shared" si="78"/>
        <v>#DIV/0!</v>
      </c>
    </row>
    <row r="213" spans="1:8" x14ac:dyDescent="0.2">
      <c r="A213" s="16"/>
      <c r="D213" s="2" t="e">
        <f t="shared" si="75"/>
        <v>#DIV/0!</v>
      </c>
      <c r="E213" s="2" t="e">
        <f t="shared" si="79"/>
        <v>#DIV/0!</v>
      </c>
      <c r="F213" s="3">
        <f t="shared" si="76"/>
        <v>9.9947329250066487E-11</v>
      </c>
      <c r="G213" s="2">
        <f t="shared" si="77"/>
        <v>-10.000228806422859</v>
      </c>
      <c r="H213" s="2" t="e">
        <f t="shared" si="78"/>
        <v>#DIV/0!</v>
      </c>
    </row>
    <row r="214" spans="1:8" x14ac:dyDescent="0.2">
      <c r="A214" s="16"/>
      <c r="D214" s="2" t="e">
        <f t="shared" si="75"/>
        <v>#DIV/0!</v>
      </c>
      <c r="E214" s="2" t="e">
        <f t="shared" si="79"/>
        <v>#DIV/0!</v>
      </c>
      <c r="F214" s="3">
        <f t="shared" si="76"/>
        <v>3.1603345508871023E-11</v>
      </c>
      <c r="G214" s="2">
        <f t="shared" si="77"/>
        <v>-10.500266940826668</v>
      </c>
      <c r="H214" s="2" t="e">
        <f t="shared" si="78"/>
        <v>#DIV/0!</v>
      </c>
    </row>
    <row r="215" spans="1:8" x14ac:dyDescent="0.2">
      <c r="D215" s="2" t="e">
        <f t="shared" si="75"/>
        <v>#DIV/0!</v>
      </c>
      <c r="E215" s="2" t="e">
        <f t="shared" si="79"/>
        <v>#DIV/0!</v>
      </c>
      <c r="F215" s="3">
        <f t="shared" si="76"/>
        <v>9.9929778499050173E-12</v>
      </c>
      <c r="G215" s="2">
        <f t="shared" si="77"/>
        <v>-11.000305075230479</v>
      </c>
      <c r="H215" s="2" t="e">
        <f t="shared" si="78"/>
        <v>#DIV/0!</v>
      </c>
    </row>
    <row r="216" spans="1:8" x14ac:dyDescent="0.2">
      <c r="A216" s="16"/>
      <c r="D216" s="2" t="e">
        <f>AVERAGE(B216:C216)</f>
        <v>#DIV/0!</v>
      </c>
      <c r="E216" s="2"/>
      <c r="F216" s="3"/>
      <c r="G216" s="2"/>
      <c r="H216" s="2"/>
    </row>
    <row r="217" spans="1:8" x14ac:dyDescent="0.2">
      <c r="A217" s="16"/>
      <c r="D217" t="s">
        <v>101</v>
      </c>
      <c r="E217" t="s">
        <v>102</v>
      </c>
      <c r="F217" t="s">
        <v>103</v>
      </c>
      <c r="G217" t="s">
        <v>104</v>
      </c>
      <c r="H217" s="7" t="s">
        <v>105</v>
      </c>
    </row>
    <row r="218" spans="1:8" x14ac:dyDescent="0.2">
      <c r="A218" s="16" t="s">
        <v>129</v>
      </c>
      <c r="D218" s="2" t="e">
        <f>AVERAGE(B218:C218)</f>
        <v>#DIV/0!</v>
      </c>
      <c r="E218" s="2" t="e">
        <f>AVERAGE(D218,D229)-$D$219</f>
        <v>#DIV/0!</v>
      </c>
      <c r="H218" s="2" t="e">
        <f>E218*100/$E$218</f>
        <v>#DIV/0!</v>
      </c>
    </row>
    <row r="219" spans="1:8" x14ac:dyDescent="0.2">
      <c r="A219" s="18"/>
      <c r="D219" s="2" t="e">
        <f t="shared" ref="D219:D228" si="80">AVERAGE(B219:C219)</f>
        <v>#DIV/0!</v>
      </c>
      <c r="E219" s="2" t="e">
        <f>D219-$D$219</f>
        <v>#DIV/0!</v>
      </c>
      <c r="H219" s="2"/>
    </row>
    <row r="220" spans="1:8" x14ac:dyDescent="0.2">
      <c r="A220" s="17"/>
      <c r="D220" s="2" t="e">
        <f t="shared" si="80"/>
        <v>#DIV/0!</v>
      </c>
      <c r="E220" s="2" t="e">
        <f>D220-$D$219</f>
        <v>#DIV/0!</v>
      </c>
      <c r="F220" s="3">
        <v>1E-8</v>
      </c>
      <c r="G220" s="2">
        <f>LOG(F220)</f>
        <v>-8</v>
      </c>
      <c r="H220" s="2" t="e">
        <f>E220*100/$E$218</f>
        <v>#DIV/0!</v>
      </c>
    </row>
    <row r="221" spans="1:8" x14ac:dyDescent="0.2">
      <c r="A221" s="18"/>
      <c r="D221" s="2" t="e">
        <f t="shared" si="80"/>
        <v>#DIV/0!</v>
      </c>
      <c r="E221" s="2" t="e">
        <f>D221-$D$219</f>
        <v>#DIV/0!</v>
      </c>
      <c r="F221" s="3">
        <f>F220*0.3162</f>
        <v>3.162E-9</v>
      </c>
      <c r="G221" s="2">
        <f t="shared" ref="G221:G228" si="81">LOG(F221)</f>
        <v>-8.500038134403809</v>
      </c>
      <c r="H221" s="2" t="e">
        <f t="shared" ref="H221:H228" si="82">E221*100/$E$218</f>
        <v>#DIV/0!</v>
      </c>
    </row>
    <row r="222" spans="1:8" x14ac:dyDescent="0.2">
      <c r="A222" s="18"/>
      <c r="D222" s="2" t="e">
        <f t="shared" si="80"/>
        <v>#DIV/0!</v>
      </c>
      <c r="E222" s="2" t="e">
        <f t="shared" ref="E222:E228" si="83">D222-$D$219</f>
        <v>#DIV/0!</v>
      </c>
      <c r="F222" s="3">
        <f t="shared" ref="F222:F228" si="84">F221*0.3162</f>
        <v>9.9982439999999992E-10</v>
      </c>
      <c r="G222" s="2">
        <f t="shared" si="81"/>
        <v>-9.0000762688076197</v>
      </c>
      <c r="H222" s="2" t="e">
        <f t="shared" si="82"/>
        <v>#DIV/0!</v>
      </c>
    </row>
    <row r="223" spans="1:8" x14ac:dyDescent="0.2">
      <c r="A223" s="16"/>
      <c r="D223" s="2" t="e">
        <f t="shared" si="80"/>
        <v>#DIV/0!</v>
      </c>
      <c r="E223" s="2" t="e">
        <f t="shared" si="83"/>
        <v>#DIV/0!</v>
      </c>
      <c r="F223" s="3">
        <f t="shared" si="84"/>
        <v>3.1614447527999995E-10</v>
      </c>
      <c r="G223" s="2">
        <f t="shared" si="81"/>
        <v>-9.5001144032114286</v>
      </c>
      <c r="H223" s="2" t="e">
        <f t="shared" si="82"/>
        <v>#DIV/0!</v>
      </c>
    </row>
    <row r="224" spans="1:8" x14ac:dyDescent="0.2">
      <c r="D224" s="2" t="e">
        <f t="shared" si="80"/>
        <v>#DIV/0!</v>
      </c>
      <c r="E224" s="2" t="e">
        <f t="shared" si="83"/>
        <v>#DIV/0!</v>
      </c>
      <c r="F224" s="3">
        <f t="shared" si="84"/>
        <v>9.9964883083535979E-11</v>
      </c>
      <c r="G224" s="2">
        <f t="shared" si="81"/>
        <v>-10.000152537615239</v>
      </c>
      <c r="H224" s="2" t="e">
        <f t="shared" si="82"/>
        <v>#DIV/0!</v>
      </c>
    </row>
    <row r="225" spans="1:8" x14ac:dyDescent="0.2">
      <c r="A225" s="16"/>
      <c r="D225" s="2" t="e">
        <f t="shared" si="80"/>
        <v>#DIV/0!</v>
      </c>
      <c r="E225" s="2" t="e">
        <f t="shared" si="83"/>
        <v>#DIV/0!</v>
      </c>
      <c r="F225" s="3">
        <f t="shared" si="84"/>
        <v>3.1608896031014074E-11</v>
      </c>
      <c r="G225" s="2">
        <f t="shared" si="81"/>
        <v>-10.500190672019048</v>
      </c>
      <c r="H225" s="2" t="e">
        <f t="shared" si="82"/>
        <v>#DIV/0!</v>
      </c>
    </row>
    <row r="226" spans="1:8" x14ac:dyDescent="0.2">
      <c r="A226" s="16"/>
      <c r="D226" s="2" t="e">
        <f t="shared" si="80"/>
        <v>#DIV/0!</v>
      </c>
      <c r="E226" s="2" t="e">
        <f t="shared" si="83"/>
        <v>#DIV/0!</v>
      </c>
      <c r="F226" s="3">
        <f t="shared" si="84"/>
        <v>9.99473292500665E-12</v>
      </c>
      <c r="G226" s="2">
        <f t="shared" si="81"/>
        <v>-11.000228806422859</v>
      </c>
      <c r="H226" s="2" t="e">
        <f t="shared" si="82"/>
        <v>#DIV/0!</v>
      </c>
    </row>
    <row r="227" spans="1:8" x14ac:dyDescent="0.2">
      <c r="A227" s="16"/>
      <c r="D227" s="2" t="e">
        <f t="shared" si="80"/>
        <v>#DIV/0!</v>
      </c>
      <c r="E227" s="2" t="e">
        <f t="shared" si="83"/>
        <v>#DIV/0!</v>
      </c>
      <c r="F227" s="3">
        <f t="shared" si="84"/>
        <v>3.1603345508871027E-12</v>
      </c>
      <c r="G227" s="2">
        <f t="shared" si="81"/>
        <v>-11.500266940826668</v>
      </c>
      <c r="H227" s="2" t="e">
        <f t="shared" si="82"/>
        <v>#DIV/0!</v>
      </c>
    </row>
    <row r="228" spans="1:8" x14ac:dyDescent="0.2">
      <c r="A228" s="16"/>
      <c r="D228" s="2" t="e">
        <f t="shared" si="80"/>
        <v>#DIV/0!</v>
      </c>
      <c r="E228" s="2" t="e">
        <f t="shared" si="83"/>
        <v>#DIV/0!</v>
      </c>
      <c r="F228" s="3">
        <f t="shared" si="84"/>
        <v>9.9929778499050177E-13</v>
      </c>
      <c r="G228" s="2">
        <f t="shared" si="81"/>
        <v>-12.000305075230479</v>
      </c>
      <c r="H228" s="2" t="e">
        <f t="shared" si="82"/>
        <v>#DIV/0!</v>
      </c>
    </row>
    <row r="229" spans="1:8" x14ac:dyDescent="0.2">
      <c r="A229" s="16"/>
      <c r="D229" s="2" t="e">
        <f>AVERAGE(B229:C229)</f>
        <v>#DIV/0!</v>
      </c>
      <c r="E229" s="2"/>
      <c r="F229" s="3"/>
      <c r="G229" s="2"/>
      <c r="H229" s="2"/>
    </row>
    <row r="230" spans="1:8" x14ac:dyDescent="0.2">
      <c r="A230" s="16"/>
      <c r="D230" t="s">
        <v>101</v>
      </c>
      <c r="E230" t="s">
        <v>102</v>
      </c>
      <c r="F230" t="s">
        <v>103</v>
      </c>
      <c r="G230" t="s">
        <v>104</v>
      </c>
      <c r="H230" s="7" t="s">
        <v>105</v>
      </c>
    </row>
    <row r="231" spans="1:8" x14ac:dyDescent="0.2">
      <c r="A231" s="16" t="s">
        <v>130</v>
      </c>
      <c r="D231" s="2" t="e">
        <f>AVERAGE(B231:C231)</f>
        <v>#DIV/0!</v>
      </c>
      <c r="E231" s="2" t="e">
        <f>AVERAGE(D231,D242)-$D$232</f>
        <v>#DIV/0!</v>
      </c>
      <c r="H231" s="2" t="e">
        <f>E231*100/$E$231</f>
        <v>#DIV/0!</v>
      </c>
    </row>
    <row r="232" spans="1:8" x14ac:dyDescent="0.2">
      <c r="A232" s="18"/>
      <c r="D232" s="2" t="e">
        <f t="shared" ref="D232:D242" si="85">AVERAGE(B232:C232)</f>
        <v>#DIV/0!</v>
      </c>
      <c r="E232" s="2" t="e">
        <f>D232-$D$232</f>
        <v>#DIV/0!</v>
      </c>
      <c r="H232" s="2"/>
    </row>
    <row r="233" spans="1:8" x14ac:dyDescent="0.2">
      <c r="A233" s="17"/>
      <c r="D233" s="2" t="e">
        <f t="shared" si="85"/>
        <v>#DIV/0!</v>
      </c>
      <c r="E233" s="2" t="e">
        <f>D233-$D$232</f>
        <v>#DIV/0!</v>
      </c>
      <c r="F233" s="3">
        <v>9.9999999999999995E-7</v>
      </c>
      <c r="G233" s="2">
        <f>LOG(F233)</f>
        <v>-6</v>
      </c>
      <c r="H233" s="2" t="e">
        <f>E233*100/$E$231</f>
        <v>#DIV/0!</v>
      </c>
    </row>
    <row r="234" spans="1:8" x14ac:dyDescent="0.2">
      <c r="A234" s="18"/>
      <c r="D234" s="2" t="e">
        <f t="shared" si="85"/>
        <v>#DIV/0!</v>
      </c>
      <c r="E234" s="2" t="e">
        <f>D234-$D$232</f>
        <v>#DIV/0!</v>
      </c>
      <c r="F234" s="3">
        <f t="shared" ref="F234:F241" si="86">F233*0.3162</f>
        <v>3.1619999999999999E-7</v>
      </c>
      <c r="G234" s="2">
        <f t="shared" ref="G234:G241" si="87">LOG(F234)</f>
        <v>-6.5000381344038098</v>
      </c>
      <c r="H234" s="2" t="e">
        <f t="shared" ref="H234:H241" si="88">E234*100/$E$231</f>
        <v>#DIV/0!</v>
      </c>
    </row>
    <row r="235" spans="1:8" x14ac:dyDescent="0.2">
      <c r="A235" s="16"/>
      <c r="D235" s="2" t="e">
        <f t="shared" si="85"/>
        <v>#DIV/0!</v>
      </c>
      <c r="E235" s="2" t="e">
        <f t="shared" ref="E235:E241" si="89">D235-$D$232</f>
        <v>#DIV/0!</v>
      </c>
      <c r="F235" s="3">
        <f t="shared" si="86"/>
        <v>9.9982439999999983E-8</v>
      </c>
      <c r="G235" s="2">
        <f t="shared" si="87"/>
        <v>-7.0000762688076197</v>
      </c>
      <c r="H235" s="2" t="e">
        <f t="shared" si="88"/>
        <v>#DIV/0!</v>
      </c>
    </row>
    <row r="236" spans="1:8" x14ac:dyDescent="0.2">
      <c r="A236" s="16"/>
      <c r="D236" s="2" t="e">
        <f t="shared" si="85"/>
        <v>#DIV/0!</v>
      </c>
      <c r="E236" s="2" t="e">
        <f t="shared" si="89"/>
        <v>#DIV/0!</v>
      </c>
      <c r="F236" s="3">
        <f t="shared" si="86"/>
        <v>3.1614447527999994E-8</v>
      </c>
      <c r="G236" s="2">
        <f t="shared" si="87"/>
        <v>-7.5001144032114295</v>
      </c>
      <c r="H236" s="2" t="e">
        <f t="shared" si="88"/>
        <v>#DIV/0!</v>
      </c>
    </row>
    <row r="237" spans="1:8" x14ac:dyDescent="0.2">
      <c r="A237" s="16"/>
      <c r="D237" s="2" t="e">
        <f t="shared" si="85"/>
        <v>#DIV/0!</v>
      </c>
      <c r="E237" s="2" t="e">
        <f t="shared" si="89"/>
        <v>#DIV/0!</v>
      </c>
      <c r="F237" s="3">
        <f t="shared" si="86"/>
        <v>9.9964883083535969E-9</v>
      </c>
      <c r="G237" s="2">
        <f t="shared" si="87"/>
        <v>-8.0001525376152394</v>
      </c>
      <c r="H237" s="2" t="e">
        <f t="shared" si="88"/>
        <v>#DIV/0!</v>
      </c>
    </row>
    <row r="238" spans="1:8" x14ac:dyDescent="0.2">
      <c r="A238" s="16"/>
      <c r="D238" s="2" t="e">
        <f t="shared" si="85"/>
        <v>#DIV/0!</v>
      </c>
      <c r="E238" s="2" t="e">
        <f t="shared" si="89"/>
        <v>#DIV/0!</v>
      </c>
      <c r="F238" s="3">
        <f t="shared" si="86"/>
        <v>3.1608896031014071E-9</v>
      </c>
      <c r="G238" s="2">
        <f t="shared" si="87"/>
        <v>-8.5001906720190483</v>
      </c>
      <c r="H238" s="2" t="e">
        <f t="shared" si="88"/>
        <v>#DIV/0!</v>
      </c>
    </row>
    <row r="239" spans="1:8" x14ac:dyDescent="0.2">
      <c r="A239" s="16"/>
      <c r="D239" s="2" t="e">
        <f t="shared" si="85"/>
        <v>#DIV/0!</v>
      </c>
      <c r="E239" s="2" t="e">
        <f t="shared" si="89"/>
        <v>#DIV/0!</v>
      </c>
      <c r="F239" s="3">
        <f t="shared" si="86"/>
        <v>9.9947329250066484E-10</v>
      </c>
      <c r="G239" s="2">
        <f t="shared" si="87"/>
        <v>-9.0002288064228591</v>
      </c>
      <c r="H239" s="2" t="e">
        <f t="shared" si="88"/>
        <v>#DIV/0!</v>
      </c>
    </row>
    <row r="240" spans="1:8" x14ac:dyDescent="0.2">
      <c r="A240" s="16"/>
      <c r="D240" s="2" t="e">
        <f t="shared" si="85"/>
        <v>#DIV/0!</v>
      </c>
      <c r="E240" s="2" t="e">
        <f t="shared" si="89"/>
        <v>#DIV/0!</v>
      </c>
      <c r="F240" s="3">
        <f t="shared" si="86"/>
        <v>3.1603345508871019E-10</v>
      </c>
      <c r="G240" s="2">
        <f t="shared" si="87"/>
        <v>-9.500266940826668</v>
      </c>
      <c r="H240" s="2" t="e">
        <f t="shared" si="88"/>
        <v>#DIV/0!</v>
      </c>
    </row>
    <row r="241" spans="1:8" x14ac:dyDescent="0.2">
      <c r="A241" s="16"/>
      <c r="D241" s="2" t="e">
        <f t="shared" si="85"/>
        <v>#DIV/0!</v>
      </c>
      <c r="E241" s="2" t="e">
        <f t="shared" si="89"/>
        <v>#DIV/0!</v>
      </c>
      <c r="F241" s="3">
        <f t="shared" si="86"/>
        <v>9.992977849905016E-11</v>
      </c>
      <c r="G241" s="2">
        <f t="shared" si="87"/>
        <v>-10.000305075230479</v>
      </c>
      <c r="H241" s="2" t="e">
        <f t="shared" si="88"/>
        <v>#DIV/0!</v>
      </c>
    </row>
    <row r="242" spans="1:8" x14ac:dyDescent="0.2">
      <c r="A242" s="16"/>
      <c r="D242" s="2" t="e">
        <f t="shared" si="85"/>
        <v>#DIV/0!</v>
      </c>
      <c r="E242" s="2"/>
      <c r="F242" s="3"/>
      <c r="G242" s="2"/>
      <c r="H242" s="2"/>
    </row>
    <row r="243" spans="1:8" x14ac:dyDescent="0.2">
      <c r="A243" s="16"/>
      <c r="D243" t="s">
        <v>101</v>
      </c>
      <c r="E243" t="s">
        <v>102</v>
      </c>
      <c r="F243" t="s">
        <v>103</v>
      </c>
      <c r="G243" t="s">
        <v>104</v>
      </c>
      <c r="H243" s="7" t="s">
        <v>105</v>
      </c>
    </row>
    <row r="244" spans="1:8" x14ac:dyDescent="0.2">
      <c r="A244" s="16" t="s">
        <v>131</v>
      </c>
      <c r="D244" s="2" t="e">
        <f>AVERAGE(B244:C244)</f>
        <v>#DIV/0!</v>
      </c>
      <c r="E244" s="2" t="e">
        <f>AVERAGE(D244,D255)-$D$245</f>
        <v>#DIV/0!</v>
      </c>
      <c r="H244" s="2" t="e">
        <f>E244*100/$E$244</f>
        <v>#DIV/0!</v>
      </c>
    </row>
    <row r="245" spans="1:8" x14ac:dyDescent="0.2">
      <c r="A245" s="21"/>
      <c r="D245" s="2" t="e">
        <f t="shared" ref="D245:D255" si="90">AVERAGE(B245:C245)</f>
        <v>#DIV/0!</v>
      </c>
      <c r="E245" s="2" t="e">
        <f>D245-$D$245</f>
        <v>#DIV/0!</v>
      </c>
      <c r="H245" s="2"/>
    </row>
    <row r="246" spans="1:8" x14ac:dyDescent="0.2">
      <c r="A246" s="17"/>
      <c r="D246" s="2" t="e">
        <f t="shared" si="90"/>
        <v>#DIV/0!</v>
      </c>
      <c r="E246" s="2" t="e">
        <f>D246-$D$245</f>
        <v>#DIV/0!</v>
      </c>
      <c r="F246" s="3">
        <v>9.9999999999999995E-7</v>
      </c>
      <c r="G246" s="2">
        <f>LOG(F246)</f>
        <v>-6</v>
      </c>
      <c r="H246" s="2" t="e">
        <f>E246*100/$E$244</f>
        <v>#DIV/0!</v>
      </c>
    </row>
    <row r="247" spans="1:8" x14ac:dyDescent="0.2">
      <c r="A247" s="18"/>
      <c r="D247" s="2" t="e">
        <f t="shared" si="90"/>
        <v>#DIV/0!</v>
      </c>
      <c r="E247" s="2" t="e">
        <f>D247-$D$245</f>
        <v>#DIV/0!</v>
      </c>
      <c r="F247" s="3">
        <f t="shared" ref="F247:F254" si="91">F246*0.3162</f>
        <v>3.1619999999999999E-7</v>
      </c>
      <c r="G247" s="2">
        <f t="shared" ref="G247:G254" si="92">LOG(F247)</f>
        <v>-6.5000381344038098</v>
      </c>
      <c r="H247" s="2" t="e">
        <f t="shared" ref="H247:H254" si="93">E247*100/$E$244</f>
        <v>#DIV/0!</v>
      </c>
    </row>
    <row r="248" spans="1:8" x14ac:dyDescent="0.2">
      <c r="A248" s="18"/>
      <c r="D248" s="2" t="e">
        <f t="shared" si="90"/>
        <v>#DIV/0!</v>
      </c>
      <c r="E248" s="2" t="e">
        <f t="shared" ref="E248:E254" si="94">D248-$D$245</f>
        <v>#DIV/0!</v>
      </c>
      <c r="F248" s="3">
        <f t="shared" si="91"/>
        <v>9.9982439999999983E-8</v>
      </c>
      <c r="G248" s="2">
        <f t="shared" si="92"/>
        <v>-7.0000762688076197</v>
      </c>
      <c r="H248" s="2" t="e">
        <f t="shared" si="93"/>
        <v>#DIV/0!</v>
      </c>
    </row>
    <row r="249" spans="1:8" x14ac:dyDescent="0.2">
      <c r="A249" s="16"/>
      <c r="D249" s="2" t="e">
        <f t="shared" si="90"/>
        <v>#DIV/0!</v>
      </c>
      <c r="E249" s="2" t="e">
        <f t="shared" si="94"/>
        <v>#DIV/0!</v>
      </c>
      <c r="F249" s="3">
        <f t="shared" si="91"/>
        <v>3.1614447527999994E-8</v>
      </c>
      <c r="G249" s="2">
        <f t="shared" si="92"/>
        <v>-7.5001144032114295</v>
      </c>
      <c r="H249" s="2" t="e">
        <f t="shared" si="93"/>
        <v>#DIV/0!</v>
      </c>
    </row>
    <row r="250" spans="1:8" x14ac:dyDescent="0.2">
      <c r="A250" s="16"/>
      <c r="D250" s="2" t="e">
        <f t="shared" si="90"/>
        <v>#DIV/0!</v>
      </c>
      <c r="E250" s="2" t="e">
        <f t="shared" si="94"/>
        <v>#DIV/0!</v>
      </c>
      <c r="F250" s="3">
        <f t="shared" si="91"/>
        <v>9.9964883083535969E-9</v>
      </c>
      <c r="G250" s="2">
        <f t="shared" si="92"/>
        <v>-8.0001525376152394</v>
      </c>
      <c r="H250" s="2" t="e">
        <f t="shared" si="93"/>
        <v>#DIV/0!</v>
      </c>
    </row>
    <row r="251" spans="1:8" x14ac:dyDescent="0.2">
      <c r="A251" s="16"/>
      <c r="D251" s="2" t="e">
        <f t="shared" si="90"/>
        <v>#DIV/0!</v>
      </c>
      <c r="E251" s="2" t="e">
        <f t="shared" si="94"/>
        <v>#DIV/0!</v>
      </c>
      <c r="F251" s="3">
        <f t="shared" si="91"/>
        <v>3.1608896031014071E-9</v>
      </c>
      <c r="G251" s="2">
        <f t="shared" si="92"/>
        <v>-8.5001906720190483</v>
      </c>
      <c r="H251" s="2" t="e">
        <f t="shared" si="93"/>
        <v>#DIV/0!</v>
      </c>
    </row>
    <row r="252" spans="1:8" x14ac:dyDescent="0.2">
      <c r="A252" s="16"/>
      <c r="D252" s="2" t="e">
        <f t="shared" si="90"/>
        <v>#DIV/0!</v>
      </c>
      <c r="E252" s="2" t="e">
        <f t="shared" si="94"/>
        <v>#DIV/0!</v>
      </c>
      <c r="F252" s="3">
        <f t="shared" si="91"/>
        <v>9.9947329250066484E-10</v>
      </c>
      <c r="G252" s="2">
        <f t="shared" si="92"/>
        <v>-9.0002288064228591</v>
      </c>
      <c r="H252" s="2" t="e">
        <f t="shared" si="93"/>
        <v>#DIV/0!</v>
      </c>
    </row>
    <row r="253" spans="1:8" x14ac:dyDescent="0.2">
      <c r="A253" s="16"/>
      <c r="D253" s="2" t="e">
        <f t="shared" si="90"/>
        <v>#DIV/0!</v>
      </c>
      <c r="E253" s="2" t="e">
        <f t="shared" si="94"/>
        <v>#DIV/0!</v>
      </c>
      <c r="F253" s="3">
        <f t="shared" si="91"/>
        <v>3.1603345508871019E-10</v>
      </c>
      <c r="G253" s="2">
        <f t="shared" si="92"/>
        <v>-9.500266940826668</v>
      </c>
      <c r="H253" s="2" t="e">
        <f t="shared" si="93"/>
        <v>#DIV/0!</v>
      </c>
    </row>
    <row r="254" spans="1:8" x14ac:dyDescent="0.2">
      <c r="A254" s="16"/>
      <c r="D254" s="2" t="e">
        <f t="shared" si="90"/>
        <v>#DIV/0!</v>
      </c>
      <c r="E254" s="2" t="e">
        <f t="shared" si="94"/>
        <v>#DIV/0!</v>
      </c>
      <c r="F254" s="3">
        <f t="shared" si="91"/>
        <v>9.992977849905016E-11</v>
      </c>
      <c r="G254" s="2">
        <f t="shared" si="92"/>
        <v>-10.000305075230479</v>
      </c>
      <c r="H254" s="2" t="e">
        <f t="shared" si="93"/>
        <v>#DIV/0!</v>
      </c>
    </row>
    <row r="255" spans="1:8" x14ac:dyDescent="0.2">
      <c r="A255" s="16"/>
      <c r="D255" s="2" t="e">
        <f t="shared" si="90"/>
        <v>#DIV/0!</v>
      </c>
      <c r="E255" s="2"/>
      <c r="F255" s="3"/>
      <c r="G255" s="2"/>
      <c r="H255" s="2"/>
    </row>
    <row r="256" spans="1:8" x14ac:dyDescent="0.2">
      <c r="A256" s="16"/>
      <c r="D256" t="s">
        <v>101</v>
      </c>
      <c r="E256" t="s">
        <v>102</v>
      </c>
      <c r="F256" t="s">
        <v>103</v>
      </c>
      <c r="G256" t="s">
        <v>104</v>
      </c>
      <c r="H256" s="7" t="s">
        <v>105</v>
      </c>
    </row>
    <row r="257" spans="1:8" x14ac:dyDescent="0.2">
      <c r="A257" s="16" t="s">
        <v>132</v>
      </c>
      <c r="D257" s="2" t="e">
        <f>AVERAGE(B257:C257)</f>
        <v>#DIV/0!</v>
      </c>
      <c r="E257" s="2" t="e">
        <f>AVERAGE(D257,D268)-$D$258</f>
        <v>#DIV/0!</v>
      </c>
      <c r="H257" s="2" t="e">
        <f>E257*100/$E$257</f>
        <v>#DIV/0!</v>
      </c>
    </row>
    <row r="258" spans="1:8" x14ac:dyDescent="0.2">
      <c r="A258" s="18"/>
      <c r="D258" s="2" t="e">
        <f t="shared" ref="D258:D267" si="95">AVERAGE(B258:C258)</f>
        <v>#DIV/0!</v>
      </c>
      <c r="E258" s="2" t="e">
        <f t="shared" ref="E258:E263" si="96">D258-$D$258</f>
        <v>#DIV/0!</v>
      </c>
      <c r="H258" s="2"/>
    </row>
    <row r="259" spans="1:8" x14ac:dyDescent="0.2">
      <c r="A259" s="17"/>
      <c r="D259" s="2" t="e">
        <f t="shared" si="95"/>
        <v>#DIV/0!</v>
      </c>
      <c r="E259" s="2" t="e">
        <f t="shared" si="96"/>
        <v>#DIV/0!</v>
      </c>
      <c r="F259" s="3">
        <v>9.9999999999999995E-8</v>
      </c>
      <c r="G259" s="2">
        <f>LOG(F259)</f>
        <v>-7</v>
      </c>
      <c r="H259" s="2" t="e">
        <f>E259*100/$E$257</f>
        <v>#DIV/0!</v>
      </c>
    </row>
    <row r="260" spans="1:8" x14ac:dyDescent="0.2">
      <c r="A260" s="18"/>
      <c r="D260" s="2" t="e">
        <f t="shared" si="95"/>
        <v>#DIV/0!</v>
      </c>
      <c r="E260" s="2" t="e">
        <f t="shared" si="96"/>
        <v>#DIV/0!</v>
      </c>
      <c r="F260" s="3">
        <f t="shared" ref="F260:F267" si="97">F259*0.3162</f>
        <v>3.1619999999999995E-8</v>
      </c>
      <c r="G260" s="2">
        <f t="shared" ref="G260:G267" si="98">LOG(F260)</f>
        <v>-7.5000381344038098</v>
      </c>
      <c r="H260" s="2" t="e">
        <f t="shared" ref="H260:H267" si="99">E260*100/$E$257</f>
        <v>#DIV/0!</v>
      </c>
    </row>
    <row r="261" spans="1:8" x14ac:dyDescent="0.2">
      <c r="A261" s="18"/>
      <c r="D261" s="2" t="e">
        <f t="shared" si="95"/>
        <v>#DIV/0!</v>
      </c>
      <c r="E261" s="2" t="e">
        <f t="shared" si="96"/>
        <v>#DIV/0!</v>
      </c>
      <c r="F261" s="3">
        <f t="shared" si="97"/>
        <v>9.998243999999998E-9</v>
      </c>
      <c r="G261" s="2">
        <f t="shared" si="98"/>
        <v>-8.0000762688076197</v>
      </c>
      <c r="H261" s="2" t="e">
        <f t="shared" si="99"/>
        <v>#DIV/0!</v>
      </c>
    </row>
    <row r="262" spans="1:8" x14ac:dyDescent="0.2">
      <c r="A262" s="16"/>
      <c r="D262" s="2" t="e">
        <f t="shared" si="95"/>
        <v>#DIV/0!</v>
      </c>
      <c r="E262" s="2" t="e">
        <f t="shared" si="96"/>
        <v>#DIV/0!</v>
      </c>
      <c r="F262" s="3">
        <f t="shared" si="97"/>
        <v>3.161444752799999E-9</v>
      </c>
      <c r="G262" s="2">
        <f t="shared" si="98"/>
        <v>-8.5001144032114286</v>
      </c>
      <c r="H262" s="2" t="e">
        <f t="shared" si="99"/>
        <v>#DIV/0!</v>
      </c>
    </row>
    <row r="263" spans="1:8" x14ac:dyDescent="0.2">
      <c r="A263" s="18"/>
      <c r="D263" s="2" t="e">
        <f t="shared" si="95"/>
        <v>#DIV/0!</v>
      </c>
      <c r="E263" s="2" t="e">
        <f t="shared" si="96"/>
        <v>#DIV/0!</v>
      </c>
      <c r="F263" s="3">
        <f t="shared" si="97"/>
        <v>9.9964883083535969E-10</v>
      </c>
      <c r="G263" s="2">
        <f t="shared" si="98"/>
        <v>-9.0001525376152394</v>
      </c>
      <c r="H263" s="2" t="e">
        <f t="shared" si="99"/>
        <v>#DIV/0!</v>
      </c>
    </row>
    <row r="264" spans="1:8" x14ac:dyDescent="0.2">
      <c r="A264" s="16"/>
      <c r="D264" s="2" t="e">
        <f t="shared" si="95"/>
        <v>#DIV/0!</v>
      </c>
      <c r="E264" s="2" t="e">
        <f>D264-$D$258</f>
        <v>#DIV/0!</v>
      </c>
      <c r="F264" s="3">
        <f t="shared" si="97"/>
        <v>3.1608896031014073E-10</v>
      </c>
      <c r="G264" s="2">
        <f t="shared" si="98"/>
        <v>-9.5001906720190483</v>
      </c>
      <c r="H264" s="2" t="e">
        <f t="shared" si="99"/>
        <v>#DIV/0!</v>
      </c>
    </row>
    <row r="265" spans="1:8" x14ac:dyDescent="0.2">
      <c r="A265" s="16"/>
      <c r="D265" s="2" t="e">
        <f t="shared" si="95"/>
        <v>#DIV/0!</v>
      </c>
      <c r="E265" s="2" t="e">
        <f>D265-$D$258</f>
        <v>#DIV/0!</v>
      </c>
      <c r="F265" s="3">
        <f t="shared" si="97"/>
        <v>9.9947329250066487E-11</v>
      </c>
      <c r="G265" s="2">
        <f t="shared" si="98"/>
        <v>-10.000228806422859</v>
      </c>
      <c r="H265" s="2" t="e">
        <f t="shared" si="99"/>
        <v>#DIV/0!</v>
      </c>
    </row>
    <row r="266" spans="1:8" x14ac:dyDescent="0.2">
      <c r="D266" s="2" t="e">
        <f t="shared" si="95"/>
        <v>#DIV/0!</v>
      </c>
      <c r="E266" s="2" t="e">
        <f>D266-$D$258</f>
        <v>#DIV/0!</v>
      </c>
      <c r="F266" s="3">
        <f t="shared" si="97"/>
        <v>3.1603345508871023E-11</v>
      </c>
      <c r="G266" s="2">
        <f t="shared" si="98"/>
        <v>-10.500266940826668</v>
      </c>
      <c r="H266" s="2" t="e">
        <f t="shared" si="99"/>
        <v>#DIV/0!</v>
      </c>
    </row>
    <row r="267" spans="1:8" x14ac:dyDescent="0.2">
      <c r="D267" s="2" t="e">
        <f t="shared" si="95"/>
        <v>#DIV/0!</v>
      </c>
      <c r="E267" s="2" t="e">
        <f>D267-$D$258</f>
        <v>#DIV/0!</v>
      </c>
      <c r="F267" s="3">
        <f t="shared" si="97"/>
        <v>9.9929778499050173E-12</v>
      </c>
      <c r="G267" s="2">
        <f t="shared" si="98"/>
        <v>-11.000305075230479</v>
      </c>
      <c r="H267" s="2" t="e">
        <f t="shared" si="99"/>
        <v>#DIV/0!</v>
      </c>
    </row>
    <row r="268" spans="1:8" x14ac:dyDescent="0.2">
      <c r="A268" s="16"/>
      <c r="D268" s="2" t="e">
        <f>AVERAGE(B268:C268)</f>
        <v>#DIV/0!</v>
      </c>
      <c r="E268" s="2"/>
      <c r="F268" s="3"/>
      <c r="G268" s="2"/>
      <c r="H268" s="2"/>
    </row>
  </sheetData>
  <pageMargins left="0.7" right="0.7" top="0.75" bottom="0.75" header="0.3" footer="0.3"/>
  <pageSetup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EB0CF4-8155-417A-8EBE-C830676F2604}">
  <ds:schemaRefs>
    <ds:schemaRef ds:uri="1a253495-b0d9-40a4-8e1c-242bf5431677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8cafe7d8-4bd4-4378-b54d-cfdec05ca8b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804ECF3-1E03-43FA-A572-6FEB07642C03}"/>
</file>

<file path=customXml/itemProps3.xml><?xml version="1.0" encoding="utf-8"?>
<ds:datastoreItem xmlns:ds="http://schemas.openxmlformats.org/officeDocument/2006/customXml" ds:itemID="{9CB4D0D5-BE22-4862-B07A-E3B50759EB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DOR</vt:lpstr>
      <vt:lpstr>KOR</vt:lpstr>
      <vt:lpstr>hMOR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Neve</dc:creator>
  <cp:lastModifiedBy>Laura Kozell</cp:lastModifiedBy>
  <cp:lastPrinted>2023-11-09T19:27:15Z</cp:lastPrinted>
  <dcterms:created xsi:type="dcterms:W3CDTF">1999-07-12T18:18:41Z</dcterms:created>
  <dcterms:modified xsi:type="dcterms:W3CDTF">2025-01-07T21:25:53Z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MediaServiceImageTags">
    <vt:lpwstr/>
  </property>
</Properties>
</file>